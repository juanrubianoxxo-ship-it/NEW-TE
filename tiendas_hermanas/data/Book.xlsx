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5431190\Downloads\"/>
    </mc:Choice>
  </mc:AlternateContent>
  <xr:revisionPtr revIDLastSave="0" documentId="13_ncr:1_{E5BD9298-6E45-4EA8-B7A1-2B9DC98DA954}" xr6:coauthVersionLast="47" xr6:coauthVersionMax="47" xr10:uidLastSave="{00000000-0000-0000-0000-000000000000}"/>
  <bookViews>
    <workbookView xWindow="-110" yWindow="-110" windowWidth="19420" windowHeight="11500" xr2:uid="{00000000-000D-0000-FFFF-FFFF00000000}"/>
  </bookViews>
  <sheets>
    <sheet name="JUN" sheetId="1" r:id="rId1"/>
    <sheet name="Hoja1" sheetId="11" state="hidden" r:id="rId2"/>
  </sheets>
  <definedNames>
    <definedName name="_xlnm._FilterDatabase" localSheetId="1" hidden="1">Hoja1!$A$1:$E$23</definedName>
    <definedName name="_xlnm._FilterDatabase" localSheetId="0" hidden="1">JUN!$A$1:$AO$799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10" i="1" l="1"/>
  <c r="Q810" i="1"/>
  <c r="P810" i="1" s="1"/>
  <c r="O808" i="1"/>
  <c r="Q808" i="1"/>
  <c r="P808" i="1" s="1"/>
  <c r="O806" i="1"/>
  <c r="Q806" i="1"/>
  <c r="P806" i="1" s="1"/>
  <c r="O795" i="1"/>
  <c r="Q795" i="1"/>
  <c r="P795" i="1" s="1"/>
  <c r="O796" i="1"/>
  <c r="Q796" i="1"/>
  <c r="P796" i="1" s="1"/>
  <c r="AM796" i="1"/>
  <c r="AM810" i="1"/>
  <c r="AM808" i="1"/>
  <c r="AM795" i="1"/>
  <c r="AM806" i="1"/>
  <c r="AM789" i="1"/>
  <c r="AM786" i="1"/>
  <c r="AM792" i="1"/>
  <c r="AM790" i="1"/>
  <c r="AM793" i="1"/>
  <c r="O803" i="1"/>
  <c r="Q803" i="1"/>
  <c r="P803" i="1" s="1"/>
  <c r="O799" i="1"/>
  <c r="Q799" i="1"/>
  <c r="P799" i="1" s="1"/>
  <c r="AM803" i="1"/>
  <c r="AM799" i="1"/>
  <c r="O809" i="1"/>
  <c r="Q809" i="1"/>
  <c r="P809" i="1" s="1"/>
  <c r="O787" i="1"/>
  <c r="Q787" i="1"/>
  <c r="P787" i="1" s="1"/>
  <c r="AM809" i="1"/>
  <c r="AM787" i="1"/>
  <c r="AM798" i="1"/>
  <c r="AM801" i="1"/>
  <c r="AM805" i="1"/>
  <c r="AM800" i="1"/>
  <c r="O798" i="1"/>
  <c r="Q798" i="1"/>
  <c r="P798" i="1" s="1"/>
  <c r="O801" i="1"/>
  <c r="Q801" i="1"/>
  <c r="P801" i="1" s="1"/>
  <c r="O805" i="1"/>
  <c r="Q805" i="1"/>
  <c r="P805" i="1" s="1"/>
  <c r="O800" i="1"/>
  <c r="Q800" i="1"/>
  <c r="P800" i="1" s="1"/>
  <c r="T159" i="1"/>
  <c r="AM807" i="1"/>
  <c r="AM804" i="1"/>
  <c r="AM802" i="1"/>
  <c r="AM797" i="1"/>
  <c r="AM791" i="1"/>
  <c r="AM7" i="1"/>
  <c r="AM3" i="1"/>
  <c r="AM4" i="1"/>
  <c r="AM5" i="1"/>
  <c r="AM6"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51" i="1"/>
  <c r="AM52" i="1"/>
  <c r="AM53" i="1"/>
  <c r="AM50" i="1"/>
  <c r="AM48" i="1"/>
  <c r="AM49"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2" i="1"/>
  <c r="AM153" i="1"/>
  <c r="AM154" i="1"/>
  <c r="AM155" i="1"/>
  <c r="AM156" i="1"/>
  <c r="AM157" i="1"/>
  <c r="AM158" i="1"/>
  <c r="AM159" i="1"/>
  <c r="AM160" i="1"/>
  <c r="AM161" i="1"/>
  <c r="AM162" i="1"/>
  <c r="AM163" i="1"/>
  <c r="AM164" i="1"/>
  <c r="AM165"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9" i="1"/>
  <c r="AM270" i="1"/>
  <c r="AM271" i="1"/>
  <c r="AM272" i="1"/>
  <c r="AM273" i="1"/>
  <c r="AM274" i="1"/>
  <c r="AM275" i="1"/>
  <c r="AM276" i="1"/>
  <c r="AM277" i="1"/>
  <c r="AM278" i="1"/>
  <c r="AM279" i="1"/>
  <c r="AM280" i="1"/>
  <c r="AM282"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4" i="1"/>
  <c r="AM315" i="1"/>
  <c r="AM316" i="1"/>
  <c r="AM317" i="1"/>
  <c r="AM318" i="1"/>
  <c r="AM319" i="1"/>
  <c r="AM320" i="1"/>
  <c r="AM321" i="1"/>
  <c r="AM322" i="1"/>
  <c r="AM323" i="1"/>
  <c r="AM324" i="1"/>
  <c r="AM325" i="1"/>
  <c r="AM326" i="1"/>
  <c r="AM327" i="1"/>
  <c r="AM328" i="1"/>
  <c r="AM329"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715" i="1"/>
  <c r="AM366" i="1"/>
  <c r="AM367" i="1"/>
  <c r="AM368" i="1"/>
  <c r="AM369" i="1"/>
  <c r="AM370" i="1"/>
  <c r="AM371" i="1"/>
  <c r="AM372" i="1"/>
  <c r="AM373" i="1"/>
  <c r="AM374" i="1"/>
  <c r="AM375" i="1"/>
  <c r="AM376" i="1"/>
  <c r="AM377" i="1"/>
  <c r="AM378" i="1"/>
  <c r="AM379" i="1"/>
  <c r="AM381" i="1"/>
  <c r="AM382" i="1"/>
  <c r="AM383" i="1"/>
  <c r="AM384" i="1"/>
  <c r="AM385" i="1"/>
  <c r="AM386" i="1"/>
  <c r="AM387" i="1"/>
  <c r="AM388" i="1"/>
  <c r="AM389" i="1"/>
  <c r="AM390" i="1"/>
  <c r="AM391" i="1"/>
  <c r="AM392" i="1"/>
  <c r="AM393" i="1"/>
  <c r="AM394" i="1"/>
  <c r="AM395" i="1"/>
  <c r="AM396" i="1"/>
  <c r="AM397" i="1"/>
  <c r="AM398"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1" i="1"/>
  <c r="AM432" i="1"/>
  <c r="AM433" i="1"/>
  <c r="AM436" i="1"/>
  <c r="AM435" i="1"/>
  <c r="AM437" i="1"/>
  <c r="AM438" i="1"/>
  <c r="AM439" i="1"/>
  <c r="AM440" i="1"/>
  <c r="AM441" i="1"/>
  <c r="AM442"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738"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4" i="1"/>
  <c r="AM555" i="1"/>
  <c r="AM556" i="1"/>
  <c r="AM557" i="1"/>
  <c r="AM558" i="1"/>
  <c r="AM559" i="1"/>
  <c r="AM560" i="1"/>
  <c r="AM561" i="1"/>
  <c r="AM562" i="1"/>
  <c r="AM563" i="1"/>
  <c r="AM564" i="1"/>
  <c r="AM565" i="1"/>
  <c r="AM566"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268" i="1"/>
  <c r="AM647" i="1"/>
  <c r="AM784" i="1"/>
  <c r="AM785"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6" i="1"/>
  <c r="AM717" i="1"/>
  <c r="AM718" i="1"/>
  <c r="AM719" i="1"/>
  <c r="AM720" i="1"/>
  <c r="AM721" i="1"/>
  <c r="AM722" i="1"/>
  <c r="AM723" i="1"/>
  <c r="AM724" i="1"/>
  <c r="AM725" i="1"/>
  <c r="AM726" i="1"/>
  <c r="AM727" i="1"/>
  <c r="AM728" i="1"/>
  <c r="AM729" i="1"/>
  <c r="AM730" i="1"/>
  <c r="AM731" i="1"/>
  <c r="AM732" i="1"/>
  <c r="AM733" i="1"/>
  <c r="AM734" i="1"/>
  <c r="AM735" i="1"/>
  <c r="AM736" i="1"/>
  <c r="AM737"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113" i="1"/>
  <c r="AM794" i="1"/>
  <c r="AM166" i="1"/>
  <c r="AM283" i="1"/>
  <c r="AM313" i="1"/>
  <c r="AM380" i="1"/>
  <c r="AM400" i="1"/>
  <c r="AM443" i="1"/>
  <c r="AM519" i="1"/>
  <c r="AM567" i="1"/>
  <c r="AM596" i="1"/>
  <c r="AM330" i="1"/>
  <c r="AM281" i="1"/>
  <c r="AM434" i="1"/>
  <c r="AM430" i="1"/>
  <c r="AM399" i="1"/>
  <c r="AM553" i="1"/>
  <c r="AM200" i="1"/>
  <c r="AM151" i="1"/>
  <c r="AM2" i="1"/>
  <c r="O7" i="1"/>
  <c r="Q7" i="1"/>
  <c r="P7" i="1" s="1"/>
  <c r="O3" i="1"/>
  <c r="Q3" i="1"/>
  <c r="P3" i="1" s="1"/>
  <c r="O4" i="1"/>
  <c r="Q4" i="1"/>
  <c r="P4" i="1" s="1"/>
  <c r="O5" i="1"/>
  <c r="Q5" i="1"/>
  <c r="P5" i="1" s="1"/>
  <c r="O6" i="1"/>
  <c r="Q6" i="1"/>
  <c r="P6" i="1" s="1"/>
  <c r="O8" i="1"/>
  <c r="Q8" i="1"/>
  <c r="P8" i="1" s="1"/>
  <c r="O9" i="1"/>
  <c r="Q9" i="1"/>
  <c r="P9" i="1" s="1"/>
  <c r="O10" i="1"/>
  <c r="Q10" i="1"/>
  <c r="P10" i="1" s="1"/>
  <c r="O11" i="1"/>
  <c r="Q11" i="1"/>
  <c r="P11" i="1" s="1"/>
  <c r="O12" i="1"/>
  <c r="Q12" i="1"/>
  <c r="P12" i="1" s="1"/>
  <c r="O13" i="1"/>
  <c r="Q13" i="1"/>
  <c r="P13" i="1" s="1"/>
  <c r="O14" i="1"/>
  <c r="Q14" i="1"/>
  <c r="P14" i="1" s="1"/>
  <c r="O15" i="1"/>
  <c r="Q15" i="1"/>
  <c r="P15" i="1" s="1"/>
  <c r="O16" i="1"/>
  <c r="Q16" i="1"/>
  <c r="P16" i="1" s="1"/>
  <c r="O17" i="1"/>
  <c r="Q17" i="1"/>
  <c r="P17" i="1" s="1"/>
  <c r="O18" i="1"/>
  <c r="Q18" i="1"/>
  <c r="P18" i="1" s="1"/>
  <c r="O19" i="1"/>
  <c r="Q19" i="1"/>
  <c r="P19" i="1" s="1"/>
  <c r="O20" i="1"/>
  <c r="Q20" i="1"/>
  <c r="P20" i="1" s="1"/>
  <c r="O21" i="1"/>
  <c r="Q21" i="1"/>
  <c r="P21" i="1" s="1"/>
  <c r="O22" i="1"/>
  <c r="Q22" i="1"/>
  <c r="P22" i="1" s="1"/>
  <c r="O23" i="1"/>
  <c r="Q23" i="1"/>
  <c r="P23" i="1" s="1"/>
  <c r="O24" i="1"/>
  <c r="Q24" i="1"/>
  <c r="P24" i="1" s="1"/>
  <c r="O25" i="1"/>
  <c r="Q25" i="1"/>
  <c r="P25" i="1" s="1"/>
  <c r="O26" i="1"/>
  <c r="Q26" i="1"/>
  <c r="P26" i="1" s="1"/>
  <c r="O27" i="1"/>
  <c r="Q27" i="1"/>
  <c r="P27" i="1" s="1"/>
  <c r="O28" i="1"/>
  <c r="Q28" i="1"/>
  <c r="P28" i="1" s="1"/>
  <c r="O29" i="1"/>
  <c r="Q29" i="1"/>
  <c r="P29" i="1" s="1"/>
  <c r="O30" i="1"/>
  <c r="Q30" i="1"/>
  <c r="P30" i="1" s="1"/>
  <c r="O31" i="1"/>
  <c r="Q31" i="1"/>
  <c r="P31" i="1" s="1"/>
  <c r="O32" i="1"/>
  <c r="Q32" i="1"/>
  <c r="P32" i="1" s="1"/>
  <c r="O33" i="1"/>
  <c r="Q33" i="1"/>
  <c r="P33" i="1" s="1"/>
  <c r="O34" i="1"/>
  <c r="Q34" i="1"/>
  <c r="P34" i="1" s="1"/>
  <c r="O35" i="1"/>
  <c r="Q35" i="1"/>
  <c r="P35" i="1" s="1"/>
  <c r="O36" i="1"/>
  <c r="Q36" i="1"/>
  <c r="P36" i="1" s="1"/>
  <c r="O37" i="1"/>
  <c r="Q37" i="1"/>
  <c r="P37" i="1" s="1"/>
  <c r="O38" i="1"/>
  <c r="Q38" i="1"/>
  <c r="P38" i="1" s="1"/>
  <c r="O39" i="1"/>
  <c r="Q39" i="1"/>
  <c r="P39" i="1" s="1"/>
  <c r="O40" i="1"/>
  <c r="Q40" i="1"/>
  <c r="P40" i="1" s="1"/>
  <c r="O41" i="1"/>
  <c r="Q41" i="1"/>
  <c r="P41" i="1" s="1"/>
  <c r="O42" i="1"/>
  <c r="Q42" i="1"/>
  <c r="P42" i="1" s="1"/>
  <c r="O43" i="1"/>
  <c r="Q43" i="1"/>
  <c r="P43" i="1" s="1"/>
  <c r="O44" i="1"/>
  <c r="Q44" i="1"/>
  <c r="P44" i="1" s="1"/>
  <c r="O45" i="1"/>
  <c r="Q45" i="1"/>
  <c r="P45" i="1" s="1"/>
  <c r="O46" i="1"/>
  <c r="Q46" i="1"/>
  <c r="P46" i="1" s="1"/>
  <c r="O47" i="1"/>
  <c r="Q47" i="1"/>
  <c r="P47" i="1" s="1"/>
  <c r="O51" i="1"/>
  <c r="Q51" i="1"/>
  <c r="P51" i="1" s="1"/>
  <c r="O52" i="1"/>
  <c r="Q52" i="1"/>
  <c r="P52" i="1" s="1"/>
  <c r="O53" i="1"/>
  <c r="Q53" i="1"/>
  <c r="P53" i="1" s="1"/>
  <c r="O50" i="1"/>
  <c r="Q50" i="1"/>
  <c r="P50" i="1" s="1"/>
  <c r="O48" i="1"/>
  <c r="Q48" i="1"/>
  <c r="P48" i="1" s="1"/>
  <c r="O49" i="1"/>
  <c r="Q49" i="1"/>
  <c r="P49" i="1" s="1"/>
  <c r="O54" i="1"/>
  <c r="Q54" i="1"/>
  <c r="P54" i="1" s="1"/>
  <c r="O55" i="1"/>
  <c r="Q55" i="1"/>
  <c r="P55" i="1" s="1"/>
  <c r="O56" i="1"/>
  <c r="Q56" i="1"/>
  <c r="P56" i="1" s="1"/>
  <c r="O57" i="1"/>
  <c r="Q57" i="1"/>
  <c r="P57" i="1" s="1"/>
  <c r="O58" i="1"/>
  <c r="Q58" i="1"/>
  <c r="P58" i="1" s="1"/>
  <c r="O59" i="1"/>
  <c r="Q59" i="1"/>
  <c r="P59" i="1" s="1"/>
  <c r="O60" i="1"/>
  <c r="Q60" i="1"/>
  <c r="P60" i="1" s="1"/>
  <c r="O61" i="1"/>
  <c r="Q61" i="1"/>
  <c r="P61" i="1" s="1"/>
  <c r="O62" i="1"/>
  <c r="Q62" i="1"/>
  <c r="P62" i="1" s="1"/>
  <c r="O63" i="1"/>
  <c r="Q63" i="1"/>
  <c r="P63" i="1" s="1"/>
  <c r="O64" i="1"/>
  <c r="Q64" i="1"/>
  <c r="P64" i="1" s="1"/>
  <c r="O65" i="1"/>
  <c r="Q65" i="1"/>
  <c r="P65" i="1" s="1"/>
  <c r="O66" i="1"/>
  <c r="Q66" i="1"/>
  <c r="P66" i="1" s="1"/>
  <c r="O67" i="1"/>
  <c r="Q67" i="1"/>
  <c r="P67" i="1" s="1"/>
  <c r="O68" i="1"/>
  <c r="Q68" i="1"/>
  <c r="P68" i="1" s="1"/>
  <c r="O69" i="1"/>
  <c r="Q69" i="1"/>
  <c r="P69" i="1" s="1"/>
  <c r="O70" i="1"/>
  <c r="Q70" i="1"/>
  <c r="P70" i="1" s="1"/>
  <c r="O71" i="1"/>
  <c r="Q71" i="1"/>
  <c r="P71" i="1" s="1"/>
  <c r="O72" i="1"/>
  <c r="Q72" i="1"/>
  <c r="P72" i="1" s="1"/>
  <c r="O73" i="1"/>
  <c r="Q73" i="1"/>
  <c r="P73" i="1" s="1"/>
  <c r="O74" i="1"/>
  <c r="Q74" i="1"/>
  <c r="P74" i="1" s="1"/>
  <c r="O75" i="1"/>
  <c r="Q75" i="1"/>
  <c r="P75" i="1" s="1"/>
  <c r="O76" i="1"/>
  <c r="Q76" i="1"/>
  <c r="P76" i="1" s="1"/>
  <c r="O77" i="1"/>
  <c r="Q77" i="1"/>
  <c r="P77" i="1" s="1"/>
  <c r="O78" i="1"/>
  <c r="Q78" i="1"/>
  <c r="P78" i="1" s="1"/>
  <c r="O79" i="1"/>
  <c r="Q79" i="1"/>
  <c r="P79" i="1" s="1"/>
  <c r="O80" i="1"/>
  <c r="Q80" i="1"/>
  <c r="P80" i="1" s="1"/>
  <c r="O81" i="1"/>
  <c r="Q81" i="1"/>
  <c r="P81" i="1" s="1"/>
  <c r="O82" i="1"/>
  <c r="Q82" i="1"/>
  <c r="P82" i="1" s="1"/>
  <c r="O83" i="1"/>
  <c r="Q83" i="1"/>
  <c r="P83" i="1" s="1"/>
  <c r="O84" i="1"/>
  <c r="Q84" i="1"/>
  <c r="P84" i="1" s="1"/>
  <c r="O85" i="1"/>
  <c r="Q85" i="1"/>
  <c r="P85" i="1" s="1"/>
  <c r="O86" i="1"/>
  <c r="Q86" i="1"/>
  <c r="P86" i="1" s="1"/>
  <c r="O87" i="1"/>
  <c r="Q87" i="1"/>
  <c r="P87" i="1" s="1"/>
  <c r="O88" i="1"/>
  <c r="Q88" i="1"/>
  <c r="P88" i="1" s="1"/>
  <c r="O89" i="1"/>
  <c r="Q89" i="1"/>
  <c r="P89" i="1" s="1"/>
  <c r="O90" i="1"/>
  <c r="Q90" i="1"/>
  <c r="P90" i="1" s="1"/>
  <c r="O91" i="1"/>
  <c r="Q91" i="1"/>
  <c r="P91" i="1" s="1"/>
  <c r="O92" i="1"/>
  <c r="Q92" i="1"/>
  <c r="P92" i="1" s="1"/>
  <c r="O93" i="1"/>
  <c r="Q93" i="1"/>
  <c r="P93" i="1" s="1"/>
  <c r="O94" i="1"/>
  <c r="Q94" i="1"/>
  <c r="P94" i="1" s="1"/>
  <c r="O95" i="1"/>
  <c r="Q95" i="1"/>
  <c r="P95" i="1" s="1"/>
  <c r="O96" i="1"/>
  <c r="Q96" i="1"/>
  <c r="P96" i="1" s="1"/>
  <c r="O97" i="1"/>
  <c r="Q97" i="1"/>
  <c r="P97" i="1" s="1"/>
  <c r="O98" i="1"/>
  <c r="Q98" i="1"/>
  <c r="P98" i="1" s="1"/>
  <c r="O99" i="1"/>
  <c r="Q99" i="1"/>
  <c r="P99" i="1" s="1"/>
  <c r="O100" i="1"/>
  <c r="Q100" i="1"/>
  <c r="P100" i="1" s="1"/>
  <c r="O101" i="1"/>
  <c r="Q101" i="1"/>
  <c r="P101" i="1" s="1"/>
  <c r="O102" i="1"/>
  <c r="Q102" i="1"/>
  <c r="P102" i="1" s="1"/>
  <c r="O103" i="1"/>
  <c r="Q103" i="1"/>
  <c r="P103" i="1" s="1"/>
  <c r="O104" i="1"/>
  <c r="Q104" i="1"/>
  <c r="P104" i="1" s="1"/>
  <c r="O105" i="1"/>
  <c r="Q105" i="1"/>
  <c r="P105" i="1" s="1"/>
  <c r="O106" i="1"/>
  <c r="Q106" i="1"/>
  <c r="P106" i="1" s="1"/>
  <c r="O107" i="1"/>
  <c r="Q107" i="1"/>
  <c r="P107" i="1" s="1"/>
  <c r="O108" i="1"/>
  <c r="Q108" i="1"/>
  <c r="P108" i="1" s="1"/>
  <c r="O109" i="1"/>
  <c r="Q109" i="1"/>
  <c r="P109" i="1" s="1"/>
  <c r="O110" i="1"/>
  <c r="Q110" i="1"/>
  <c r="P110" i="1" s="1"/>
  <c r="O111" i="1"/>
  <c r="Q111" i="1"/>
  <c r="P111" i="1" s="1"/>
  <c r="O112" i="1"/>
  <c r="Q112" i="1"/>
  <c r="P112" i="1" s="1"/>
  <c r="O114" i="1"/>
  <c r="Q114" i="1"/>
  <c r="P114" i="1" s="1"/>
  <c r="O115" i="1"/>
  <c r="Q115" i="1"/>
  <c r="P115" i="1" s="1"/>
  <c r="O116" i="1"/>
  <c r="Q116" i="1"/>
  <c r="P116" i="1" s="1"/>
  <c r="O117" i="1"/>
  <c r="Q117" i="1"/>
  <c r="P117" i="1" s="1"/>
  <c r="O118" i="1"/>
  <c r="Q118" i="1"/>
  <c r="P118" i="1" s="1"/>
  <c r="O119" i="1"/>
  <c r="Q119" i="1"/>
  <c r="P119" i="1" s="1"/>
  <c r="O120" i="1"/>
  <c r="Q120" i="1"/>
  <c r="P120" i="1" s="1"/>
  <c r="O121" i="1"/>
  <c r="Q121" i="1"/>
  <c r="P121" i="1" s="1"/>
  <c r="O122" i="1"/>
  <c r="Q122" i="1"/>
  <c r="P122" i="1" s="1"/>
  <c r="O123" i="1"/>
  <c r="Q123" i="1"/>
  <c r="P123" i="1" s="1"/>
  <c r="O124" i="1"/>
  <c r="Q124" i="1"/>
  <c r="P124" i="1" s="1"/>
  <c r="O125" i="1"/>
  <c r="Q125" i="1"/>
  <c r="P125" i="1" s="1"/>
  <c r="O126" i="1"/>
  <c r="Q126" i="1"/>
  <c r="P126" i="1" s="1"/>
  <c r="O127" i="1"/>
  <c r="Q127" i="1"/>
  <c r="P127" i="1" s="1"/>
  <c r="O128" i="1"/>
  <c r="Q128" i="1"/>
  <c r="P128" i="1" s="1"/>
  <c r="O129" i="1"/>
  <c r="Q129" i="1"/>
  <c r="P129" i="1" s="1"/>
  <c r="O130" i="1"/>
  <c r="Q130" i="1"/>
  <c r="P130" i="1" s="1"/>
  <c r="O131" i="1"/>
  <c r="Q131" i="1"/>
  <c r="P131" i="1" s="1"/>
  <c r="O132" i="1"/>
  <c r="Q132" i="1"/>
  <c r="P132" i="1" s="1"/>
  <c r="O133" i="1"/>
  <c r="Q133" i="1"/>
  <c r="P133" i="1" s="1"/>
  <c r="O134" i="1"/>
  <c r="Q134" i="1"/>
  <c r="P134" i="1" s="1"/>
  <c r="O135" i="1"/>
  <c r="Q135" i="1"/>
  <c r="P135" i="1" s="1"/>
  <c r="O136" i="1"/>
  <c r="Q136" i="1"/>
  <c r="P136" i="1" s="1"/>
  <c r="O137" i="1"/>
  <c r="Q137" i="1"/>
  <c r="P137" i="1" s="1"/>
  <c r="O138" i="1"/>
  <c r="Q138" i="1"/>
  <c r="P138" i="1" s="1"/>
  <c r="O139" i="1"/>
  <c r="Q139" i="1"/>
  <c r="P139" i="1" s="1"/>
  <c r="O140" i="1"/>
  <c r="Q140" i="1"/>
  <c r="P140" i="1" s="1"/>
  <c r="O141" i="1"/>
  <c r="Q141" i="1"/>
  <c r="P141" i="1" s="1"/>
  <c r="O142" i="1"/>
  <c r="Q142" i="1"/>
  <c r="P142" i="1" s="1"/>
  <c r="O143" i="1"/>
  <c r="Q143" i="1"/>
  <c r="P143" i="1" s="1"/>
  <c r="O144" i="1"/>
  <c r="Q144" i="1"/>
  <c r="P144" i="1" s="1"/>
  <c r="O145" i="1"/>
  <c r="Q145" i="1"/>
  <c r="P145" i="1" s="1"/>
  <c r="O146" i="1"/>
  <c r="Q146" i="1"/>
  <c r="P146" i="1" s="1"/>
  <c r="O147" i="1"/>
  <c r="Q147" i="1"/>
  <c r="P147" i="1" s="1"/>
  <c r="O148" i="1"/>
  <c r="Q148" i="1"/>
  <c r="P148" i="1" s="1"/>
  <c r="O149" i="1"/>
  <c r="Q149" i="1"/>
  <c r="P149" i="1" s="1"/>
  <c r="O150" i="1"/>
  <c r="Q150" i="1"/>
  <c r="P150" i="1" s="1"/>
  <c r="O152" i="1"/>
  <c r="Q152" i="1"/>
  <c r="P152" i="1" s="1"/>
  <c r="O153" i="1"/>
  <c r="Q153" i="1"/>
  <c r="P153" i="1" s="1"/>
  <c r="O154" i="1"/>
  <c r="Q154" i="1"/>
  <c r="P154" i="1" s="1"/>
  <c r="O155" i="1"/>
  <c r="Q155" i="1"/>
  <c r="P155" i="1" s="1"/>
  <c r="O156" i="1"/>
  <c r="Q156" i="1"/>
  <c r="P156" i="1" s="1"/>
  <c r="O157" i="1"/>
  <c r="Q157" i="1"/>
  <c r="P157" i="1" s="1"/>
  <c r="O158" i="1"/>
  <c r="Q158" i="1"/>
  <c r="P158" i="1" s="1"/>
  <c r="O159" i="1"/>
  <c r="Q159" i="1"/>
  <c r="P159" i="1" s="1"/>
  <c r="O160" i="1"/>
  <c r="Q160" i="1"/>
  <c r="P160" i="1" s="1"/>
  <c r="O161" i="1"/>
  <c r="Q161" i="1"/>
  <c r="P161" i="1" s="1"/>
  <c r="O162" i="1"/>
  <c r="Q162" i="1"/>
  <c r="P162" i="1" s="1"/>
  <c r="O163" i="1"/>
  <c r="Q163" i="1"/>
  <c r="P163" i="1" s="1"/>
  <c r="O164" i="1"/>
  <c r="Q164" i="1"/>
  <c r="P164" i="1" s="1"/>
  <c r="O165" i="1"/>
  <c r="Q165" i="1"/>
  <c r="P165" i="1" s="1"/>
  <c r="O167" i="1"/>
  <c r="Q167" i="1"/>
  <c r="P167" i="1" s="1"/>
  <c r="O168" i="1"/>
  <c r="Q168" i="1"/>
  <c r="P168" i="1" s="1"/>
  <c r="O169" i="1"/>
  <c r="Q169" i="1"/>
  <c r="P169" i="1" s="1"/>
  <c r="O170" i="1"/>
  <c r="Q170" i="1"/>
  <c r="P170" i="1" s="1"/>
  <c r="O171" i="1"/>
  <c r="Q171" i="1"/>
  <c r="P171" i="1" s="1"/>
  <c r="O172" i="1"/>
  <c r="Q172" i="1"/>
  <c r="P172" i="1" s="1"/>
  <c r="O173" i="1"/>
  <c r="Q173" i="1"/>
  <c r="P173" i="1" s="1"/>
  <c r="O174" i="1"/>
  <c r="Q174" i="1"/>
  <c r="P174" i="1" s="1"/>
  <c r="O175" i="1"/>
  <c r="Q175" i="1"/>
  <c r="P175" i="1" s="1"/>
  <c r="O176" i="1"/>
  <c r="Q176" i="1"/>
  <c r="P176" i="1" s="1"/>
  <c r="O177" i="1"/>
  <c r="Q177" i="1"/>
  <c r="P177" i="1" s="1"/>
  <c r="O178" i="1"/>
  <c r="Q178" i="1"/>
  <c r="P178" i="1" s="1"/>
  <c r="O179" i="1"/>
  <c r="Q179" i="1"/>
  <c r="P179" i="1" s="1"/>
  <c r="O180" i="1"/>
  <c r="Q180" i="1"/>
  <c r="P180" i="1" s="1"/>
  <c r="O181" i="1"/>
  <c r="Q181" i="1"/>
  <c r="P181" i="1" s="1"/>
  <c r="O182" i="1"/>
  <c r="Q182" i="1"/>
  <c r="P182" i="1" s="1"/>
  <c r="O183" i="1"/>
  <c r="Q183" i="1"/>
  <c r="P183" i="1" s="1"/>
  <c r="O184" i="1"/>
  <c r="Q184" i="1"/>
  <c r="P184" i="1" s="1"/>
  <c r="O185" i="1"/>
  <c r="Q185" i="1"/>
  <c r="P185" i="1" s="1"/>
  <c r="O186" i="1"/>
  <c r="Q186" i="1"/>
  <c r="P186" i="1" s="1"/>
  <c r="O187" i="1"/>
  <c r="Q187" i="1"/>
  <c r="P187" i="1" s="1"/>
  <c r="O188" i="1"/>
  <c r="Q188" i="1"/>
  <c r="P188" i="1" s="1"/>
  <c r="O189" i="1"/>
  <c r="Q189" i="1"/>
  <c r="P189" i="1" s="1"/>
  <c r="O190" i="1"/>
  <c r="Q190" i="1"/>
  <c r="P190" i="1" s="1"/>
  <c r="O191" i="1"/>
  <c r="Q191" i="1"/>
  <c r="P191" i="1" s="1"/>
  <c r="O192" i="1"/>
  <c r="Q192" i="1"/>
  <c r="P192" i="1" s="1"/>
  <c r="O193" i="1"/>
  <c r="Q193" i="1"/>
  <c r="P193" i="1" s="1"/>
  <c r="O194" i="1"/>
  <c r="Q194" i="1"/>
  <c r="P194" i="1" s="1"/>
  <c r="O195" i="1"/>
  <c r="Q195" i="1"/>
  <c r="P195" i="1" s="1"/>
  <c r="O196" i="1"/>
  <c r="Q196" i="1"/>
  <c r="P196" i="1" s="1"/>
  <c r="O197" i="1"/>
  <c r="Q197" i="1"/>
  <c r="P197" i="1" s="1"/>
  <c r="O198" i="1"/>
  <c r="Q198" i="1"/>
  <c r="P198" i="1" s="1"/>
  <c r="O199" i="1"/>
  <c r="Q199" i="1"/>
  <c r="P199" i="1" s="1"/>
  <c r="O201" i="1"/>
  <c r="Q201" i="1"/>
  <c r="P201" i="1" s="1"/>
  <c r="O202" i="1"/>
  <c r="Q202" i="1"/>
  <c r="P202" i="1" s="1"/>
  <c r="O203" i="1"/>
  <c r="Q203" i="1"/>
  <c r="P203" i="1" s="1"/>
  <c r="O204" i="1"/>
  <c r="Q204" i="1"/>
  <c r="P204" i="1" s="1"/>
  <c r="O205" i="1"/>
  <c r="Q205" i="1"/>
  <c r="P205" i="1" s="1"/>
  <c r="O206" i="1"/>
  <c r="Q206" i="1"/>
  <c r="P206" i="1" s="1"/>
  <c r="O207" i="1"/>
  <c r="Q207" i="1"/>
  <c r="P207" i="1" s="1"/>
  <c r="O208" i="1"/>
  <c r="Q208" i="1"/>
  <c r="P208" i="1" s="1"/>
  <c r="O209" i="1"/>
  <c r="Q209" i="1"/>
  <c r="P209" i="1" s="1"/>
  <c r="O210" i="1"/>
  <c r="Q210" i="1"/>
  <c r="P210" i="1" s="1"/>
  <c r="O211" i="1"/>
  <c r="Q211" i="1"/>
  <c r="P211" i="1" s="1"/>
  <c r="O212" i="1"/>
  <c r="Q212" i="1"/>
  <c r="P212" i="1" s="1"/>
  <c r="O213" i="1"/>
  <c r="Q213" i="1"/>
  <c r="P213" i="1" s="1"/>
  <c r="O214" i="1"/>
  <c r="Q214" i="1"/>
  <c r="P214" i="1" s="1"/>
  <c r="O215" i="1"/>
  <c r="Q215" i="1"/>
  <c r="P215" i="1" s="1"/>
  <c r="O216" i="1"/>
  <c r="Q216" i="1"/>
  <c r="P216" i="1" s="1"/>
  <c r="O217" i="1"/>
  <c r="Q217" i="1"/>
  <c r="P217" i="1" s="1"/>
  <c r="O218" i="1"/>
  <c r="Q218" i="1"/>
  <c r="P218" i="1" s="1"/>
  <c r="O219" i="1"/>
  <c r="Q219" i="1"/>
  <c r="P219" i="1" s="1"/>
  <c r="O220" i="1"/>
  <c r="Q220" i="1"/>
  <c r="P220" i="1" s="1"/>
  <c r="O221" i="1"/>
  <c r="Q221" i="1"/>
  <c r="P221" i="1" s="1"/>
  <c r="O222" i="1"/>
  <c r="Q222" i="1"/>
  <c r="P222" i="1" s="1"/>
  <c r="O223" i="1"/>
  <c r="Q223" i="1"/>
  <c r="P223" i="1" s="1"/>
  <c r="O224" i="1"/>
  <c r="Q224" i="1"/>
  <c r="P224" i="1" s="1"/>
  <c r="O225" i="1"/>
  <c r="Q225" i="1"/>
  <c r="P225" i="1" s="1"/>
  <c r="O226" i="1"/>
  <c r="Q226" i="1"/>
  <c r="P226" i="1" s="1"/>
  <c r="O227" i="1"/>
  <c r="Q227" i="1"/>
  <c r="P227" i="1" s="1"/>
  <c r="O228" i="1"/>
  <c r="Q228" i="1"/>
  <c r="P228" i="1" s="1"/>
  <c r="O229" i="1"/>
  <c r="Q229" i="1"/>
  <c r="P229" i="1" s="1"/>
  <c r="O230" i="1"/>
  <c r="Q230" i="1"/>
  <c r="P230" i="1" s="1"/>
  <c r="O231" i="1"/>
  <c r="Q231" i="1"/>
  <c r="P231" i="1" s="1"/>
  <c r="O232" i="1"/>
  <c r="Q232" i="1"/>
  <c r="P232" i="1" s="1"/>
  <c r="O233" i="1"/>
  <c r="Q233" i="1"/>
  <c r="P233" i="1" s="1"/>
  <c r="O234" i="1"/>
  <c r="Q234" i="1"/>
  <c r="P234" i="1" s="1"/>
  <c r="O235" i="1"/>
  <c r="Q235" i="1"/>
  <c r="P235" i="1" s="1"/>
  <c r="O236" i="1"/>
  <c r="Q236" i="1"/>
  <c r="P236" i="1" s="1"/>
  <c r="O237" i="1"/>
  <c r="Q237" i="1"/>
  <c r="P237" i="1" s="1"/>
  <c r="O238" i="1"/>
  <c r="Q238" i="1"/>
  <c r="P238" i="1" s="1"/>
  <c r="O239" i="1"/>
  <c r="Q239" i="1"/>
  <c r="P239" i="1" s="1"/>
  <c r="O240" i="1"/>
  <c r="Q240" i="1"/>
  <c r="P240" i="1" s="1"/>
  <c r="O241" i="1"/>
  <c r="Q241" i="1"/>
  <c r="P241" i="1" s="1"/>
  <c r="O242" i="1"/>
  <c r="Q242" i="1"/>
  <c r="P242" i="1" s="1"/>
  <c r="O243" i="1"/>
  <c r="Q243" i="1"/>
  <c r="P243" i="1" s="1"/>
  <c r="O244" i="1"/>
  <c r="Q244" i="1"/>
  <c r="P244" i="1" s="1"/>
  <c r="O245" i="1"/>
  <c r="Q245" i="1"/>
  <c r="P245" i="1" s="1"/>
  <c r="O246" i="1"/>
  <c r="Q246" i="1"/>
  <c r="P246" i="1" s="1"/>
  <c r="O247" i="1"/>
  <c r="Q247" i="1"/>
  <c r="P247" i="1" s="1"/>
  <c r="O248" i="1"/>
  <c r="Q248" i="1"/>
  <c r="P248" i="1" s="1"/>
  <c r="O249" i="1"/>
  <c r="Q249" i="1"/>
  <c r="P249" i="1" s="1"/>
  <c r="O250" i="1"/>
  <c r="Q250" i="1"/>
  <c r="P250" i="1" s="1"/>
  <c r="O251" i="1"/>
  <c r="Q251" i="1"/>
  <c r="P251" i="1" s="1"/>
  <c r="O252" i="1"/>
  <c r="Q252" i="1"/>
  <c r="P252" i="1" s="1"/>
  <c r="O253" i="1"/>
  <c r="Q253" i="1"/>
  <c r="P253" i="1" s="1"/>
  <c r="O254" i="1"/>
  <c r="Q254" i="1"/>
  <c r="P254" i="1" s="1"/>
  <c r="O255" i="1"/>
  <c r="Q255" i="1"/>
  <c r="P255" i="1" s="1"/>
  <c r="O256" i="1"/>
  <c r="Q256" i="1"/>
  <c r="P256" i="1" s="1"/>
  <c r="O257" i="1"/>
  <c r="Q257" i="1"/>
  <c r="P257" i="1" s="1"/>
  <c r="O258" i="1"/>
  <c r="Q258" i="1"/>
  <c r="P258" i="1" s="1"/>
  <c r="O259" i="1"/>
  <c r="Q259" i="1"/>
  <c r="P259" i="1" s="1"/>
  <c r="O260" i="1"/>
  <c r="Q260" i="1"/>
  <c r="P260" i="1" s="1"/>
  <c r="O261" i="1"/>
  <c r="Q261" i="1"/>
  <c r="P261" i="1" s="1"/>
  <c r="O262" i="1"/>
  <c r="Q262" i="1"/>
  <c r="P262" i="1" s="1"/>
  <c r="O263" i="1"/>
  <c r="Q263" i="1"/>
  <c r="P263" i="1" s="1"/>
  <c r="O264" i="1"/>
  <c r="Q264" i="1"/>
  <c r="P264" i="1" s="1"/>
  <c r="O265" i="1"/>
  <c r="Q265" i="1"/>
  <c r="P265" i="1" s="1"/>
  <c r="O266" i="1"/>
  <c r="Q266" i="1"/>
  <c r="P266" i="1" s="1"/>
  <c r="O267" i="1"/>
  <c r="Q267" i="1"/>
  <c r="P267" i="1" s="1"/>
  <c r="O269" i="1"/>
  <c r="Q269" i="1"/>
  <c r="P269" i="1" s="1"/>
  <c r="O270" i="1"/>
  <c r="Q270" i="1"/>
  <c r="P270" i="1" s="1"/>
  <c r="O271" i="1"/>
  <c r="Q271" i="1"/>
  <c r="P271" i="1" s="1"/>
  <c r="O272" i="1"/>
  <c r="Q272" i="1"/>
  <c r="P272" i="1" s="1"/>
  <c r="O273" i="1"/>
  <c r="Q273" i="1"/>
  <c r="P273" i="1" s="1"/>
  <c r="O274" i="1"/>
  <c r="Q274" i="1"/>
  <c r="P274" i="1" s="1"/>
  <c r="O275" i="1"/>
  <c r="Q275" i="1"/>
  <c r="P275" i="1" s="1"/>
  <c r="O276" i="1"/>
  <c r="Q276" i="1"/>
  <c r="P276" i="1" s="1"/>
  <c r="O277" i="1"/>
  <c r="Q277" i="1"/>
  <c r="P277" i="1" s="1"/>
  <c r="O278" i="1"/>
  <c r="Q278" i="1"/>
  <c r="P278" i="1" s="1"/>
  <c r="O279" i="1"/>
  <c r="Q279" i="1"/>
  <c r="P279" i="1" s="1"/>
  <c r="O280" i="1"/>
  <c r="Q280" i="1"/>
  <c r="P280" i="1" s="1"/>
  <c r="O282" i="1"/>
  <c r="Q282" i="1"/>
  <c r="P282" i="1" s="1"/>
  <c r="O284" i="1"/>
  <c r="Q284" i="1"/>
  <c r="P284" i="1" s="1"/>
  <c r="O285" i="1"/>
  <c r="Q285" i="1"/>
  <c r="P285" i="1" s="1"/>
  <c r="O286" i="1"/>
  <c r="Q286" i="1"/>
  <c r="P286" i="1" s="1"/>
  <c r="O287" i="1"/>
  <c r="Q287" i="1"/>
  <c r="P287" i="1" s="1"/>
  <c r="O288" i="1"/>
  <c r="Q288" i="1"/>
  <c r="P288" i="1" s="1"/>
  <c r="O289" i="1"/>
  <c r="Q289" i="1"/>
  <c r="P289" i="1" s="1"/>
  <c r="O290" i="1"/>
  <c r="Q290" i="1"/>
  <c r="P290" i="1" s="1"/>
  <c r="O291" i="1"/>
  <c r="Q291" i="1"/>
  <c r="P291" i="1" s="1"/>
  <c r="O292" i="1"/>
  <c r="Q292" i="1"/>
  <c r="P292" i="1" s="1"/>
  <c r="O293" i="1"/>
  <c r="Q293" i="1"/>
  <c r="P293" i="1" s="1"/>
  <c r="O294" i="1"/>
  <c r="Q294" i="1"/>
  <c r="P294" i="1" s="1"/>
  <c r="O295" i="1"/>
  <c r="Q295" i="1"/>
  <c r="P295" i="1" s="1"/>
  <c r="O296" i="1"/>
  <c r="Q296" i="1"/>
  <c r="P296" i="1" s="1"/>
  <c r="O297" i="1"/>
  <c r="Q297" i="1"/>
  <c r="P297" i="1" s="1"/>
  <c r="O298" i="1"/>
  <c r="Q298" i="1"/>
  <c r="P298" i="1" s="1"/>
  <c r="O299" i="1"/>
  <c r="Q299" i="1"/>
  <c r="P299" i="1" s="1"/>
  <c r="O300" i="1"/>
  <c r="Q300" i="1"/>
  <c r="P300" i="1" s="1"/>
  <c r="O301" i="1"/>
  <c r="Q301" i="1"/>
  <c r="P301" i="1" s="1"/>
  <c r="O302" i="1"/>
  <c r="Q302" i="1"/>
  <c r="P302" i="1" s="1"/>
  <c r="O303" i="1"/>
  <c r="Q303" i="1"/>
  <c r="P303" i="1" s="1"/>
  <c r="O304" i="1"/>
  <c r="Q304" i="1"/>
  <c r="P304" i="1" s="1"/>
  <c r="O305" i="1"/>
  <c r="Q305" i="1"/>
  <c r="P305" i="1" s="1"/>
  <c r="O306" i="1"/>
  <c r="Q306" i="1"/>
  <c r="P306" i="1" s="1"/>
  <c r="O307" i="1"/>
  <c r="Q307" i="1"/>
  <c r="P307" i="1" s="1"/>
  <c r="O308" i="1"/>
  <c r="Q308" i="1"/>
  <c r="P308" i="1" s="1"/>
  <c r="O309" i="1"/>
  <c r="Q309" i="1"/>
  <c r="P309" i="1" s="1"/>
  <c r="O310" i="1"/>
  <c r="Q310" i="1"/>
  <c r="P310" i="1" s="1"/>
  <c r="O311" i="1"/>
  <c r="Q311" i="1"/>
  <c r="P311" i="1" s="1"/>
  <c r="O312" i="1"/>
  <c r="Q312" i="1"/>
  <c r="P312" i="1" s="1"/>
  <c r="O314" i="1"/>
  <c r="Q314" i="1"/>
  <c r="P314" i="1" s="1"/>
  <c r="O315" i="1"/>
  <c r="Q315" i="1"/>
  <c r="P315" i="1" s="1"/>
  <c r="O316" i="1"/>
  <c r="Q316" i="1"/>
  <c r="P316" i="1" s="1"/>
  <c r="O317" i="1"/>
  <c r="Q317" i="1"/>
  <c r="P317" i="1" s="1"/>
  <c r="O318" i="1"/>
  <c r="Q318" i="1"/>
  <c r="P318" i="1" s="1"/>
  <c r="O319" i="1"/>
  <c r="Q319" i="1"/>
  <c r="P319" i="1" s="1"/>
  <c r="O320" i="1"/>
  <c r="Q320" i="1"/>
  <c r="P320" i="1" s="1"/>
  <c r="O321" i="1"/>
  <c r="Q321" i="1"/>
  <c r="P321" i="1" s="1"/>
  <c r="O322" i="1"/>
  <c r="Q322" i="1"/>
  <c r="P322" i="1" s="1"/>
  <c r="O323" i="1"/>
  <c r="Q323" i="1"/>
  <c r="P323" i="1" s="1"/>
  <c r="O324" i="1"/>
  <c r="Q324" i="1"/>
  <c r="P324" i="1" s="1"/>
  <c r="O325" i="1"/>
  <c r="Q325" i="1"/>
  <c r="P325" i="1" s="1"/>
  <c r="O326" i="1"/>
  <c r="Q326" i="1"/>
  <c r="P326" i="1" s="1"/>
  <c r="O327" i="1"/>
  <c r="Q327" i="1"/>
  <c r="P327" i="1" s="1"/>
  <c r="O328" i="1"/>
  <c r="Q328" i="1"/>
  <c r="P328" i="1" s="1"/>
  <c r="O329" i="1"/>
  <c r="Q329" i="1"/>
  <c r="P329" i="1" s="1"/>
  <c r="O331" i="1"/>
  <c r="Q331" i="1"/>
  <c r="P331" i="1" s="1"/>
  <c r="O332" i="1"/>
  <c r="Q332" i="1"/>
  <c r="P332" i="1" s="1"/>
  <c r="O333" i="1"/>
  <c r="Q333" i="1"/>
  <c r="P333" i="1" s="1"/>
  <c r="O334" i="1"/>
  <c r="Q334" i="1"/>
  <c r="P334" i="1" s="1"/>
  <c r="O335" i="1"/>
  <c r="Q335" i="1"/>
  <c r="P335" i="1" s="1"/>
  <c r="O336" i="1"/>
  <c r="Q336" i="1"/>
  <c r="P336" i="1" s="1"/>
  <c r="O337" i="1"/>
  <c r="Q337" i="1"/>
  <c r="P337" i="1" s="1"/>
  <c r="O338" i="1"/>
  <c r="Q338" i="1"/>
  <c r="P338" i="1" s="1"/>
  <c r="O339" i="1"/>
  <c r="Q339" i="1"/>
  <c r="P339" i="1" s="1"/>
  <c r="O340" i="1"/>
  <c r="Q340" i="1"/>
  <c r="P340" i="1" s="1"/>
  <c r="O341" i="1"/>
  <c r="Q341" i="1"/>
  <c r="P341" i="1" s="1"/>
  <c r="O342" i="1"/>
  <c r="Q342" i="1"/>
  <c r="P342" i="1" s="1"/>
  <c r="O343" i="1"/>
  <c r="Q343" i="1"/>
  <c r="P343" i="1" s="1"/>
  <c r="O344" i="1"/>
  <c r="Q344" i="1"/>
  <c r="P344" i="1" s="1"/>
  <c r="O345" i="1"/>
  <c r="Q345" i="1"/>
  <c r="P345" i="1" s="1"/>
  <c r="O346" i="1"/>
  <c r="Q346" i="1"/>
  <c r="P346" i="1" s="1"/>
  <c r="O347" i="1"/>
  <c r="Q347" i="1"/>
  <c r="P347" i="1" s="1"/>
  <c r="O348" i="1"/>
  <c r="Q348" i="1"/>
  <c r="P348" i="1" s="1"/>
  <c r="O349" i="1"/>
  <c r="Q349" i="1"/>
  <c r="P349" i="1" s="1"/>
  <c r="O350" i="1"/>
  <c r="Q350" i="1"/>
  <c r="P350" i="1" s="1"/>
  <c r="O351" i="1"/>
  <c r="Q351" i="1"/>
  <c r="P351" i="1" s="1"/>
  <c r="O352" i="1"/>
  <c r="Q352" i="1"/>
  <c r="P352" i="1" s="1"/>
  <c r="O353" i="1"/>
  <c r="Q353" i="1"/>
  <c r="P353" i="1" s="1"/>
  <c r="O354" i="1"/>
  <c r="Q354" i="1"/>
  <c r="P354" i="1" s="1"/>
  <c r="O355" i="1"/>
  <c r="Q355" i="1"/>
  <c r="P355" i="1" s="1"/>
  <c r="O356" i="1"/>
  <c r="Q356" i="1"/>
  <c r="P356" i="1" s="1"/>
  <c r="O357" i="1"/>
  <c r="Q357" i="1"/>
  <c r="P357" i="1" s="1"/>
  <c r="O358" i="1"/>
  <c r="Q358" i="1"/>
  <c r="P358" i="1" s="1"/>
  <c r="O359" i="1"/>
  <c r="Q359" i="1"/>
  <c r="P359" i="1" s="1"/>
  <c r="O360" i="1"/>
  <c r="Q360" i="1"/>
  <c r="P360" i="1" s="1"/>
  <c r="O361" i="1"/>
  <c r="Q361" i="1"/>
  <c r="P361" i="1" s="1"/>
  <c r="O362" i="1"/>
  <c r="Q362" i="1"/>
  <c r="P362" i="1" s="1"/>
  <c r="O363" i="1"/>
  <c r="Q363" i="1"/>
  <c r="P363" i="1" s="1"/>
  <c r="O364" i="1"/>
  <c r="Q364" i="1"/>
  <c r="P364" i="1" s="1"/>
  <c r="O365" i="1"/>
  <c r="Q365" i="1"/>
  <c r="P365" i="1" s="1"/>
  <c r="O715" i="1"/>
  <c r="Q715" i="1"/>
  <c r="P715" i="1" s="1"/>
  <c r="O366" i="1"/>
  <c r="Q366" i="1"/>
  <c r="P366" i="1" s="1"/>
  <c r="O367" i="1"/>
  <c r="Q367" i="1"/>
  <c r="P367" i="1" s="1"/>
  <c r="O368" i="1"/>
  <c r="Q368" i="1"/>
  <c r="P368" i="1" s="1"/>
  <c r="O369" i="1"/>
  <c r="Q369" i="1"/>
  <c r="P369" i="1" s="1"/>
  <c r="O370" i="1"/>
  <c r="Q370" i="1"/>
  <c r="P370" i="1" s="1"/>
  <c r="O371" i="1"/>
  <c r="Q371" i="1"/>
  <c r="P371" i="1" s="1"/>
  <c r="O372" i="1"/>
  <c r="Q372" i="1"/>
  <c r="P372" i="1" s="1"/>
  <c r="O373" i="1"/>
  <c r="Q373" i="1"/>
  <c r="P373" i="1" s="1"/>
  <c r="O374" i="1"/>
  <c r="Q374" i="1"/>
  <c r="P374" i="1" s="1"/>
  <c r="O375" i="1"/>
  <c r="Q375" i="1"/>
  <c r="P375" i="1" s="1"/>
  <c r="O376" i="1"/>
  <c r="Q376" i="1"/>
  <c r="P376" i="1" s="1"/>
  <c r="O377" i="1"/>
  <c r="Q377" i="1"/>
  <c r="P377" i="1" s="1"/>
  <c r="O378" i="1"/>
  <c r="Q378" i="1"/>
  <c r="P378" i="1" s="1"/>
  <c r="O379" i="1"/>
  <c r="Q379" i="1"/>
  <c r="P379" i="1" s="1"/>
  <c r="O381" i="1"/>
  <c r="Q381" i="1"/>
  <c r="P381" i="1" s="1"/>
  <c r="O382" i="1"/>
  <c r="Q382" i="1"/>
  <c r="P382" i="1" s="1"/>
  <c r="O383" i="1"/>
  <c r="Q383" i="1"/>
  <c r="P383" i="1" s="1"/>
  <c r="O384" i="1"/>
  <c r="Q384" i="1"/>
  <c r="P384" i="1" s="1"/>
  <c r="O385" i="1"/>
  <c r="Q385" i="1"/>
  <c r="P385" i="1" s="1"/>
  <c r="O386" i="1"/>
  <c r="Q386" i="1"/>
  <c r="P386" i="1" s="1"/>
  <c r="O387" i="1"/>
  <c r="Q387" i="1"/>
  <c r="P387" i="1" s="1"/>
  <c r="O388" i="1"/>
  <c r="Q388" i="1"/>
  <c r="P388" i="1" s="1"/>
  <c r="O389" i="1"/>
  <c r="Q389" i="1"/>
  <c r="P389" i="1" s="1"/>
  <c r="O390" i="1"/>
  <c r="Q390" i="1"/>
  <c r="P390" i="1" s="1"/>
  <c r="O391" i="1"/>
  <c r="Q391" i="1"/>
  <c r="P391" i="1" s="1"/>
  <c r="O392" i="1"/>
  <c r="Q392" i="1"/>
  <c r="P392" i="1" s="1"/>
  <c r="O393" i="1"/>
  <c r="Q393" i="1"/>
  <c r="P393" i="1" s="1"/>
  <c r="O394" i="1"/>
  <c r="Q394" i="1"/>
  <c r="P394" i="1" s="1"/>
  <c r="O395" i="1"/>
  <c r="Q395" i="1"/>
  <c r="P395" i="1" s="1"/>
  <c r="O396" i="1"/>
  <c r="Q396" i="1"/>
  <c r="P396" i="1" s="1"/>
  <c r="O397" i="1"/>
  <c r="Q397" i="1"/>
  <c r="P397" i="1" s="1"/>
  <c r="O398" i="1"/>
  <c r="Q398" i="1"/>
  <c r="P398" i="1" s="1"/>
  <c r="O401" i="1"/>
  <c r="Q401" i="1"/>
  <c r="P401" i="1" s="1"/>
  <c r="O402" i="1"/>
  <c r="Q402" i="1"/>
  <c r="P402" i="1" s="1"/>
  <c r="O403" i="1"/>
  <c r="Q403" i="1"/>
  <c r="P403" i="1" s="1"/>
  <c r="O404" i="1"/>
  <c r="Q404" i="1"/>
  <c r="P404" i="1" s="1"/>
  <c r="O405" i="1"/>
  <c r="Q405" i="1"/>
  <c r="P405" i="1" s="1"/>
  <c r="O406" i="1"/>
  <c r="Q406" i="1"/>
  <c r="P406" i="1" s="1"/>
  <c r="O407" i="1"/>
  <c r="Q407" i="1"/>
  <c r="P407" i="1" s="1"/>
  <c r="O408" i="1"/>
  <c r="Q408" i="1"/>
  <c r="P408" i="1" s="1"/>
  <c r="O409" i="1"/>
  <c r="Q409" i="1"/>
  <c r="P409" i="1" s="1"/>
  <c r="O410" i="1"/>
  <c r="Q410" i="1"/>
  <c r="P410" i="1" s="1"/>
  <c r="O411" i="1"/>
  <c r="Q411" i="1"/>
  <c r="P411" i="1" s="1"/>
  <c r="O412" i="1"/>
  <c r="Q412" i="1"/>
  <c r="P412" i="1" s="1"/>
  <c r="O413" i="1"/>
  <c r="Q413" i="1"/>
  <c r="P413" i="1" s="1"/>
  <c r="O414" i="1"/>
  <c r="Q414" i="1"/>
  <c r="P414" i="1" s="1"/>
  <c r="O415" i="1"/>
  <c r="Q415" i="1"/>
  <c r="P415" i="1" s="1"/>
  <c r="O416" i="1"/>
  <c r="Q416" i="1"/>
  <c r="P416" i="1" s="1"/>
  <c r="O417" i="1"/>
  <c r="Q417" i="1"/>
  <c r="P417" i="1" s="1"/>
  <c r="O418" i="1"/>
  <c r="Q418" i="1"/>
  <c r="P418" i="1" s="1"/>
  <c r="O419" i="1"/>
  <c r="Q419" i="1"/>
  <c r="P419" i="1" s="1"/>
  <c r="O420" i="1"/>
  <c r="Q420" i="1"/>
  <c r="P420" i="1" s="1"/>
  <c r="O421" i="1"/>
  <c r="Q421" i="1"/>
  <c r="P421" i="1" s="1"/>
  <c r="O422" i="1"/>
  <c r="Q422" i="1"/>
  <c r="P422" i="1" s="1"/>
  <c r="O423" i="1"/>
  <c r="Q423" i="1"/>
  <c r="P423" i="1" s="1"/>
  <c r="O424" i="1"/>
  <c r="Q424" i="1"/>
  <c r="P424" i="1" s="1"/>
  <c r="O425" i="1"/>
  <c r="Q425" i="1"/>
  <c r="P425" i="1" s="1"/>
  <c r="O426" i="1"/>
  <c r="Q426" i="1"/>
  <c r="P426" i="1" s="1"/>
  <c r="O427" i="1"/>
  <c r="Q427" i="1"/>
  <c r="P427" i="1" s="1"/>
  <c r="O428" i="1"/>
  <c r="Q428" i="1"/>
  <c r="P428" i="1" s="1"/>
  <c r="O429" i="1"/>
  <c r="Q429" i="1"/>
  <c r="P429" i="1" s="1"/>
  <c r="O431" i="1"/>
  <c r="Q431" i="1"/>
  <c r="P431" i="1" s="1"/>
  <c r="O432" i="1"/>
  <c r="Q432" i="1"/>
  <c r="P432" i="1" s="1"/>
  <c r="O433" i="1"/>
  <c r="Q433" i="1"/>
  <c r="P433" i="1" s="1"/>
  <c r="O436" i="1"/>
  <c r="Q436" i="1"/>
  <c r="P436" i="1" s="1"/>
  <c r="O435" i="1"/>
  <c r="Q435" i="1"/>
  <c r="P435" i="1" s="1"/>
  <c r="O437" i="1"/>
  <c r="Q437" i="1"/>
  <c r="P437" i="1" s="1"/>
  <c r="O438" i="1"/>
  <c r="Q438" i="1"/>
  <c r="P438" i="1" s="1"/>
  <c r="O439" i="1"/>
  <c r="Q439" i="1"/>
  <c r="P439" i="1" s="1"/>
  <c r="O440" i="1"/>
  <c r="Q440" i="1"/>
  <c r="P440" i="1" s="1"/>
  <c r="O441" i="1"/>
  <c r="Q441" i="1"/>
  <c r="P441" i="1" s="1"/>
  <c r="O442" i="1"/>
  <c r="Q442" i="1"/>
  <c r="P442" i="1" s="1"/>
  <c r="O444" i="1"/>
  <c r="Q444" i="1"/>
  <c r="P444" i="1" s="1"/>
  <c r="O445" i="1"/>
  <c r="Q445" i="1"/>
  <c r="P445" i="1" s="1"/>
  <c r="O446" i="1"/>
  <c r="Q446" i="1"/>
  <c r="P446" i="1" s="1"/>
  <c r="O447" i="1"/>
  <c r="Q447" i="1"/>
  <c r="P447" i="1" s="1"/>
  <c r="O448" i="1"/>
  <c r="Q448" i="1"/>
  <c r="P448" i="1" s="1"/>
  <c r="O449" i="1"/>
  <c r="Q449" i="1"/>
  <c r="P449" i="1" s="1"/>
  <c r="O450" i="1"/>
  <c r="Q450" i="1"/>
  <c r="P450" i="1" s="1"/>
  <c r="O451" i="1"/>
  <c r="Q451" i="1"/>
  <c r="P451" i="1" s="1"/>
  <c r="O452" i="1"/>
  <c r="Q452" i="1"/>
  <c r="P452" i="1" s="1"/>
  <c r="O453" i="1"/>
  <c r="Q453" i="1"/>
  <c r="P453" i="1" s="1"/>
  <c r="O454" i="1"/>
  <c r="Q454" i="1"/>
  <c r="P454" i="1" s="1"/>
  <c r="O455" i="1"/>
  <c r="Q455" i="1"/>
  <c r="P455" i="1" s="1"/>
  <c r="O456" i="1"/>
  <c r="Q456" i="1"/>
  <c r="P456" i="1" s="1"/>
  <c r="O457" i="1"/>
  <c r="Q457" i="1"/>
  <c r="P457" i="1" s="1"/>
  <c r="O458" i="1"/>
  <c r="Q458" i="1"/>
  <c r="P458" i="1" s="1"/>
  <c r="O459" i="1"/>
  <c r="Q459" i="1"/>
  <c r="P459" i="1" s="1"/>
  <c r="O460" i="1"/>
  <c r="Q460" i="1"/>
  <c r="P460" i="1" s="1"/>
  <c r="O461" i="1"/>
  <c r="Q461" i="1"/>
  <c r="P461" i="1" s="1"/>
  <c r="O462" i="1"/>
  <c r="Q462" i="1"/>
  <c r="P462" i="1" s="1"/>
  <c r="O463" i="1"/>
  <c r="Q463" i="1"/>
  <c r="P463" i="1" s="1"/>
  <c r="O464" i="1"/>
  <c r="Q464" i="1"/>
  <c r="P464" i="1" s="1"/>
  <c r="O465" i="1"/>
  <c r="Q465" i="1"/>
  <c r="P465" i="1" s="1"/>
  <c r="O466" i="1"/>
  <c r="Q466" i="1"/>
  <c r="P466" i="1" s="1"/>
  <c r="O738" i="1"/>
  <c r="Q738" i="1"/>
  <c r="P738" i="1" s="1"/>
  <c r="O467" i="1"/>
  <c r="Q467" i="1"/>
  <c r="P467" i="1" s="1"/>
  <c r="O468" i="1"/>
  <c r="Q468" i="1"/>
  <c r="P468" i="1" s="1"/>
  <c r="O469" i="1"/>
  <c r="Q469" i="1"/>
  <c r="P469" i="1" s="1"/>
  <c r="O470" i="1"/>
  <c r="Q470" i="1"/>
  <c r="P470" i="1" s="1"/>
  <c r="O471" i="1"/>
  <c r="Q471" i="1"/>
  <c r="P471" i="1" s="1"/>
  <c r="O472" i="1"/>
  <c r="Q472" i="1"/>
  <c r="P472" i="1" s="1"/>
  <c r="O473" i="1"/>
  <c r="Q473" i="1"/>
  <c r="P473" i="1" s="1"/>
  <c r="O474" i="1"/>
  <c r="Q474" i="1"/>
  <c r="P474" i="1" s="1"/>
  <c r="O475" i="1"/>
  <c r="Q475" i="1"/>
  <c r="P475" i="1" s="1"/>
  <c r="O476" i="1"/>
  <c r="Q476" i="1"/>
  <c r="P476" i="1" s="1"/>
  <c r="O477" i="1"/>
  <c r="Q477" i="1"/>
  <c r="P477" i="1" s="1"/>
  <c r="O478" i="1"/>
  <c r="Q478" i="1"/>
  <c r="P478" i="1" s="1"/>
  <c r="O479" i="1"/>
  <c r="Q479" i="1"/>
  <c r="P479" i="1" s="1"/>
  <c r="O480" i="1"/>
  <c r="Q480" i="1"/>
  <c r="P480" i="1" s="1"/>
  <c r="O481" i="1"/>
  <c r="Q481" i="1"/>
  <c r="P481" i="1" s="1"/>
  <c r="O482" i="1"/>
  <c r="Q482" i="1"/>
  <c r="P482" i="1" s="1"/>
  <c r="O483" i="1"/>
  <c r="Q483" i="1"/>
  <c r="P483" i="1" s="1"/>
  <c r="O484" i="1"/>
  <c r="Q484" i="1"/>
  <c r="P484" i="1" s="1"/>
  <c r="O485" i="1"/>
  <c r="Q485" i="1"/>
  <c r="P485" i="1" s="1"/>
  <c r="O486" i="1"/>
  <c r="Q486" i="1"/>
  <c r="P486" i="1" s="1"/>
  <c r="O487" i="1"/>
  <c r="Q487" i="1"/>
  <c r="P487" i="1" s="1"/>
  <c r="O488" i="1"/>
  <c r="Q488" i="1"/>
  <c r="P488" i="1" s="1"/>
  <c r="O489" i="1"/>
  <c r="Q489" i="1"/>
  <c r="P489" i="1" s="1"/>
  <c r="O490" i="1"/>
  <c r="Q490" i="1"/>
  <c r="P490" i="1" s="1"/>
  <c r="O491" i="1"/>
  <c r="Q491" i="1"/>
  <c r="P491" i="1" s="1"/>
  <c r="O492" i="1"/>
  <c r="Q492" i="1"/>
  <c r="P492" i="1" s="1"/>
  <c r="O493" i="1"/>
  <c r="Q493" i="1"/>
  <c r="P493" i="1" s="1"/>
  <c r="O494" i="1"/>
  <c r="Q494" i="1"/>
  <c r="P494" i="1" s="1"/>
  <c r="O495" i="1"/>
  <c r="Q495" i="1"/>
  <c r="P495" i="1" s="1"/>
  <c r="O496" i="1"/>
  <c r="Q496" i="1"/>
  <c r="P496" i="1" s="1"/>
  <c r="O497" i="1"/>
  <c r="Q497" i="1"/>
  <c r="P497" i="1" s="1"/>
  <c r="O498" i="1"/>
  <c r="Q498" i="1"/>
  <c r="P498" i="1" s="1"/>
  <c r="O499" i="1"/>
  <c r="Q499" i="1"/>
  <c r="P499" i="1" s="1"/>
  <c r="O500" i="1"/>
  <c r="Q500" i="1"/>
  <c r="P500" i="1" s="1"/>
  <c r="O501" i="1"/>
  <c r="Q501" i="1"/>
  <c r="P501" i="1" s="1"/>
  <c r="O502" i="1"/>
  <c r="Q502" i="1"/>
  <c r="P502" i="1" s="1"/>
  <c r="O503" i="1"/>
  <c r="Q503" i="1"/>
  <c r="P503" i="1" s="1"/>
  <c r="O504" i="1"/>
  <c r="Q504" i="1"/>
  <c r="P504" i="1" s="1"/>
  <c r="O505" i="1"/>
  <c r="Q505" i="1"/>
  <c r="P505" i="1" s="1"/>
  <c r="O506" i="1"/>
  <c r="Q506" i="1"/>
  <c r="P506" i="1" s="1"/>
  <c r="O507" i="1"/>
  <c r="Q507" i="1"/>
  <c r="P507" i="1" s="1"/>
  <c r="O508" i="1"/>
  <c r="Q508" i="1"/>
  <c r="P508" i="1" s="1"/>
  <c r="O509" i="1"/>
  <c r="Q509" i="1"/>
  <c r="P509" i="1" s="1"/>
  <c r="O510" i="1"/>
  <c r="Q510" i="1"/>
  <c r="P510" i="1" s="1"/>
  <c r="O511" i="1"/>
  <c r="Q511" i="1"/>
  <c r="P511" i="1" s="1"/>
  <c r="O512" i="1"/>
  <c r="Q512" i="1"/>
  <c r="P512" i="1" s="1"/>
  <c r="O513" i="1"/>
  <c r="Q513" i="1"/>
  <c r="P513" i="1" s="1"/>
  <c r="O514" i="1"/>
  <c r="Q514" i="1"/>
  <c r="P514" i="1" s="1"/>
  <c r="O515" i="1"/>
  <c r="Q515" i="1"/>
  <c r="P515" i="1" s="1"/>
  <c r="O516" i="1"/>
  <c r="Q516" i="1"/>
  <c r="P516" i="1" s="1"/>
  <c r="O517" i="1"/>
  <c r="Q517" i="1"/>
  <c r="P517" i="1" s="1"/>
  <c r="O518" i="1"/>
  <c r="Q518" i="1"/>
  <c r="P518" i="1" s="1"/>
  <c r="O520" i="1"/>
  <c r="Q520" i="1"/>
  <c r="P520" i="1" s="1"/>
  <c r="O521" i="1"/>
  <c r="Q521" i="1"/>
  <c r="P521" i="1" s="1"/>
  <c r="O522" i="1"/>
  <c r="Q522" i="1"/>
  <c r="P522" i="1" s="1"/>
  <c r="O523" i="1"/>
  <c r="Q523" i="1"/>
  <c r="P523" i="1" s="1"/>
  <c r="O524" i="1"/>
  <c r="Q524" i="1"/>
  <c r="P524" i="1" s="1"/>
  <c r="O525" i="1"/>
  <c r="Q525" i="1"/>
  <c r="P525" i="1" s="1"/>
  <c r="O526" i="1"/>
  <c r="Q526" i="1"/>
  <c r="P526" i="1" s="1"/>
  <c r="O527" i="1"/>
  <c r="Q527" i="1"/>
  <c r="P527" i="1" s="1"/>
  <c r="O528" i="1"/>
  <c r="Q528" i="1"/>
  <c r="P528" i="1" s="1"/>
  <c r="O529" i="1"/>
  <c r="Q529" i="1"/>
  <c r="P529" i="1" s="1"/>
  <c r="O530" i="1"/>
  <c r="Q530" i="1"/>
  <c r="P530" i="1" s="1"/>
  <c r="O531" i="1"/>
  <c r="Q531" i="1"/>
  <c r="P531" i="1" s="1"/>
  <c r="O532" i="1"/>
  <c r="Q532" i="1"/>
  <c r="P532" i="1" s="1"/>
  <c r="O533" i="1"/>
  <c r="Q533" i="1"/>
  <c r="P533" i="1" s="1"/>
  <c r="O534" i="1"/>
  <c r="Q534" i="1"/>
  <c r="P534" i="1" s="1"/>
  <c r="O535" i="1"/>
  <c r="Q535" i="1"/>
  <c r="P535" i="1" s="1"/>
  <c r="O536" i="1"/>
  <c r="Q536" i="1"/>
  <c r="P536" i="1" s="1"/>
  <c r="O537" i="1"/>
  <c r="Q537" i="1"/>
  <c r="P537" i="1" s="1"/>
  <c r="O538" i="1"/>
  <c r="Q538" i="1"/>
  <c r="P538" i="1" s="1"/>
  <c r="O539" i="1"/>
  <c r="Q539" i="1"/>
  <c r="P539" i="1" s="1"/>
  <c r="O540" i="1"/>
  <c r="Q540" i="1"/>
  <c r="P540" i="1" s="1"/>
  <c r="O541" i="1"/>
  <c r="Q541" i="1"/>
  <c r="P541" i="1" s="1"/>
  <c r="O542" i="1"/>
  <c r="Q542" i="1"/>
  <c r="P542" i="1" s="1"/>
  <c r="O543" i="1"/>
  <c r="Q543" i="1"/>
  <c r="P543" i="1" s="1"/>
  <c r="O544" i="1"/>
  <c r="Q544" i="1"/>
  <c r="P544" i="1" s="1"/>
  <c r="O545" i="1"/>
  <c r="Q545" i="1"/>
  <c r="P545" i="1" s="1"/>
  <c r="O546" i="1"/>
  <c r="Q546" i="1"/>
  <c r="P546" i="1" s="1"/>
  <c r="O547" i="1"/>
  <c r="Q547" i="1"/>
  <c r="P547" i="1" s="1"/>
  <c r="O548" i="1"/>
  <c r="Q548" i="1"/>
  <c r="P548" i="1" s="1"/>
  <c r="O549" i="1"/>
  <c r="Q549" i="1"/>
  <c r="P549" i="1" s="1"/>
  <c r="O550" i="1"/>
  <c r="Q550" i="1"/>
  <c r="P550" i="1" s="1"/>
  <c r="O551" i="1"/>
  <c r="Q551" i="1"/>
  <c r="P551" i="1" s="1"/>
  <c r="O552" i="1"/>
  <c r="Q552" i="1"/>
  <c r="P552" i="1" s="1"/>
  <c r="O554" i="1"/>
  <c r="Q554" i="1"/>
  <c r="P554" i="1" s="1"/>
  <c r="O555" i="1"/>
  <c r="Q555" i="1"/>
  <c r="P555" i="1" s="1"/>
  <c r="O556" i="1"/>
  <c r="Q556" i="1"/>
  <c r="P556" i="1" s="1"/>
  <c r="O557" i="1"/>
  <c r="Q557" i="1"/>
  <c r="P557" i="1" s="1"/>
  <c r="O558" i="1"/>
  <c r="Q558" i="1"/>
  <c r="P558" i="1" s="1"/>
  <c r="O559" i="1"/>
  <c r="Q559" i="1"/>
  <c r="P559" i="1" s="1"/>
  <c r="O560" i="1"/>
  <c r="Q560" i="1"/>
  <c r="P560" i="1" s="1"/>
  <c r="O561" i="1"/>
  <c r="Q561" i="1"/>
  <c r="P561" i="1" s="1"/>
  <c r="O562" i="1"/>
  <c r="Q562" i="1"/>
  <c r="P562" i="1" s="1"/>
  <c r="O563" i="1"/>
  <c r="Q563" i="1"/>
  <c r="P563" i="1" s="1"/>
  <c r="O564" i="1"/>
  <c r="Q564" i="1"/>
  <c r="P564" i="1" s="1"/>
  <c r="O565" i="1"/>
  <c r="Q565" i="1"/>
  <c r="P565" i="1" s="1"/>
  <c r="O566" i="1"/>
  <c r="Q566" i="1"/>
  <c r="P566" i="1" s="1"/>
  <c r="O568" i="1"/>
  <c r="Q568" i="1"/>
  <c r="P568" i="1" s="1"/>
  <c r="O569" i="1"/>
  <c r="Q569" i="1"/>
  <c r="P569" i="1" s="1"/>
  <c r="O570" i="1"/>
  <c r="Q570" i="1"/>
  <c r="P570" i="1" s="1"/>
  <c r="O571" i="1"/>
  <c r="Q571" i="1"/>
  <c r="P571" i="1" s="1"/>
  <c r="O572" i="1"/>
  <c r="Q572" i="1"/>
  <c r="P572" i="1" s="1"/>
  <c r="O573" i="1"/>
  <c r="Q573" i="1"/>
  <c r="P573" i="1" s="1"/>
  <c r="O574" i="1"/>
  <c r="Q574" i="1"/>
  <c r="P574" i="1" s="1"/>
  <c r="O575" i="1"/>
  <c r="Q575" i="1"/>
  <c r="P575" i="1" s="1"/>
  <c r="O576" i="1"/>
  <c r="Q576" i="1"/>
  <c r="P576" i="1" s="1"/>
  <c r="O577" i="1"/>
  <c r="Q577" i="1"/>
  <c r="P577" i="1" s="1"/>
  <c r="O578" i="1"/>
  <c r="Q578" i="1"/>
  <c r="P578" i="1" s="1"/>
  <c r="O579" i="1"/>
  <c r="Q579" i="1"/>
  <c r="P579" i="1" s="1"/>
  <c r="O580" i="1"/>
  <c r="Q580" i="1"/>
  <c r="P580" i="1" s="1"/>
  <c r="O581" i="1"/>
  <c r="Q581" i="1"/>
  <c r="P581" i="1" s="1"/>
  <c r="O582" i="1"/>
  <c r="Q582" i="1"/>
  <c r="P582" i="1" s="1"/>
  <c r="O583" i="1"/>
  <c r="Q583" i="1"/>
  <c r="P583" i="1" s="1"/>
  <c r="O584" i="1"/>
  <c r="Q584" i="1"/>
  <c r="P584" i="1" s="1"/>
  <c r="O585" i="1"/>
  <c r="Q585" i="1"/>
  <c r="P585" i="1" s="1"/>
  <c r="O586" i="1"/>
  <c r="Q586" i="1"/>
  <c r="P586" i="1" s="1"/>
  <c r="O587" i="1"/>
  <c r="Q587" i="1"/>
  <c r="P587" i="1" s="1"/>
  <c r="O588" i="1"/>
  <c r="Q588" i="1"/>
  <c r="P588" i="1" s="1"/>
  <c r="O589" i="1"/>
  <c r="Q589" i="1"/>
  <c r="P589" i="1" s="1"/>
  <c r="O590" i="1"/>
  <c r="Q590" i="1"/>
  <c r="P590" i="1" s="1"/>
  <c r="O591" i="1"/>
  <c r="Q591" i="1"/>
  <c r="P591" i="1" s="1"/>
  <c r="O592" i="1"/>
  <c r="Q592" i="1"/>
  <c r="P592" i="1" s="1"/>
  <c r="O593" i="1"/>
  <c r="Q593" i="1"/>
  <c r="P593" i="1" s="1"/>
  <c r="O594" i="1"/>
  <c r="Q594" i="1"/>
  <c r="P594" i="1" s="1"/>
  <c r="O595" i="1"/>
  <c r="Q595" i="1"/>
  <c r="P595" i="1" s="1"/>
  <c r="O597" i="1"/>
  <c r="Q597" i="1"/>
  <c r="P597" i="1" s="1"/>
  <c r="O598" i="1"/>
  <c r="Q598" i="1"/>
  <c r="P598" i="1" s="1"/>
  <c r="O599" i="1"/>
  <c r="Q599" i="1"/>
  <c r="P599" i="1" s="1"/>
  <c r="O600" i="1"/>
  <c r="Q600" i="1"/>
  <c r="P600" i="1" s="1"/>
  <c r="O601" i="1"/>
  <c r="Q601" i="1"/>
  <c r="P601" i="1" s="1"/>
  <c r="O602" i="1"/>
  <c r="Q602" i="1"/>
  <c r="P602" i="1" s="1"/>
  <c r="O603" i="1"/>
  <c r="Q603" i="1"/>
  <c r="P603" i="1" s="1"/>
  <c r="O604" i="1"/>
  <c r="Q604" i="1"/>
  <c r="P604" i="1" s="1"/>
  <c r="O605" i="1"/>
  <c r="Q605" i="1"/>
  <c r="P605" i="1" s="1"/>
  <c r="O606" i="1"/>
  <c r="Q606" i="1"/>
  <c r="P606" i="1" s="1"/>
  <c r="O607" i="1"/>
  <c r="Q607" i="1"/>
  <c r="P607" i="1" s="1"/>
  <c r="O608" i="1"/>
  <c r="Q608" i="1"/>
  <c r="P608" i="1" s="1"/>
  <c r="O609" i="1"/>
  <c r="Q609" i="1"/>
  <c r="P609" i="1" s="1"/>
  <c r="O610" i="1"/>
  <c r="Q610" i="1"/>
  <c r="P610" i="1" s="1"/>
  <c r="O611" i="1"/>
  <c r="Q611" i="1"/>
  <c r="P611" i="1" s="1"/>
  <c r="O612" i="1"/>
  <c r="Q612" i="1"/>
  <c r="P612" i="1" s="1"/>
  <c r="O613" i="1"/>
  <c r="Q613" i="1"/>
  <c r="P613" i="1" s="1"/>
  <c r="O614" i="1"/>
  <c r="Q614" i="1"/>
  <c r="P614" i="1" s="1"/>
  <c r="O615" i="1"/>
  <c r="Q615" i="1"/>
  <c r="P615" i="1" s="1"/>
  <c r="O616" i="1"/>
  <c r="Q616" i="1"/>
  <c r="P616" i="1" s="1"/>
  <c r="O617" i="1"/>
  <c r="Q617" i="1"/>
  <c r="P617" i="1" s="1"/>
  <c r="O618" i="1"/>
  <c r="Q618" i="1"/>
  <c r="P618" i="1" s="1"/>
  <c r="O619" i="1"/>
  <c r="Q619" i="1"/>
  <c r="P619" i="1" s="1"/>
  <c r="O620" i="1"/>
  <c r="Q620" i="1"/>
  <c r="P620" i="1" s="1"/>
  <c r="O621" i="1"/>
  <c r="Q621" i="1"/>
  <c r="P621" i="1" s="1"/>
  <c r="O622" i="1"/>
  <c r="Q622" i="1"/>
  <c r="P622" i="1" s="1"/>
  <c r="O623" i="1"/>
  <c r="Q623" i="1"/>
  <c r="P623" i="1" s="1"/>
  <c r="O624" i="1"/>
  <c r="Q624" i="1"/>
  <c r="P624" i="1" s="1"/>
  <c r="O625" i="1"/>
  <c r="Q625" i="1"/>
  <c r="P625" i="1" s="1"/>
  <c r="O626" i="1"/>
  <c r="Q626" i="1"/>
  <c r="P626" i="1" s="1"/>
  <c r="O627" i="1"/>
  <c r="Q627" i="1"/>
  <c r="P627" i="1" s="1"/>
  <c r="O628" i="1"/>
  <c r="Q628" i="1"/>
  <c r="P628" i="1" s="1"/>
  <c r="O629" i="1"/>
  <c r="Q629" i="1"/>
  <c r="P629" i="1" s="1"/>
  <c r="O630" i="1"/>
  <c r="Q630" i="1"/>
  <c r="P630" i="1" s="1"/>
  <c r="O631" i="1"/>
  <c r="Q631" i="1"/>
  <c r="P631" i="1" s="1"/>
  <c r="O632" i="1"/>
  <c r="Q632" i="1"/>
  <c r="P632" i="1" s="1"/>
  <c r="O633" i="1"/>
  <c r="Q633" i="1"/>
  <c r="P633" i="1" s="1"/>
  <c r="O634" i="1"/>
  <c r="Q634" i="1"/>
  <c r="P634" i="1" s="1"/>
  <c r="O635" i="1"/>
  <c r="Q635" i="1"/>
  <c r="P635" i="1" s="1"/>
  <c r="O636" i="1"/>
  <c r="Q636" i="1"/>
  <c r="P636" i="1" s="1"/>
  <c r="O637" i="1"/>
  <c r="Q637" i="1"/>
  <c r="P637" i="1" s="1"/>
  <c r="O638" i="1"/>
  <c r="Q638" i="1"/>
  <c r="P638" i="1" s="1"/>
  <c r="O639" i="1"/>
  <c r="Q639" i="1"/>
  <c r="P639" i="1" s="1"/>
  <c r="O640" i="1"/>
  <c r="Q640" i="1"/>
  <c r="P640" i="1" s="1"/>
  <c r="O641" i="1"/>
  <c r="Q641" i="1"/>
  <c r="P641" i="1" s="1"/>
  <c r="O642" i="1"/>
  <c r="Q642" i="1"/>
  <c r="P642" i="1" s="1"/>
  <c r="O643" i="1"/>
  <c r="Q643" i="1"/>
  <c r="P643" i="1" s="1"/>
  <c r="O644" i="1"/>
  <c r="Q644" i="1"/>
  <c r="P644" i="1" s="1"/>
  <c r="O645" i="1"/>
  <c r="Q645" i="1"/>
  <c r="P645" i="1" s="1"/>
  <c r="O646" i="1"/>
  <c r="Q646" i="1"/>
  <c r="P646" i="1" s="1"/>
  <c r="O268" i="1"/>
  <c r="Q268" i="1"/>
  <c r="P268" i="1" s="1"/>
  <c r="O647" i="1"/>
  <c r="Q647" i="1"/>
  <c r="P647" i="1" s="1"/>
  <c r="O784" i="1"/>
  <c r="Q784" i="1"/>
  <c r="P784" i="1" s="1"/>
  <c r="O785" i="1"/>
  <c r="Q785" i="1"/>
  <c r="P785" i="1" s="1"/>
  <c r="O648" i="1"/>
  <c r="Q648" i="1"/>
  <c r="P648" i="1" s="1"/>
  <c r="O649" i="1"/>
  <c r="Q649" i="1"/>
  <c r="P649" i="1" s="1"/>
  <c r="O650" i="1"/>
  <c r="Q650" i="1"/>
  <c r="P650" i="1" s="1"/>
  <c r="O651" i="1"/>
  <c r="Q651" i="1"/>
  <c r="P651" i="1" s="1"/>
  <c r="O652" i="1"/>
  <c r="Q652" i="1"/>
  <c r="P652" i="1" s="1"/>
  <c r="O653" i="1"/>
  <c r="Q653" i="1"/>
  <c r="P653" i="1" s="1"/>
  <c r="O654" i="1"/>
  <c r="Q654" i="1"/>
  <c r="P654" i="1" s="1"/>
  <c r="O655" i="1"/>
  <c r="Q655" i="1"/>
  <c r="P655" i="1" s="1"/>
  <c r="O656" i="1"/>
  <c r="Q656" i="1"/>
  <c r="P656" i="1" s="1"/>
  <c r="O657" i="1"/>
  <c r="Q657" i="1"/>
  <c r="P657" i="1" s="1"/>
  <c r="O658" i="1"/>
  <c r="Q658" i="1"/>
  <c r="P658" i="1" s="1"/>
  <c r="O659" i="1"/>
  <c r="Q659" i="1"/>
  <c r="P659" i="1" s="1"/>
  <c r="O660" i="1"/>
  <c r="Q660" i="1"/>
  <c r="P660" i="1" s="1"/>
  <c r="O661" i="1"/>
  <c r="Q661" i="1"/>
  <c r="P661" i="1" s="1"/>
  <c r="O662" i="1"/>
  <c r="Q662" i="1"/>
  <c r="P662" i="1" s="1"/>
  <c r="O663" i="1"/>
  <c r="Q663" i="1"/>
  <c r="P663" i="1" s="1"/>
  <c r="O664" i="1"/>
  <c r="Q664" i="1"/>
  <c r="P664" i="1" s="1"/>
  <c r="O665" i="1"/>
  <c r="Q665" i="1"/>
  <c r="P665" i="1" s="1"/>
  <c r="O666" i="1"/>
  <c r="Q666" i="1"/>
  <c r="P666" i="1" s="1"/>
  <c r="O667" i="1"/>
  <c r="Q667" i="1"/>
  <c r="P667" i="1" s="1"/>
  <c r="O668" i="1"/>
  <c r="Q668" i="1"/>
  <c r="P668" i="1" s="1"/>
  <c r="O669" i="1"/>
  <c r="Q669" i="1"/>
  <c r="P669" i="1" s="1"/>
  <c r="O670" i="1"/>
  <c r="Q670" i="1"/>
  <c r="P670" i="1" s="1"/>
  <c r="O671" i="1"/>
  <c r="Q671" i="1"/>
  <c r="P671" i="1" s="1"/>
  <c r="O672" i="1"/>
  <c r="Q672" i="1"/>
  <c r="P672" i="1" s="1"/>
  <c r="O673" i="1"/>
  <c r="Q673" i="1"/>
  <c r="P673" i="1" s="1"/>
  <c r="O674" i="1"/>
  <c r="Q674" i="1"/>
  <c r="P674" i="1" s="1"/>
  <c r="O675" i="1"/>
  <c r="Q675" i="1"/>
  <c r="P675" i="1" s="1"/>
  <c r="O676" i="1"/>
  <c r="Q676" i="1"/>
  <c r="P676" i="1" s="1"/>
  <c r="O677" i="1"/>
  <c r="Q677" i="1"/>
  <c r="P677" i="1" s="1"/>
  <c r="O678" i="1"/>
  <c r="Q678" i="1"/>
  <c r="P678" i="1" s="1"/>
  <c r="O679" i="1"/>
  <c r="Q679" i="1"/>
  <c r="P679" i="1" s="1"/>
  <c r="O680" i="1"/>
  <c r="Q680" i="1"/>
  <c r="P680" i="1" s="1"/>
  <c r="O681" i="1"/>
  <c r="Q681" i="1"/>
  <c r="P681" i="1" s="1"/>
  <c r="O682" i="1"/>
  <c r="Q682" i="1"/>
  <c r="P682" i="1" s="1"/>
  <c r="O683" i="1"/>
  <c r="Q683" i="1"/>
  <c r="P683" i="1" s="1"/>
  <c r="O684" i="1"/>
  <c r="Q684" i="1"/>
  <c r="P684" i="1" s="1"/>
  <c r="O685" i="1"/>
  <c r="Q685" i="1"/>
  <c r="P685" i="1" s="1"/>
  <c r="O686" i="1"/>
  <c r="Q686" i="1"/>
  <c r="P686" i="1" s="1"/>
  <c r="O687" i="1"/>
  <c r="Q687" i="1"/>
  <c r="P687" i="1" s="1"/>
  <c r="O688" i="1"/>
  <c r="Q688" i="1"/>
  <c r="P688" i="1" s="1"/>
  <c r="O689" i="1"/>
  <c r="Q689" i="1"/>
  <c r="P689" i="1" s="1"/>
  <c r="O690" i="1"/>
  <c r="Q690" i="1"/>
  <c r="P690" i="1" s="1"/>
  <c r="O691" i="1"/>
  <c r="Q691" i="1"/>
  <c r="P691" i="1" s="1"/>
  <c r="O692" i="1"/>
  <c r="Q692" i="1"/>
  <c r="P692" i="1" s="1"/>
  <c r="O693" i="1"/>
  <c r="Q693" i="1"/>
  <c r="P693" i="1" s="1"/>
  <c r="O694" i="1"/>
  <c r="Q694" i="1"/>
  <c r="P694" i="1" s="1"/>
  <c r="O695" i="1"/>
  <c r="Q695" i="1"/>
  <c r="P695" i="1" s="1"/>
  <c r="O696" i="1"/>
  <c r="Q696" i="1"/>
  <c r="P696" i="1" s="1"/>
  <c r="O697" i="1"/>
  <c r="Q697" i="1"/>
  <c r="P697" i="1" s="1"/>
  <c r="O698" i="1"/>
  <c r="Q698" i="1"/>
  <c r="P698" i="1" s="1"/>
  <c r="O699" i="1"/>
  <c r="Q699" i="1"/>
  <c r="P699" i="1" s="1"/>
  <c r="O700" i="1"/>
  <c r="Q700" i="1"/>
  <c r="P700" i="1" s="1"/>
  <c r="O701" i="1"/>
  <c r="Q701" i="1"/>
  <c r="P701" i="1" s="1"/>
  <c r="O702" i="1"/>
  <c r="Q702" i="1"/>
  <c r="P702" i="1" s="1"/>
  <c r="O703" i="1"/>
  <c r="Q703" i="1"/>
  <c r="P703" i="1" s="1"/>
  <c r="O704" i="1"/>
  <c r="Q704" i="1"/>
  <c r="P704" i="1" s="1"/>
  <c r="O705" i="1"/>
  <c r="Q705" i="1"/>
  <c r="P705" i="1" s="1"/>
  <c r="O706" i="1"/>
  <c r="Q706" i="1"/>
  <c r="P706" i="1" s="1"/>
  <c r="O707" i="1"/>
  <c r="Q707" i="1"/>
  <c r="P707" i="1" s="1"/>
  <c r="O708" i="1"/>
  <c r="Q708" i="1"/>
  <c r="P708" i="1" s="1"/>
  <c r="O709" i="1"/>
  <c r="Q709" i="1"/>
  <c r="P709" i="1" s="1"/>
  <c r="O710" i="1"/>
  <c r="Q710" i="1"/>
  <c r="P710" i="1" s="1"/>
  <c r="O711" i="1"/>
  <c r="Q711" i="1"/>
  <c r="P711" i="1" s="1"/>
  <c r="O712" i="1"/>
  <c r="Q712" i="1"/>
  <c r="P712" i="1" s="1"/>
  <c r="O713" i="1"/>
  <c r="Q713" i="1"/>
  <c r="P713" i="1" s="1"/>
  <c r="O714" i="1"/>
  <c r="Q714" i="1"/>
  <c r="P714" i="1" s="1"/>
  <c r="O716" i="1"/>
  <c r="Q716" i="1"/>
  <c r="P716" i="1" s="1"/>
  <c r="O717" i="1"/>
  <c r="Q717" i="1"/>
  <c r="P717" i="1" s="1"/>
  <c r="O718" i="1"/>
  <c r="Q718" i="1"/>
  <c r="P718" i="1" s="1"/>
  <c r="O719" i="1"/>
  <c r="Q719" i="1"/>
  <c r="P719" i="1" s="1"/>
  <c r="O720" i="1"/>
  <c r="Q720" i="1"/>
  <c r="P720" i="1" s="1"/>
  <c r="O721" i="1"/>
  <c r="Q721" i="1"/>
  <c r="P721" i="1" s="1"/>
  <c r="O722" i="1"/>
  <c r="Q722" i="1"/>
  <c r="P722" i="1" s="1"/>
  <c r="O723" i="1"/>
  <c r="Q723" i="1"/>
  <c r="P723" i="1" s="1"/>
  <c r="O724" i="1"/>
  <c r="Q724" i="1"/>
  <c r="P724" i="1" s="1"/>
  <c r="O725" i="1"/>
  <c r="Q725" i="1"/>
  <c r="P725" i="1" s="1"/>
  <c r="O726" i="1"/>
  <c r="Q726" i="1"/>
  <c r="P726" i="1" s="1"/>
  <c r="O727" i="1"/>
  <c r="Q727" i="1"/>
  <c r="P727" i="1" s="1"/>
  <c r="O728" i="1"/>
  <c r="Q728" i="1"/>
  <c r="P728" i="1" s="1"/>
  <c r="O729" i="1"/>
  <c r="Q729" i="1"/>
  <c r="P729" i="1" s="1"/>
  <c r="O730" i="1"/>
  <c r="Q730" i="1"/>
  <c r="P730" i="1" s="1"/>
  <c r="O731" i="1"/>
  <c r="Q731" i="1"/>
  <c r="P731" i="1" s="1"/>
  <c r="O732" i="1"/>
  <c r="Q732" i="1"/>
  <c r="P732" i="1" s="1"/>
  <c r="O733" i="1"/>
  <c r="Q733" i="1"/>
  <c r="P733" i="1" s="1"/>
  <c r="O734" i="1"/>
  <c r="Q734" i="1"/>
  <c r="P734" i="1" s="1"/>
  <c r="O735" i="1"/>
  <c r="Q735" i="1"/>
  <c r="P735" i="1" s="1"/>
  <c r="O736" i="1"/>
  <c r="Q736" i="1"/>
  <c r="P736" i="1" s="1"/>
  <c r="O737" i="1"/>
  <c r="Q737" i="1"/>
  <c r="P737" i="1" s="1"/>
  <c r="O739" i="1"/>
  <c r="Q739" i="1"/>
  <c r="P739" i="1" s="1"/>
  <c r="O740" i="1"/>
  <c r="Q740" i="1"/>
  <c r="P740" i="1" s="1"/>
  <c r="O741" i="1"/>
  <c r="Q741" i="1"/>
  <c r="P741" i="1" s="1"/>
  <c r="O742" i="1"/>
  <c r="Q742" i="1"/>
  <c r="P742" i="1" s="1"/>
  <c r="O743" i="1"/>
  <c r="Q743" i="1"/>
  <c r="P743" i="1" s="1"/>
  <c r="O744" i="1"/>
  <c r="Q744" i="1"/>
  <c r="P744" i="1" s="1"/>
  <c r="O745" i="1"/>
  <c r="Q745" i="1"/>
  <c r="P745" i="1" s="1"/>
  <c r="O746" i="1"/>
  <c r="Q746" i="1"/>
  <c r="P746" i="1" s="1"/>
  <c r="O747" i="1"/>
  <c r="Q747" i="1"/>
  <c r="P747" i="1" s="1"/>
  <c r="O748" i="1"/>
  <c r="Q748" i="1"/>
  <c r="P748" i="1" s="1"/>
  <c r="O749" i="1"/>
  <c r="Q749" i="1"/>
  <c r="P749" i="1" s="1"/>
  <c r="O750" i="1"/>
  <c r="Q750" i="1"/>
  <c r="P750" i="1" s="1"/>
  <c r="O751" i="1"/>
  <c r="Q751" i="1"/>
  <c r="P751" i="1" s="1"/>
  <c r="O752" i="1"/>
  <c r="Q752" i="1"/>
  <c r="P752" i="1" s="1"/>
  <c r="O753" i="1"/>
  <c r="Q753" i="1"/>
  <c r="P753" i="1" s="1"/>
  <c r="O754" i="1"/>
  <c r="Q754" i="1"/>
  <c r="P754" i="1" s="1"/>
  <c r="O755" i="1"/>
  <c r="Q755" i="1"/>
  <c r="P755" i="1" s="1"/>
  <c r="O756" i="1"/>
  <c r="Q756" i="1"/>
  <c r="P756" i="1" s="1"/>
  <c r="O757" i="1"/>
  <c r="Q757" i="1"/>
  <c r="P757" i="1" s="1"/>
  <c r="O758" i="1"/>
  <c r="Q758" i="1"/>
  <c r="P758" i="1" s="1"/>
  <c r="O759" i="1"/>
  <c r="Q759" i="1"/>
  <c r="P759" i="1" s="1"/>
  <c r="O760" i="1"/>
  <c r="Q760" i="1"/>
  <c r="P760" i="1" s="1"/>
  <c r="O761" i="1"/>
  <c r="Q761" i="1"/>
  <c r="P761" i="1" s="1"/>
  <c r="O762" i="1"/>
  <c r="Q762" i="1"/>
  <c r="P762" i="1" s="1"/>
  <c r="O763" i="1"/>
  <c r="Q763" i="1"/>
  <c r="P763" i="1" s="1"/>
  <c r="O764" i="1"/>
  <c r="Q764" i="1"/>
  <c r="P764" i="1" s="1"/>
  <c r="O765" i="1"/>
  <c r="Q765" i="1"/>
  <c r="P765" i="1" s="1"/>
  <c r="O766" i="1"/>
  <c r="Q766" i="1"/>
  <c r="P766" i="1" s="1"/>
  <c r="O767" i="1"/>
  <c r="Q767" i="1"/>
  <c r="P767" i="1" s="1"/>
  <c r="O768" i="1"/>
  <c r="Q768" i="1"/>
  <c r="P768" i="1" s="1"/>
  <c r="O769" i="1"/>
  <c r="Q769" i="1"/>
  <c r="P769" i="1" s="1"/>
  <c r="O770" i="1"/>
  <c r="Q770" i="1"/>
  <c r="P770" i="1" s="1"/>
  <c r="O771" i="1"/>
  <c r="Q771" i="1"/>
  <c r="P771" i="1" s="1"/>
  <c r="O772" i="1"/>
  <c r="Q772" i="1"/>
  <c r="P772" i="1" s="1"/>
  <c r="O773" i="1"/>
  <c r="Q773" i="1"/>
  <c r="P773" i="1" s="1"/>
  <c r="O774" i="1"/>
  <c r="Q774" i="1"/>
  <c r="P774" i="1" s="1"/>
  <c r="O775" i="1"/>
  <c r="Q775" i="1"/>
  <c r="P775" i="1" s="1"/>
  <c r="O776" i="1"/>
  <c r="Q776" i="1"/>
  <c r="P776" i="1" s="1"/>
  <c r="O777" i="1"/>
  <c r="Q777" i="1"/>
  <c r="P777" i="1" s="1"/>
  <c r="O778" i="1"/>
  <c r="Q778" i="1"/>
  <c r="P778" i="1" s="1"/>
  <c r="O779" i="1"/>
  <c r="Q779" i="1"/>
  <c r="P779" i="1" s="1"/>
  <c r="O780" i="1"/>
  <c r="Q780" i="1"/>
  <c r="P780" i="1" s="1"/>
  <c r="O781" i="1"/>
  <c r="Q781" i="1"/>
  <c r="P781" i="1" s="1"/>
  <c r="O782" i="1"/>
  <c r="Q782" i="1"/>
  <c r="P782" i="1" s="1"/>
  <c r="O783" i="1"/>
  <c r="Q783" i="1"/>
  <c r="P783" i="1" s="1"/>
  <c r="O113" i="1"/>
  <c r="Q113" i="1"/>
  <c r="P113" i="1" s="1"/>
  <c r="O794" i="1"/>
  <c r="Q794" i="1"/>
  <c r="P794" i="1" s="1"/>
  <c r="O166" i="1"/>
  <c r="Q166" i="1"/>
  <c r="P166" i="1" s="1"/>
  <c r="O283" i="1"/>
  <c r="Q283" i="1"/>
  <c r="P283" i="1" s="1"/>
  <c r="O313" i="1"/>
  <c r="Q313" i="1"/>
  <c r="P313" i="1" s="1"/>
  <c r="O380" i="1"/>
  <c r="Q380" i="1"/>
  <c r="P380" i="1" s="1"/>
  <c r="O400" i="1"/>
  <c r="Q400" i="1"/>
  <c r="P400" i="1" s="1"/>
  <c r="O443" i="1"/>
  <c r="Q443" i="1"/>
  <c r="P443" i="1" s="1"/>
  <c r="O519" i="1"/>
  <c r="Q519" i="1"/>
  <c r="P519" i="1" s="1"/>
  <c r="O567" i="1"/>
  <c r="Q567" i="1"/>
  <c r="P567" i="1" s="1"/>
  <c r="O596" i="1"/>
  <c r="Q596" i="1"/>
  <c r="P596" i="1" s="1"/>
  <c r="O330" i="1"/>
  <c r="Q330" i="1"/>
  <c r="P330" i="1" s="1"/>
  <c r="O281" i="1"/>
  <c r="Q281" i="1"/>
  <c r="P281" i="1" s="1"/>
  <c r="O434" i="1"/>
  <c r="Q434" i="1"/>
  <c r="P434" i="1" s="1"/>
  <c r="O430" i="1"/>
  <c r="Q430" i="1"/>
  <c r="P430" i="1" s="1"/>
  <c r="O399" i="1"/>
  <c r="Q399" i="1"/>
  <c r="P399" i="1" s="1"/>
  <c r="O553" i="1"/>
  <c r="Q553" i="1"/>
  <c r="P553" i="1" s="1"/>
  <c r="O200" i="1"/>
  <c r="Q200" i="1"/>
  <c r="P200" i="1" s="1"/>
  <c r="O151" i="1"/>
  <c r="Q151" i="1"/>
  <c r="P151" i="1" s="1"/>
  <c r="O807" i="1"/>
  <c r="Q807" i="1"/>
  <c r="P807" i="1" s="1"/>
  <c r="O804" i="1"/>
  <c r="Q804" i="1"/>
  <c r="P804" i="1" s="1"/>
  <c r="O802" i="1"/>
  <c r="Q802" i="1"/>
  <c r="P802" i="1" s="1"/>
  <c r="O797" i="1"/>
  <c r="Q797" i="1"/>
  <c r="P797" i="1" s="1"/>
  <c r="O791" i="1"/>
  <c r="Q791" i="1"/>
  <c r="P791" i="1" s="1"/>
  <c r="Q2" i="1"/>
  <c r="O2" i="1"/>
  <c r="AS69" i="11"/>
  <c r="AB28" i="11"/>
  <c r="Z28" i="11"/>
  <c r="X28" i="11"/>
  <c r="Z20" i="11"/>
  <c r="AB20" i="11"/>
  <c r="X20" i="11"/>
  <c r="I10" i="11"/>
  <c r="I11" i="11"/>
  <c r="J9" i="11"/>
  <c r="I9" i="11"/>
  <c r="I5" i="11"/>
  <c r="H5" i="11"/>
  <c r="J5" i="11" s="1"/>
  <c r="H4" i="11"/>
  <c r="I4" i="11"/>
  <c r="J4" i="11" s="1"/>
  <c r="H3" i="11"/>
  <c r="I3" i="11"/>
  <c r="J3" i="11" s="1"/>
  <c r="P2" i="1" l="1"/>
  <c r="AC24" i="11"/>
  <c r="AC25" i="11"/>
  <c r="AC26" i="11"/>
  <c r="AC27" i="11"/>
  <c r="AC23" i="11"/>
  <c r="AC28" i="11" s="1"/>
  <c r="AA24" i="11"/>
  <c r="AA25" i="11"/>
  <c r="AA26" i="11"/>
  <c r="AA27" i="11"/>
  <c r="AA23" i="11"/>
  <c r="AA28" i="11" s="1"/>
  <c r="Y24" i="11"/>
  <c r="Y25" i="11"/>
  <c r="Y26" i="11"/>
  <c r="Y27" i="11"/>
  <c r="Y23" i="11"/>
  <c r="Y28" i="11" s="1"/>
  <c r="Y16" i="11"/>
  <c r="Y17" i="11"/>
  <c r="Y18" i="11"/>
  <c r="Y19" i="11"/>
  <c r="Y15" i="11"/>
  <c r="Y20" i="11" s="1"/>
  <c r="AC15" i="11"/>
  <c r="AC16" i="11"/>
  <c r="AC17" i="11"/>
  <c r="AC18" i="11"/>
  <c r="AC19" i="11"/>
  <c r="AA16" i="11"/>
  <c r="AA17" i="11"/>
  <c r="AA18" i="11"/>
  <c r="AA19" i="11"/>
  <c r="AA15" i="11"/>
  <c r="AA20" i="11" s="1"/>
  <c r="AC20" i="11" l="1"/>
</calcChain>
</file>

<file path=xl/sharedStrings.xml><?xml version="1.0" encoding="utf-8"?>
<sst xmlns="http://schemas.openxmlformats.org/spreadsheetml/2006/main" count="11131" uniqueCount="2502">
  <si>
    <t>CR</t>
  </si>
  <si>
    <t>ZONA</t>
  </si>
  <si>
    <t>DEPARTAMENTO</t>
  </si>
  <si>
    <t>MUN</t>
  </si>
  <si>
    <t>UPZ/COMUNA</t>
  </si>
  <si>
    <t>ESTRATO</t>
  </si>
  <si>
    <t>NAME</t>
  </si>
  <si>
    <t>ARRENDADOR</t>
  </si>
  <si>
    <t>TIPO DE LOCAL</t>
  </si>
  <si>
    <t>AREA</t>
  </si>
  <si>
    <t>VT</t>
  </si>
  <si>
    <t>ET</t>
  </si>
  <si>
    <t>TR15MIN</t>
  </si>
  <si>
    <t>FECHA APE</t>
  </si>
  <si>
    <t>DIA</t>
  </si>
  <si>
    <t>DIAS OP</t>
  </si>
  <si>
    <t>DIAS MES</t>
  </si>
  <si>
    <t>MESOP</t>
  </si>
  <si>
    <t>Y</t>
  </si>
  <si>
    <t>X</t>
  </si>
  <si>
    <t>TRAFICO UM</t>
  </si>
  <si>
    <t>TRU6</t>
  </si>
  <si>
    <t>TICKET UM</t>
  </si>
  <si>
    <t>TICKET U6M</t>
  </si>
  <si>
    <t>VENTAS OUM</t>
  </si>
  <si>
    <t>VU6M</t>
  </si>
  <si>
    <t>CONTRIBUCION UM</t>
  </si>
  <si>
    <t>CONTRIBUCION U6M</t>
  </si>
  <si>
    <t>MARGEN UM</t>
  </si>
  <si>
    <t>MARGEN U6M</t>
  </si>
  <si>
    <t>RENTA</t>
  </si>
  <si>
    <t>RU6M</t>
  </si>
  <si>
    <t>%Batting</t>
  </si>
  <si>
    <t>GENERADOR</t>
  </si>
  <si>
    <t>ESTADO</t>
  </si>
  <si>
    <t>SEG26</t>
  </si>
  <si>
    <t>TIE26</t>
  </si>
  <si>
    <t>ME</t>
  </si>
  <si>
    <t>COSTO M2</t>
  </si>
  <si>
    <t>TE</t>
  </si>
  <si>
    <t>PTH</t>
  </si>
  <si>
    <t>50WHX</t>
  </si>
  <si>
    <t>Centro Norte</t>
  </si>
  <si>
    <t>Distrito Capital</t>
  </si>
  <si>
    <t>Bogotá</t>
  </si>
  <si>
    <t>LOS CEDROS</t>
  </si>
  <si>
    <t>140-R</t>
  </si>
  <si>
    <t>Esquinero</t>
  </si>
  <si>
    <t>BAJA DENSIDAD</t>
  </si>
  <si>
    <t>ABIERTA</t>
  </si>
  <si>
    <t>BASE</t>
  </si>
  <si>
    <t>TMCB</t>
  </si>
  <si>
    <t>PT</t>
  </si>
  <si>
    <t>Alto</t>
  </si>
  <si>
    <t>50QK2</t>
  </si>
  <si>
    <t>Centro Sur</t>
  </si>
  <si>
    <t>CIUDAD JARDIN</t>
  </si>
  <si>
    <t>1ERO DE MAYO</t>
  </si>
  <si>
    <t>COMERCIO/SERVICIO</t>
  </si>
  <si>
    <t>Quiroga</t>
  </si>
  <si>
    <t>Medio</t>
  </si>
  <si>
    <t>50HQ9</t>
  </si>
  <si>
    <t>PARDO RUBIO</t>
  </si>
  <si>
    <t>7 ESTORIAS</t>
  </si>
  <si>
    <t>ND</t>
  </si>
  <si>
    <t>EXP 2026</t>
  </si>
  <si>
    <t>Septima 49</t>
  </si>
  <si>
    <t>50VEG</t>
  </si>
  <si>
    <t>CHICO LAGO</t>
  </si>
  <si>
    <t>72 CARACAS</t>
  </si>
  <si>
    <t>TAQ INVERSIONES S.A.S</t>
  </si>
  <si>
    <t>EXP 2025</t>
  </si>
  <si>
    <t>1ero De Mayo</t>
  </si>
  <si>
    <t>50EXM</t>
  </si>
  <si>
    <t>CASTILLA</t>
  </si>
  <si>
    <t>72 CASTILLA</t>
  </si>
  <si>
    <t>HOGAR</t>
  </si>
  <si>
    <t xml:space="preserve">Britania </t>
  </si>
  <si>
    <t>505ST</t>
  </si>
  <si>
    <t>LAS NIEVES</t>
  </si>
  <si>
    <t>724</t>
  </si>
  <si>
    <t>CONSTRUCTORA COLPATRIA S.A.S</t>
  </si>
  <si>
    <t>ADMINISTRATIVO</t>
  </si>
  <si>
    <t>Bosque Izquierdo</t>
  </si>
  <si>
    <t>50WLE</t>
  </si>
  <si>
    <t>KENNEDY CENTRAL</t>
  </si>
  <si>
    <t>73 KENNEDY</t>
  </si>
  <si>
    <t>Kennedy Central</t>
  </si>
  <si>
    <t>50JA1</t>
  </si>
  <si>
    <t>78 KENNEDY</t>
  </si>
  <si>
    <t>SALUD</t>
  </si>
  <si>
    <t>Gonzalez Valencia</t>
  </si>
  <si>
    <t>505TQ</t>
  </si>
  <si>
    <t>Cundinamarca</t>
  </si>
  <si>
    <t>Girardot</t>
  </si>
  <si>
    <t>NORTE</t>
  </si>
  <si>
    <t>ACACIAS</t>
  </si>
  <si>
    <t>Uan Sur</t>
  </si>
  <si>
    <t>Bajo</t>
  </si>
  <si>
    <t>509BS</t>
  </si>
  <si>
    <t>COUNTRY CLUB</t>
  </si>
  <si>
    <t>ACOMEDICA 2</t>
  </si>
  <si>
    <t>Medianero</t>
  </si>
  <si>
    <t>Chicamocha</t>
  </si>
  <si>
    <t>502B0</t>
  </si>
  <si>
    <t>Occidente</t>
  </si>
  <si>
    <t>Risaralda</t>
  </si>
  <si>
    <t>Dosquebradas</t>
  </si>
  <si>
    <t>COMUNA 10</t>
  </si>
  <si>
    <t>ACUARELA</t>
  </si>
  <si>
    <t>TC</t>
  </si>
  <si>
    <t>50IHY</t>
  </si>
  <si>
    <t>Valle del Cauca</t>
  </si>
  <si>
    <t>Cali</t>
  </si>
  <si>
    <t>COMUNA 19</t>
  </si>
  <si>
    <t>AFE REFUGIO</t>
  </si>
  <si>
    <t>SPORT SALUD CENTRO MÉDICO DEPORTIVO SAS</t>
  </si>
  <si>
    <t>Cedritos</t>
  </si>
  <si>
    <t>505DL</t>
  </si>
  <si>
    <t>Oriente</t>
  </si>
  <si>
    <t>Santander</t>
  </si>
  <si>
    <t>Bucaramanga</t>
  </si>
  <si>
    <t>ORIENTAL</t>
  </si>
  <si>
    <t>AGUSTIN</t>
  </si>
  <si>
    <t>RECESO</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</si>
  <si>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</si>
  <si>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</si>
  <si>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</si>
  <si>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</si>
  <si>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</si>
  <si>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</si>
  <si>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</si>
  <si>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</si>
  <si>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</si>
  <si>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</si>
  <si>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</si>
  <si>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</si>
  <si>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</si>
  <si>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50FZH</t>
  </si>
  <si>
    <t>ALAMOS</t>
  </si>
  <si>
    <t>ALAMOS INDUSTRIAL</t>
  </si>
  <si>
    <t>Zona Franca</t>
  </si>
  <si>
    <t>50IOP</t>
  </si>
  <si>
    <t>EL PRADO</t>
  </si>
  <si>
    <t>ALCALA</t>
  </si>
  <si>
    <t>Rionegro</t>
  </si>
  <si>
    <t>503Z7</t>
  </si>
  <si>
    <t>Piedecuesta</t>
  </si>
  <si>
    <t>PIEDECUESTA</t>
  </si>
  <si>
    <t xml:space="preserve">ALDEA COMERCIAL </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</si>
  <si>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</si>
  <si>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</si>
  <si>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</si>
  <si>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</si>
  <si>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</si>
  <si>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</si>
  <si>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</si>
  <si>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</si>
  <si>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</si>
  <si>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</si>
  <si>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</si>
  <si>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</si>
  <si>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Morato</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</si>
  <si>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</si>
  <si>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</si>
  <si>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</si>
  <si>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</si>
  <si>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</si>
  <si>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</si>
  <si>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</si>
  <si>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</si>
  <si>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</si>
  <si>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</si>
  <si>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</si>
  <si>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</si>
  <si>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</si>
  <si>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</si>
  <si>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</si>
  <si>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</si>
  <si>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</si>
  <si>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</si>
  <si>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</si>
  <si>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50L9T</t>
  </si>
  <si>
    <t>Norte</t>
  </si>
  <si>
    <t>Atlántico</t>
  </si>
  <si>
    <t>Barranquilla</t>
  </si>
  <si>
    <t>CENTRO HISTORICO</t>
  </si>
  <si>
    <t>ALTO PRADO 76</t>
  </si>
  <si>
    <t>H.U.B. SOLUCIONES INMOBILIARIAS S.A.S.</t>
  </si>
  <si>
    <t>50YHD</t>
  </si>
  <si>
    <t>CABECERA DEL LLANO</t>
  </si>
  <si>
    <t xml:space="preserve">ALTOS DE CABECERA 2 </t>
  </si>
  <si>
    <t>Sotomayor</t>
  </si>
  <si>
    <t>50Y4E</t>
  </si>
  <si>
    <t>Madrid</t>
  </si>
  <si>
    <t>MADRID</t>
  </si>
  <si>
    <t>ALTOS DEL CICLISTA</t>
  </si>
  <si>
    <t>RICARDO JUNCA GARZON</t>
  </si>
  <si>
    <t>TRANSPORTE</t>
  </si>
  <si>
    <t>Giron El Poblado</t>
  </si>
  <si>
    <t>501YH</t>
  </si>
  <si>
    <t>AMERICAS</t>
  </si>
  <si>
    <t>AMERICA OCCIDENTAL</t>
  </si>
  <si>
    <t>CALZADO DE LA SABANA S.A.S.</t>
  </si>
  <si>
    <t>Chapinero</t>
  </si>
  <si>
    <t>50LTJ</t>
  </si>
  <si>
    <t>PUENTE ARANDA</t>
  </si>
  <si>
    <t>AMÉRICAS</t>
  </si>
  <si>
    <t>SI SISTEMA INTEGRAL INMOBILIARIO S.A.S.</t>
  </si>
  <si>
    <t>Primera 27</t>
  </si>
  <si>
    <t>50417</t>
  </si>
  <si>
    <t>AMÉRICAS 72</t>
  </si>
  <si>
    <t>CLAUDIO ENRIQUE BRICEÑO BERMUDEZ</t>
  </si>
  <si>
    <t>America Occidental</t>
  </si>
  <si>
    <t>50VOZ</t>
  </si>
  <si>
    <t>AMÉRICAS BOYACÁ</t>
  </si>
  <si>
    <t>JOHN EDISON GIRALDO GIRALDO, ELKIN URIEL ARISTIZABAL BOTERO, GILBERTO ANDRES OCHOA CEBALLOS, LUIS ALEJANDRO OCHOA CEBALLOS, CESAR AUGUSTO OCHOA OSPINA Y ASTRID JOHANNA MESA HERRERA.</t>
  </si>
  <si>
    <t>ESTACION DE SERVICIO</t>
  </si>
  <si>
    <t>Eds Molino</t>
  </si>
  <si>
    <t>50IP7</t>
  </si>
  <si>
    <t>Floridablanca</t>
  </si>
  <si>
    <t>FLORIDABLANCA</t>
  </si>
  <si>
    <t>ANILLO VIAL</t>
  </si>
  <si>
    <t>Cedro</t>
  </si>
  <si>
    <t>502XT</t>
  </si>
  <si>
    <t>ANTIGUA</t>
  </si>
  <si>
    <t>Foresta Norte Armeni</t>
  </si>
  <si>
    <t>50OMJ</t>
  </si>
  <si>
    <t>QUIMBAYA</t>
  </si>
  <si>
    <t>AQUAZUL</t>
  </si>
  <si>
    <t>INVERSIONES CABO VERDE S.A.S</t>
  </si>
  <si>
    <t>50CV4</t>
  </si>
  <si>
    <t>CALI</t>
  </si>
  <si>
    <t>ARBOLATTA MALL</t>
  </si>
  <si>
    <t>Santa Matilde</t>
  </si>
  <si>
    <t>50R0P</t>
  </si>
  <si>
    <t>SANTA CECILIA</t>
  </si>
  <si>
    <t>ARRAYANES</t>
  </si>
  <si>
    <t>Dorado Plaza</t>
  </si>
  <si>
    <t>50B6R</t>
  </si>
  <si>
    <t>CIUDAD SALITRE OCCIDENTAL</t>
  </si>
  <si>
    <t>ARRECIFE</t>
  </si>
  <si>
    <t>MCJ INVERSIONES S.A.S.</t>
  </si>
  <si>
    <t>50ZFN</t>
  </si>
  <si>
    <t>LA PEDREGOSA</t>
  </si>
  <si>
    <t>ASTURIAS</t>
  </si>
  <si>
    <t>504EU</t>
  </si>
  <si>
    <t>ATABANZA</t>
  </si>
  <si>
    <t>Gran Provenza</t>
  </si>
  <si>
    <t>50A5Z</t>
  </si>
  <si>
    <t>AURORA 2</t>
  </si>
  <si>
    <t>50AT6</t>
  </si>
  <si>
    <t>AUTO 100</t>
  </si>
  <si>
    <t>50I2O</t>
  </si>
  <si>
    <t>SANTA BARBARA</t>
  </si>
  <si>
    <t xml:space="preserve">AUTONORTE 100 </t>
  </si>
  <si>
    <t>50AJF</t>
  </si>
  <si>
    <t xml:space="preserve">AUTOPISTA </t>
  </si>
  <si>
    <t>Estación Pepe Sierra</t>
  </si>
  <si>
    <t>50FKJ</t>
  </si>
  <si>
    <t xml:space="preserve">AUTOPISTA 97 </t>
  </si>
  <si>
    <t>San Pedro</t>
  </si>
  <si>
    <t>5028Z</t>
  </si>
  <si>
    <t>LAURELES</t>
  </si>
  <si>
    <t>AV BOLIVARIANA</t>
  </si>
  <si>
    <t>INVERSIONES RYJ S.A.S</t>
  </si>
  <si>
    <t>Norte 626</t>
  </si>
  <si>
    <t>50Y57</t>
  </si>
  <si>
    <t>COMUNA 2</t>
  </si>
  <si>
    <t>AV COLOMBIA CENTENAR</t>
  </si>
  <si>
    <t>Calle 116</t>
  </si>
  <si>
    <t>50WLJ</t>
  </si>
  <si>
    <t>LA FLORESTA</t>
  </si>
  <si>
    <t>AV CONSTITUCION</t>
  </si>
  <si>
    <t>Suba 103</t>
  </si>
  <si>
    <t>50QFF</t>
  </si>
  <si>
    <t>PALOGRANDE</t>
  </si>
  <si>
    <t>AV PALERMO</t>
  </si>
  <si>
    <t>JOSE GABRIEL RESTREPO SALAZAR | MARTIN ALONSO RESTREPO SALAZAR | CAMILO ANDRÉS LOPERA OSORNO</t>
  </si>
  <si>
    <t>Carrera 9Qc</t>
  </si>
  <si>
    <t>5075T</t>
  </si>
  <si>
    <t>Chía</t>
  </si>
  <si>
    <t>CHIA</t>
  </si>
  <si>
    <t xml:space="preserve">AV PRADILLA </t>
  </si>
  <si>
    <t>Corales Cra 25</t>
  </si>
  <si>
    <t>50LMN</t>
  </si>
  <si>
    <t>CARVAJAL</t>
  </si>
  <si>
    <t xml:space="preserve">AV QUIMBAYA </t>
  </si>
  <si>
    <t>50RZH</t>
  </si>
  <si>
    <t xml:space="preserve">AV ROOSEVELT </t>
  </si>
  <si>
    <t>50CJQ</t>
  </si>
  <si>
    <t>COMUNA 5</t>
  </si>
  <si>
    <t xml:space="preserve">AV SANTA MONICA </t>
  </si>
  <si>
    <t>Kennedy Cll 26</t>
  </si>
  <si>
    <t>50NUQ</t>
  </si>
  <si>
    <t xml:space="preserve">AV SEXTA </t>
  </si>
  <si>
    <t>Trivenza</t>
  </si>
  <si>
    <t>50FG4</t>
  </si>
  <si>
    <t>Pereira</t>
  </si>
  <si>
    <t>EL JARDIN</t>
  </si>
  <si>
    <t xml:space="preserve">AV SUR </t>
  </si>
  <si>
    <t>Torres De Timiza</t>
  </si>
  <si>
    <t>50W8O</t>
  </si>
  <si>
    <t>Sabaneta</t>
  </si>
  <si>
    <t>SABANETA</t>
  </si>
  <si>
    <t>AVES MARIA</t>
  </si>
  <si>
    <t>RUTA INMOBILIARIA S.A.S.</t>
  </si>
  <si>
    <t>502JA</t>
  </si>
  <si>
    <t>CASA BLANCA SUBA</t>
  </si>
  <si>
    <t xml:space="preserve">BACATA </t>
  </si>
  <si>
    <t>5053N</t>
  </si>
  <si>
    <t>MODELIA</t>
  </si>
  <si>
    <t xml:space="preserve">BALEARES </t>
  </si>
  <si>
    <t>Javeriana</t>
  </si>
  <si>
    <t>50TLI</t>
  </si>
  <si>
    <t>BANCA ARMENIA</t>
  </si>
  <si>
    <t>50M68</t>
  </si>
  <si>
    <t xml:space="preserve">BARCELONA </t>
  </si>
  <si>
    <t>50APD</t>
  </si>
  <si>
    <t xml:space="preserve">BARRIO BAVARIA </t>
  </si>
  <si>
    <t>50M25</t>
  </si>
  <si>
    <t>Melgar</t>
  </si>
  <si>
    <t>MELGAR</t>
  </si>
  <si>
    <t xml:space="preserve">BASE AEREA </t>
  </si>
  <si>
    <t>La Victoria</t>
  </si>
  <si>
    <t>50U9Q</t>
  </si>
  <si>
    <t>BATALLÓN PARAISO</t>
  </si>
  <si>
    <t>PATRICIA CHING LAW</t>
  </si>
  <si>
    <t>Shaio</t>
  </si>
  <si>
    <t>50J37</t>
  </si>
  <si>
    <t>LA ALHAMBRA</t>
  </si>
  <si>
    <t xml:space="preserve">BATAN </t>
  </si>
  <si>
    <t>50BAX</t>
  </si>
  <si>
    <t>NORORIENTAL (3)</t>
  </si>
  <si>
    <t>BÁVARO PLAZA</t>
  </si>
  <si>
    <t>CARLOS ELIAS ROJAS LOZANO</t>
  </si>
  <si>
    <t>50E5U</t>
  </si>
  <si>
    <t>SAN JOSE DE BAVARIA</t>
  </si>
  <si>
    <t xml:space="preserve">BAVIERA 174 </t>
  </si>
  <si>
    <t>50OSX</t>
  </si>
  <si>
    <t>USAQUEN</t>
  </si>
  <si>
    <t>BELLA SUIZA 127</t>
  </si>
  <si>
    <t>ADMINISTRACIÓN INMOBILIARIA EDIFICIO EL GALEÓN BOGOTA S.A.S</t>
  </si>
  <si>
    <t>50ZEL</t>
  </si>
  <si>
    <t>MINUTO DE DIOS</t>
  </si>
  <si>
    <t xml:space="preserve">BELMONTE </t>
  </si>
  <si>
    <t>50T52</t>
  </si>
  <si>
    <t>RIOMAR</t>
  </si>
  <si>
    <t>BLUE GARDENS</t>
  </si>
  <si>
    <t>HERNANDO HEREDIA ARQUITECTOS S.A.S</t>
  </si>
  <si>
    <t>Torre Americas</t>
  </si>
  <si>
    <t>501CC</t>
  </si>
  <si>
    <t>LAS FERIAS</t>
  </si>
  <si>
    <t xml:space="preserve">BONANZA </t>
  </si>
  <si>
    <t>50ZRH</t>
  </si>
  <si>
    <t>ISMAEL PERDOMO</t>
  </si>
  <si>
    <t xml:space="preserve">BONAVISTA </t>
  </si>
  <si>
    <t>50K7R</t>
  </si>
  <si>
    <t>BOSA CENTRAL</t>
  </si>
  <si>
    <t>BOSA LOS NARANJOS</t>
  </si>
  <si>
    <t>Bosa Zona Bancaria</t>
  </si>
  <si>
    <t>50ROX</t>
  </si>
  <si>
    <t>GRAN BRITALIA</t>
  </si>
  <si>
    <t>BOSA MARYLAND II</t>
  </si>
  <si>
    <t>CINTO INVERSIONES Y PORSPECCIONES S.A.S</t>
  </si>
  <si>
    <t>Autopista</t>
  </si>
  <si>
    <t>50Q3X</t>
  </si>
  <si>
    <t>BOSA ZONA BANCARIA</t>
  </si>
  <si>
    <t>50UZ3</t>
  </si>
  <si>
    <t xml:space="preserve">BOSQUE IZQUIERDO </t>
  </si>
  <si>
    <t>Piloto</t>
  </si>
  <si>
    <t>50K7W</t>
  </si>
  <si>
    <t>FONTIBON</t>
  </si>
  <si>
    <t>BOSTON</t>
  </si>
  <si>
    <t>Villamaria</t>
  </si>
  <si>
    <t>50K7Y</t>
  </si>
  <si>
    <t>BOULEVARD</t>
  </si>
  <si>
    <t>504B3</t>
  </si>
  <si>
    <t xml:space="preserve">BOYACA 53 </t>
  </si>
  <si>
    <t>Quirigua</t>
  </si>
  <si>
    <t>50CPF</t>
  </si>
  <si>
    <t>BOYACÁ PARQUE</t>
  </si>
  <si>
    <t>PLAY ZONE ENTERTAINMENT S.A.S</t>
  </si>
  <si>
    <t>Parque Restrepo</t>
  </si>
  <si>
    <t>50PC5</t>
  </si>
  <si>
    <t>BRIDGE 93</t>
  </si>
  <si>
    <t>GRUPO OPTICO ANDES SAS</t>
  </si>
  <si>
    <t>Fijar 93</t>
  </si>
  <si>
    <t>50IZL</t>
  </si>
  <si>
    <t>BRISAS DE LA SEXTA</t>
  </si>
  <si>
    <t>Cabecera</t>
  </si>
  <si>
    <t>502SG</t>
  </si>
  <si>
    <t xml:space="preserve">BRITALIA </t>
  </si>
  <si>
    <t>50NIL</t>
  </si>
  <si>
    <t>BRITALIA</t>
  </si>
  <si>
    <t>BRITALIA NORTE</t>
  </si>
  <si>
    <t>GERMAN URIBE VELEZ</t>
  </si>
  <si>
    <t>Reserva De Colina</t>
  </si>
  <si>
    <t>50RBT</t>
  </si>
  <si>
    <t>NIZA</t>
  </si>
  <si>
    <t xml:space="preserve">BRITANIA </t>
  </si>
  <si>
    <t>50BLE</t>
  </si>
  <si>
    <t xml:space="preserve">BUCARA PLAY </t>
  </si>
  <si>
    <t>502Z0</t>
  </si>
  <si>
    <t>BULEVAR 70</t>
  </si>
  <si>
    <t>CAROLINA GIRON BORJA</t>
  </si>
  <si>
    <t>50WFX</t>
  </si>
  <si>
    <t>CAPELLANIA</t>
  </si>
  <si>
    <t>BURO 24 II</t>
  </si>
  <si>
    <t>FIDEICOMISO P.A BURO 24</t>
  </si>
  <si>
    <t>El Dorado</t>
  </si>
  <si>
    <t>50DQQ</t>
  </si>
  <si>
    <t>BURO 25</t>
  </si>
  <si>
    <t>FIDEICOMISO P.A. BURO 25</t>
  </si>
  <si>
    <t>50Z1X</t>
  </si>
  <si>
    <t>CABECERA</t>
  </si>
  <si>
    <t>509MH</t>
  </si>
  <si>
    <t xml:space="preserve">CACIQUE PLAZA </t>
  </si>
  <si>
    <t>50IS1</t>
  </si>
  <si>
    <t>Tolima</t>
  </si>
  <si>
    <t>Ibagué</t>
  </si>
  <si>
    <t>ESTADIO (10)</t>
  </si>
  <si>
    <t>CADIZ 34</t>
  </si>
  <si>
    <t>JOSE I. DIAZ M. Y CIA. DIAGROTOL S. EN C.</t>
  </si>
  <si>
    <t>Tatika</t>
  </si>
  <si>
    <t>50M7H</t>
  </si>
  <si>
    <t>Cajicá</t>
  </si>
  <si>
    <t>CAJICA</t>
  </si>
  <si>
    <t xml:space="preserve">CAJICA EL EDEN </t>
  </si>
  <si>
    <t>EDS Interurbana</t>
  </si>
  <si>
    <t>La Samaria</t>
  </si>
  <si>
    <t>50YZY</t>
  </si>
  <si>
    <t>CAJICA FONTANA COMER</t>
  </si>
  <si>
    <t>Eds Wellnwaa Hotel</t>
  </si>
  <si>
    <t>50EKU</t>
  </si>
  <si>
    <t xml:space="preserve">CALATRAVA </t>
  </si>
  <si>
    <t>Bonavista</t>
  </si>
  <si>
    <t>50YC0</t>
  </si>
  <si>
    <t>La Calera</t>
  </si>
  <si>
    <t>CALERA</t>
  </si>
  <si>
    <t xml:space="preserve">CALERA CRA 3 </t>
  </si>
  <si>
    <t>509HC</t>
  </si>
  <si>
    <t xml:space="preserve">CALERA HILLS </t>
  </si>
  <si>
    <t>50C7J</t>
  </si>
  <si>
    <t>LA SABANA</t>
  </si>
  <si>
    <t xml:space="preserve">CALIMA </t>
  </si>
  <si>
    <t>50G73</t>
  </si>
  <si>
    <t>LOS ANDES</t>
  </si>
  <si>
    <t xml:space="preserve">CALLE 100 </t>
  </si>
  <si>
    <t>Heroes</t>
  </si>
  <si>
    <t>50IAH</t>
  </si>
  <si>
    <t xml:space="preserve">CALLE 116 </t>
  </si>
  <si>
    <t>NICHO</t>
  </si>
  <si>
    <t>Primavera</t>
  </si>
  <si>
    <t>50VBQ</t>
  </si>
  <si>
    <t>CALLE 138</t>
  </si>
  <si>
    <t>Santa Margarita</t>
  </si>
  <si>
    <t>50YUN</t>
  </si>
  <si>
    <t>TOBERIN</t>
  </si>
  <si>
    <t xml:space="preserve">CALLE 166 </t>
  </si>
  <si>
    <t>50GAH</t>
  </si>
  <si>
    <t xml:space="preserve">CALLE 19 </t>
  </si>
  <si>
    <t>509DC</t>
  </si>
  <si>
    <t>SAGRADO CORAZON</t>
  </si>
  <si>
    <t xml:space="preserve">CALLE 34 </t>
  </si>
  <si>
    <t>501WX</t>
  </si>
  <si>
    <t>LA ESMERALDA</t>
  </si>
  <si>
    <t xml:space="preserve">CALLE 44 </t>
  </si>
  <si>
    <t>507BR</t>
  </si>
  <si>
    <t xml:space="preserve">CALLE 45 </t>
  </si>
  <si>
    <t>507Z5</t>
  </si>
  <si>
    <t xml:space="preserve">CALLE 48 </t>
  </si>
  <si>
    <t>509Q8</t>
  </si>
  <si>
    <t>CHAPINERO</t>
  </si>
  <si>
    <t xml:space="preserve">CALLE 59 </t>
  </si>
  <si>
    <t>50FYX</t>
  </si>
  <si>
    <t xml:space="preserve">CALLE 67 </t>
  </si>
  <si>
    <t>Palermo</t>
  </si>
  <si>
    <t>507ZW</t>
  </si>
  <si>
    <t xml:space="preserve">CALLE 77 </t>
  </si>
  <si>
    <t>50DBR</t>
  </si>
  <si>
    <t>CALLE 85</t>
  </si>
  <si>
    <t>ANDRES IGNACIO FERNANDEZ CAMACHO Y ERNESTO JOSE MARTINEZ</t>
  </si>
  <si>
    <t>50QVC</t>
  </si>
  <si>
    <t>CALLE 93</t>
  </si>
  <si>
    <t>Lago Gaitan</t>
  </si>
  <si>
    <t>50554</t>
  </si>
  <si>
    <t>CALLE 95</t>
  </si>
  <si>
    <t>El Retiro</t>
  </si>
  <si>
    <t>50DGC</t>
  </si>
  <si>
    <t>Bolívar</t>
  </si>
  <si>
    <t>Cartagena</t>
  </si>
  <si>
    <t>CALLE POCAO</t>
  </si>
  <si>
    <t>Frutera</t>
  </si>
  <si>
    <t>50RXB</t>
  </si>
  <si>
    <t>VERBENAL</t>
  </si>
  <si>
    <t xml:space="preserve">CAMINO DEL NORTE </t>
  </si>
  <si>
    <t>50W57</t>
  </si>
  <si>
    <t xml:space="preserve">CAMPINCITO </t>
  </si>
  <si>
    <t>50PHR</t>
  </si>
  <si>
    <t>SAN CRISTOBAL NORTE</t>
  </si>
  <si>
    <t>CAMPO ALTO</t>
  </si>
  <si>
    <t>María Cristina Rincón Rivera</t>
  </si>
  <si>
    <t>Toberin Centro</t>
  </si>
  <si>
    <t>509AX</t>
  </si>
  <si>
    <t>CANCILLERIA</t>
  </si>
  <si>
    <t>HABITAT PROYECTOS INMOBILIARIOS</t>
  </si>
  <si>
    <t>Britania</t>
  </si>
  <si>
    <t>50E7F</t>
  </si>
  <si>
    <t xml:space="preserve">CANTABRIA </t>
  </si>
  <si>
    <t>Suba 151</t>
  </si>
  <si>
    <t>50IT4</t>
  </si>
  <si>
    <t>CAÑAVERAL</t>
  </si>
  <si>
    <t>Septima Nieves</t>
  </si>
  <si>
    <t>501WG</t>
  </si>
  <si>
    <t>CAÑAVERALEJO</t>
  </si>
  <si>
    <t>Central Point</t>
  </si>
  <si>
    <t>50SQJ</t>
  </si>
  <si>
    <t xml:space="preserve">CAPELLANIA </t>
  </si>
  <si>
    <t>505A9</t>
  </si>
  <si>
    <t xml:space="preserve">CAPITAL CENTER </t>
  </si>
  <si>
    <t>5034C</t>
  </si>
  <si>
    <t xml:space="preserve">CAPITAL TOWERS </t>
  </si>
  <si>
    <t>50IO9</t>
  </si>
  <si>
    <t>CIUDAD MONTES</t>
  </si>
  <si>
    <t>CARABELAS</t>
  </si>
  <si>
    <t>50335</t>
  </si>
  <si>
    <t>CARACAS 53</t>
  </si>
  <si>
    <t>INMOBILIARIA HABITAT IN-MOBI S.A.S</t>
  </si>
  <si>
    <t>Trade Center</t>
  </si>
  <si>
    <t>500A9</t>
  </si>
  <si>
    <t>LOS ALCAZARES</t>
  </si>
  <si>
    <t>CARACAS 64</t>
  </si>
  <si>
    <t>GROTE FORTEZZA S.A.S.</t>
  </si>
  <si>
    <t>50GT9</t>
  </si>
  <si>
    <t xml:space="preserve">CARRERA 14 </t>
  </si>
  <si>
    <t>Santo Tomás</t>
  </si>
  <si>
    <t>509NU</t>
  </si>
  <si>
    <t xml:space="preserve">CARRERA 24 </t>
  </si>
  <si>
    <t>Ciudad Universitaria</t>
  </si>
  <si>
    <t>50S41</t>
  </si>
  <si>
    <t xml:space="preserve">CARRERA 30 </t>
  </si>
  <si>
    <t>50IMN</t>
  </si>
  <si>
    <t xml:space="preserve">CARRERA 9QC </t>
  </si>
  <si>
    <t>50YKH</t>
  </si>
  <si>
    <t xml:space="preserve">CASTELLANA </t>
  </si>
  <si>
    <t>50K1D</t>
  </si>
  <si>
    <t xml:space="preserve">CASTILLA 78 </t>
  </si>
  <si>
    <t>50TFA</t>
  </si>
  <si>
    <t>EL REFUGIO</t>
  </si>
  <si>
    <t>CASTILLO 72</t>
  </si>
  <si>
    <t>ALIANZA FIDUCIARIA S.A.</t>
  </si>
  <si>
    <t>50EU7</t>
  </si>
  <si>
    <t>Fusagasugá</t>
  </si>
  <si>
    <t>FUSAGASUGA</t>
  </si>
  <si>
    <t xml:space="preserve">CATAMA </t>
  </si>
  <si>
    <t>50BFA</t>
  </si>
  <si>
    <t xml:space="preserve">CATEDRAL </t>
  </si>
  <si>
    <t>Auto 100</t>
  </si>
  <si>
    <t>50JO4</t>
  </si>
  <si>
    <t xml:space="preserve">CC CABECERA ET II </t>
  </si>
  <si>
    <t>Jardín</t>
  </si>
  <si>
    <t>50HCY</t>
  </si>
  <si>
    <t>MARRUECOS</t>
  </si>
  <si>
    <t>CC CARACAS</t>
  </si>
  <si>
    <t>ABRIL CRUZ ABOGADOS ASOCIADOS S.A.S</t>
  </si>
  <si>
    <t>50VPJ</t>
  </si>
  <si>
    <t>GUAYABAL</t>
  </si>
  <si>
    <t>CE 9C SUR</t>
  </si>
  <si>
    <t>A. PARRA S.A.S</t>
  </si>
  <si>
    <t>50HOU</t>
  </si>
  <si>
    <t xml:space="preserve">CEDRITOS </t>
  </si>
  <si>
    <t>50IXK</t>
  </si>
  <si>
    <t xml:space="preserve">CEDRO </t>
  </si>
  <si>
    <t>507KD</t>
  </si>
  <si>
    <t>CEDRO EXPRESS 148</t>
  </si>
  <si>
    <t>IVASOF S.A.S</t>
  </si>
  <si>
    <t>50CP4</t>
  </si>
  <si>
    <t>CIUDADELA</t>
  </si>
  <si>
    <t xml:space="preserve">CENTAUROS </t>
  </si>
  <si>
    <t>502B7</t>
  </si>
  <si>
    <t xml:space="preserve">CENTRAL PARK </t>
  </si>
  <si>
    <t>50J7G</t>
  </si>
  <si>
    <t xml:space="preserve">CENTRAL POINT </t>
  </si>
  <si>
    <t>50JVU</t>
  </si>
  <si>
    <t>ZONA INDUSTRIAL</t>
  </si>
  <si>
    <t xml:space="preserve">CENTRIK VIEW </t>
  </si>
  <si>
    <t>50SP9</t>
  </si>
  <si>
    <t>CENTRO CRA 7</t>
  </si>
  <si>
    <t>50I8A</t>
  </si>
  <si>
    <t>CENTRO EMPRESARIAL 156</t>
  </si>
  <si>
    <t>Guatoque</t>
  </si>
  <si>
    <t>50EGX</t>
  </si>
  <si>
    <t>CENTRO INTERNACIONAL</t>
  </si>
  <si>
    <t>LA CAJA  DE RETIRO DE LAS FUERZAS MILITARES- CREMIL</t>
  </si>
  <si>
    <t>50IPE</t>
  </si>
  <si>
    <t>EL POBLADO</t>
  </si>
  <si>
    <t>CEOH</t>
  </si>
  <si>
    <t>North Point</t>
  </si>
  <si>
    <t>50BUX</t>
  </si>
  <si>
    <t>Los Monjes</t>
  </si>
  <si>
    <t>50PTB</t>
  </si>
  <si>
    <t>CHIA CR 9</t>
  </si>
  <si>
    <t>Calera Hills</t>
  </si>
  <si>
    <t>50A15</t>
  </si>
  <si>
    <t xml:space="preserve">CHIA FIQUE </t>
  </si>
  <si>
    <t>Decima San Diego</t>
  </si>
  <si>
    <t>50W56</t>
  </si>
  <si>
    <t>CHICAMOCHA</t>
  </si>
  <si>
    <t>50LEQ</t>
  </si>
  <si>
    <t>CHICÓ</t>
  </si>
  <si>
    <t>50NGG</t>
  </si>
  <si>
    <t>CHICÓ 100 CON 11</t>
  </si>
  <si>
    <t>50Y77</t>
  </si>
  <si>
    <t>CHICÓ 97</t>
  </si>
  <si>
    <t>50HEH</t>
  </si>
  <si>
    <t>CHICÓ NORTE 93</t>
  </si>
  <si>
    <t>ANDRES VARGAS BAQUERO</t>
  </si>
  <si>
    <t>502EL</t>
  </si>
  <si>
    <t>UNIVERSIDAD</t>
  </si>
  <si>
    <t>CIRCUNVALAR CENTRAL</t>
  </si>
  <si>
    <t>IUS &amp; IURE COLECTIVO DE ABOGADOS S.A.S</t>
  </si>
  <si>
    <t>50RHG</t>
  </si>
  <si>
    <t>CIUDAD BANCARIA</t>
  </si>
  <si>
    <t>Torre 100</t>
  </si>
  <si>
    <t>501Z1</t>
  </si>
  <si>
    <t>CIUDAD DEL RIO</t>
  </si>
  <si>
    <t>PATRIA ASSET MANAGEMENT S.A</t>
  </si>
  <si>
    <t>50OIH</t>
  </si>
  <si>
    <t>50O5Y</t>
  </si>
  <si>
    <t>TIMIZA</t>
  </si>
  <si>
    <t xml:space="preserve">CIUDAD ROMA </t>
  </si>
  <si>
    <t>Calle 95</t>
  </si>
  <si>
    <t>50POV</t>
  </si>
  <si>
    <t>QUINTA PAREDES</t>
  </si>
  <si>
    <t>CIUDAD UNIVERSITARIA</t>
  </si>
  <si>
    <t>50S27</t>
  </si>
  <si>
    <t>CLINICA VERSALLES</t>
  </si>
  <si>
    <t>Bulevar 70</t>
  </si>
  <si>
    <t>50ZHB</t>
  </si>
  <si>
    <t>CLUB POLICIA COLINA</t>
  </si>
  <si>
    <t>5077E</t>
  </si>
  <si>
    <t>SAN JAVIER</t>
  </si>
  <si>
    <t>COMUNA 13</t>
  </si>
  <si>
    <t>JEISON ALEISER CIRO GONZALEZ, JULIO CESAR MARTINEZ, HUBER DE JESUS MURILLO RAMIREZ</t>
  </si>
  <si>
    <t>Mederi 24</t>
  </si>
  <si>
    <t>50CQ0</t>
  </si>
  <si>
    <t>TEUSAQUILLO</t>
  </si>
  <si>
    <t xml:space="preserve">CONCEJO </t>
  </si>
  <si>
    <t>505BM</t>
  </si>
  <si>
    <t>LA CONCORDIA</t>
  </si>
  <si>
    <t xml:space="preserve">CONCORDIA 21 </t>
  </si>
  <si>
    <t>Elemento</t>
  </si>
  <si>
    <t>50FSE</t>
  </si>
  <si>
    <t xml:space="preserve">CONECTA </t>
  </si>
  <si>
    <t>50DOO</t>
  </si>
  <si>
    <t>CONNECTA 80</t>
  </si>
  <si>
    <t>TERRANUM SAS</t>
  </si>
  <si>
    <t>509FO</t>
  </si>
  <si>
    <t>CONTADOR</t>
  </si>
  <si>
    <t>INMOBILIARIA JAM FUTURO S.A.S</t>
  </si>
  <si>
    <t>50QAQ</t>
  </si>
  <si>
    <t>OLIMPICA</t>
  </si>
  <si>
    <t xml:space="preserve">CORALES CRA 25 </t>
  </si>
  <si>
    <t>SANDRA GARAVITO HENAO</t>
  </si>
  <si>
    <t>50KZS</t>
  </si>
  <si>
    <t xml:space="preserve">COSMOS </t>
  </si>
  <si>
    <t>5003A</t>
  </si>
  <si>
    <t>EL RINCON</t>
  </si>
  <si>
    <t xml:space="preserve">COSTA AZUL </t>
  </si>
  <si>
    <t>50ILT</t>
  </si>
  <si>
    <t>SAN JOSE</t>
  </si>
  <si>
    <t>COUNTRY SUR</t>
  </si>
  <si>
    <t>50ZMB</t>
  </si>
  <si>
    <t>SAN FRANCISCO</t>
  </si>
  <si>
    <t xml:space="preserve">CRISTO COMUNEROS </t>
  </si>
  <si>
    <t>50R9H</t>
  </si>
  <si>
    <t xml:space="preserve">CUAN </t>
  </si>
  <si>
    <t>La 61</t>
  </si>
  <si>
    <t>50QYP</t>
  </si>
  <si>
    <t xml:space="preserve">DAVINCI </t>
  </si>
  <si>
    <t>50KUO</t>
  </si>
  <si>
    <t xml:space="preserve">DECIMA SAN DIEGO </t>
  </si>
  <si>
    <t>Capital Center</t>
  </si>
  <si>
    <t>50WYW</t>
  </si>
  <si>
    <t>DEFENSORIA</t>
  </si>
  <si>
    <t>BRICCON S.A.S.</t>
  </si>
  <si>
    <t>50YW8</t>
  </si>
  <si>
    <t>DELICIAS 43</t>
  </si>
  <si>
    <t>H.U.B SOLUCIONES INMOBILIARIAS S.A.S Y RUEDA OYAGA Y COMPAÑÍA SOCIEDAD EN COMANDITA</t>
  </si>
  <si>
    <t>Av Santa Monica</t>
  </si>
  <si>
    <t>50NJ7</t>
  </si>
  <si>
    <t>DIAMANTE LOS COLORES</t>
  </si>
  <si>
    <t>INVERSIONES QUINTERO GARCIA S.A.S</t>
  </si>
  <si>
    <t>Gaira</t>
  </si>
  <si>
    <t>50CHG</t>
  </si>
  <si>
    <t>CENTRO</t>
  </si>
  <si>
    <t xml:space="preserve">DIARIO DEL OTUN </t>
  </si>
  <si>
    <t>506Q0</t>
  </si>
  <si>
    <t>DISTRITO 90</t>
  </si>
  <si>
    <t>50PES</t>
  </si>
  <si>
    <t>DISTRITO POBLADO</t>
  </si>
  <si>
    <t>ARRENDAMIENTOS LONDOÑO GOMEZ S.A.S</t>
  </si>
  <si>
    <t>Aurora 2</t>
  </si>
  <si>
    <t>50H58</t>
  </si>
  <si>
    <t>GARCES NAVAS</t>
  </si>
  <si>
    <t>DIVERPLAZA</t>
  </si>
  <si>
    <t>Orquideas</t>
  </si>
  <si>
    <t>5095B</t>
  </si>
  <si>
    <t>SUR</t>
  </si>
  <si>
    <t xml:space="preserve">DIVINO NIÑO </t>
  </si>
  <si>
    <t>50W3U</t>
  </si>
  <si>
    <t>DORADO PLAZA</t>
  </si>
  <si>
    <t>5029F</t>
  </si>
  <si>
    <t xml:space="preserve">EDS ARANZOQUE </t>
  </si>
  <si>
    <t>50JGF</t>
  </si>
  <si>
    <t>EDS AV LIBERTADORES LA 70</t>
  </si>
  <si>
    <t>INVERSIONES VISIÓN 360 S.A.S</t>
  </si>
  <si>
    <t>EDS Ciudad</t>
  </si>
  <si>
    <t>Hippies Cra 7</t>
  </si>
  <si>
    <t>50Q1M</t>
  </si>
  <si>
    <t>COMUNA 7</t>
  </si>
  <si>
    <t>EDS AV SIMON BOLIVAR</t>
  </si>
  <si>
    <t>Calle 67</t>
  </si>
  <si>
    <t>50X14</t>
  </si>
  <si>
    <t>EDS AVENIDA 68</t>
  </si>
  <si>
    <t>COMBUSTIBLES DE COLOMBIA SA</t>
  </si>
  <si>
    <t xml:space="preserve"> 1.450</t>
  </si>
  <si>
    <t>506R8</t>
  </si>
  <si>
    <t>EDS CALLE 69</t>
  </si>
  <si>
    <t>IREGUI RUIZ SAS</t>
  </si>
  <si>
    <t>Procuraduria</t>
  </si>
  <si>
    <t>50N33</t>
  </si>
  <si>
    <t>EDS CAMBULOS</t>
  </si>
  <si>
    <t>50E6C</t>
  </si>
  <si>
    <t>COMUNA 17</t>
  </si>
  <si>
    <t>EDS CANEY PLAZA</t>
  </si>
  <si>
    <t>50WGK</t>
  </si>
  <si>
    <t>Girón</t>
  </si>
  <si>
    <t>GIRON</t>
  </si>
  <si>
    <t>EDS CANEYES II</t>
  </si>
  <si>
    <t>5041V</t>
  </si>
  <si>
    <t xml:space="preserve">EDS CARVAJAL </t>
  </si>
  <si>
    <t>50L4K</t>
  </si>
  <si>
    <t>Zipaquirá</t>
  </si>
  <si>
    <t>ZIPA</t>
  </si>
  <si>
    <t>EDS COMERCIAL ZIPAQU</t>
  </si>
  <si>
    <t>Estrada</t>
  </si>
  <si>
    <t>50YXS</t>
  </si>
  <si>
    <t>Cota</t>
  </si>
  <si>
    <t>COTA</t>
  </si>
  <si>
    <t xml:space="preserve">EDS COTA </t>
  </si>
  <si>
    <t>50VSN</t>
  </si>
  <si>
    <t>EDS EL BOSQUE</t>
  </si>
  <si>
    <t>Eds El Diamante</t>
  </si>
  <si>
    <t>50O0L</t>
  </si>
  <si>
    <t xml:space="preserve">EDS EL CARMEN </t>
  </si>
  <si>
    <t>50I97</t>
  </si>
  <si>
    <t xml:space="preserve">EDS EL DIAMANTE </t>
  </si>
  <si>
    <t>Eds San Rafael</t>
  </si>
  <si>
    <t>50M75</t>
  </si>
  <si>
    <t>Tenjo</t>
  </si>
  <si>
    <t>TENJO</t>
  </si>
  <si>
    <t xml:space="preserve">EDS EL GATO </t>
  </si>
  <si>
    <t>Eds Iberia</t>
  </si>
  <si>
    <t>505CX</t>
  </si>
  <si>
    <t xml:space="preserve">EDS EL LIDO </t>
  </si>
  <si>
    <t>50QWV</t>
  </si>
  <si>
    <t>SURORIENTE</t>
  </si>
  <si>
    <t>EDS EL LIMON</t>
  </si>
  <si>
    <t>50GX1</t>
  </si>
  <si>
    <t>Soledad</t>
  </si>
  <si>
    <t>SOLEDAD</t>
  </si>
  <si>
    <t>EDS EL PARQUE</t>
  </si>
  <si>
    <t>GAVIRIA HH ASOCIADOS S.A.S</t>
  </si>
  <si>
    <t>507CV</t>
  </si>
  <si>
    <t>Soacha</t>
  </si>
  <si>
    <t>SOACHA</t>
  </si>
  <si>
    <t xml:space="preserve">EDS EL PIRE </t>
  </si>
  <si>
    <t>50FIA</t>
  </si>
  <si>
    <t>Gachancipá</t>
  </si>
  <si>
    <t>GACHANCIPA</t>
  </si>
  <si>
    <t xml:space="preserve">EDS EL ROBLE </t>
  </si>
  <si>
    <t>508EU</t>
  </si>
  <si>
    <t>EDS ESTACION FLORESTA</t>
  </si>
  <si>
    <t>A.M.H. SERVICIOS LTDA</t>
  </si>
  <si>
    <t>50Q44</t>
  </si>
  <si>
    <t>EDS GALÁN</t>
  </si>
  <si>
    <t>HOTELES, PARQUEADEROS Y SERVICENTROS "HOPA" S.A.S</t>
  </si>
  <si>
    <t>Paloquemao</t>
  </si>
  <si>
    <t>5037C</t>
  </si>
  <si>
    <t xml:space="preserve">EDS HERGOS </t>
  </si>
  <si>
    <t>504KO</t>
  </si>
  <si>
    <t xml:space="preserve">EDS IBERIA </t>
  </si>
  <si>
    <t>504XP</t>
  </si>
  <si>
    <t>EDS LA 70</t>
  </si>
  <si>
    <t>COMBUSTIBLES DE COLOMBIA S.A</t>
  </si>
  <si>
    <t>50WM8</t>
  </si>
  <si>
    <t>COMUNA 1</t>
  </si>
  <si>
    <t xml:space="preserve">EDS LA BADEA </t>
  </si>
  <si>
    <t>Eds Cota</t>
  </si>
  <si>
    <t>50G50</t>
  </si>
  <si>
    <t>OCCIDENTE</t>
  </si>
  <si>
    <t xml:space="preserve">EDS LA PEÑA </t>
  </si>
  <si>
    <t>Eds Aranzoque</t>
  </si>
  <si>
    <t>5024U</t>
  </si>
  <si>
    <t>La Vega</t>
  </si>
  <si>
    <t>LA VEGA</t>
  </si>
  <si>
    <t>EDS LA VEGA</t>
  </si>
  <si>
    <t>URBANO ALDANA CASTAÑEDA Y GLORIA ESPERANZA ORTIZ TORRES</t>
  </si>
  <si>
    <t>50WMO</t>
  </si>
  <si>
    <t>LA MACARENA</t>
  </si>
  <si>
    <t xml:space="preserve">EDS LAS AGUAS </t>
  </si>
  <si>
    <t>50HJ9</t>
  </si>
  <si>
    <t>CENTRO HISTORICO (5)</t>
  </si>
  <si>
    <t>EDS MALDONADO</t>
  </si>
  <si>
    <t>VARESCO FUEL OIL S.A.S</t>
  </si>
  <si>
    <t>50R8O</t>
  </si>
  <si>
    <t>BELEN</t>
  </si>
  <si>
    <t>EDS MAYORAL</t>
  </si>
  <si>
    <t>50BA4</t>
  </si>
  <si>
    <t>EDS MOLINO</t>
  </si>
  <si>
    <t>Eds San Pedro</t>
  </si>
  <si>
    <t>505LR</t>
  </si>
  <si>
    <t xml:space="preserve">EDS NOVOTECH </t>
  </si>
  <si>
    <t>Eds Las Aguas</t>
  </si>
  <si>
    <t>50YBY</t>
  </si>
  <si>
    <t>EDS NUEVA GRANADA</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</si>
  <si>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</si>
  <si>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</si>
  <si>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</si>
  <si>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</si>
  <si>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</si>
  <si>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</si>
  <si>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</si>
  <si>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</si>
  <si>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</si>
  <si>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</si>
  <si>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</si>
  <si>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</si>
  <si>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</si>
  <si>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</si>
  <si>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50DYM</t>
  </si>
  <si>
    <t>COPACABANA</t>
  </si>
  <si>
    <t>EDS PORTAL DE NIQUIA</t>
  </si>
  <si>
    <t>504KL</t>
  </si>
  <si>
    <t>Mosquera</t>
  </si>
  <si>
    <t>MOSQUERA</t>
  </si>
  <si>
    <t>EDS PUERTO VALLARTA</t>
  </si>
  <si>
    <t>50O1Z</t>
  </si>
  <si>
    <t xml:space="preserve">EDS QUITO 2000 </t>
  </si>
  <si>
    <t>506B6</t>
  </si>
  <si>
    <t>EDS SAN ANTONIO</t>
  </si>
  <si>
    <t>507P3</t>
  </si>
  <si>
    <t>Funza</t>
  </si>
  <si>
    <t>FUNZA</t>
  </si>
  <si>
    <t xml:space="preserve">EDS SAN PEDRO </t>
  </si>
  <si>
    <t>505PY</t>
  </si>
  <si>
    <t>EDS SAN RAFAEL</t>
  </si>
  <si>
    <t>50DL3</t>
  </si>
  <si>
    <t>EDS SANTO DOMINGO</t>
  </si>
  <si>
    <t>50YJQ</t>
  </si>
  <si>
    <t>EDS SERVICAMPESTRE</t>
  </si>
  <si>
    <t>Eds Novotech</t>
  </si>
  <si>
    <t>50AMW</t>
  </si>
  <si>
    <t>SUBA</t>
  </si>
  <si>
    <t>EDS SUBA SALITRE</t>
  </si>
  <si>
    <t>50FGA</t>
  </si>
  <si>
    <t>EDS TIMIZA</t>
  </si>
  <si>
    <t>COMBUSTIBLES Y SERVICIOS TIMIZA LTDA</t>
  </si>
  <si>
    <t>50LT7</t>
  </si>
  <si>
    <t>PEREIRA</t>
  </si>
  <si>
    <t>EDS TRIBUNAS</t>
  </si>
  <si>
    <t>50BFS</t>
  </si>
  <si>
    <t>SANTA ISABEL</t>
  </si>
  <si>
    <t xml:space="preserve">EDS VERAGUAS </t>
  </si>
  <si>
    <t>50WY4</t>
  </si>
  <si>
    <t>EDS VIA AL MAR</t>
  </si>
  <si>
    <t>METROPOLITANA DE COMBUSTIBLE S.A.S</t>
  </si>
  <si>
    <t>503FT</t>
  </si>
  <si>
    <t>Sopó</t>
  </si>
  <si>
    <t>SOPO</t>
  </si>
  <si>
    <t xml:space="preserve">EDS VIA SOPO </t>
  </si>
  <si>
    <t>50SL4</t>
  </si>
  <si>
    <t>Villeta</t>
  </si>
  <si>
    <t>VILLETA</t>
  </si>
  <si>
    <t>EDS VILLETA</t>
  </si>
  <si>
    <t>EDER GIOVANNI RODRIGUEZ ALVARADO</t>
  </si>
  <si>
    <t>Eds Interurbana</t>
  </si>
  <si>
    <t>50OER</t>
  </si>
  <si>
    <t>EDS WELLNWAA HOTEL</t>
  </si>
  <si>
    <t>Terminal Terrestre</t>
  </si>
  <si>
    <t>50FVK</t>
  </si>
  <si>
    <t>EDS ZONA INDUSTRIAL</t>
  </si>
  <si>
    <t>5082N</t>
  </si>
  <si>
    <t>EJE AMBIENTAL</t>
  </si>
  <si>
    <t>506R5</t>
  </si>
  <si>
    <t xml:space="preserve">EL BOSQUE </t>
  </si>
  <si>
    <t>Eds Quito 2000</t>
  </si>
  <si>
    <t>50X3P</t>
  </si>
  <si>
    <t>EL CABLE</t>
  </si>
  <si>
    <t>JULIÁN RIVAS ISAZA | SANTIAGO RIVAS ISAZA</t>
  </si>
  <si>
    <t>50A8C</t>
  </si>
  <si>
    <t>EL DORADO</t>
  </si>
  <si>
    <t>503T3</t>
  </si>
  <si>
    <t xml:space="preserve">EL EJIDO </t>
  </si>
  <si>
    <t>50IXL</t>
  </si>
  <si>
    <t>EL ESMERALDAL</t>
  </si>
  <si>
    <t>Tejar 3</t>
  </si>
  <si>
    <t>50BHI</t>
  </si>
  <si>
    <t>EL JAPON</t>
  </si>
  <si>
    <t>LUZ ESNEIDY PALACIOS ZULUAGA</t>
  </si>
  <si>
    <t>Eds Carvajal</t>
  </si>
  <si>
    <t>50UCY</t>
  </si>
  <si>
    <t xml:space="preserve">EL LEON </t>
  </si>
  <si>
    <t>50SAE</t>
  </si>
  <si>
    <t xml:space="preserve">EL LIBERTADOR </t>
  </si>
  <si>
    <t>50Y9Q</t>
  </si>
  <si>
    <t>ORIENTE</t>
  </si>
  <si>
    <t xml:space="preserve">EL PEÑON </t>
  </si>
  <si>
    <t>Eds Papiros Park 2</t>
  </si>
  <si>
    <t>50854</t>
  </si>
  <si>
    <t xml:space="preserve">EL PROGRESO </t>
  </si>
  <si>
    <t>50O4T</t>
  </si>
  <si>
    <t>EL RETIRO</t>
  </si>
  <si>
    <t>50CCB</t>
  </si>
  <si>
    <t>Eds La Peña</t>
  </si>
  <si>
    <t>50R3L</t>
  </si>
  <si>
    <t xml:space="preserve">EL TREBOL </t>
  </si>
  <si>
    <t>50A3A</t>
  </si>
  <si>
    <t>EL TRIANGULO</t>
  </si>
  <si>
    <t>50BU8</t>
  </si>
  <si>
    <t>JARDIN BOTANICO</t>
  </si>
  <si>
    <t>ELEMENTO</t>
  </si>
  <si>
    <t>INDUSTRIA</t>
  </si>
  <si>
    <t>50K8P</t>
  </si>
  <si>
    <t>EMPRESARIAL SANTA BÁRBARA</t>
  </si>
  <si>
    <t>ITAÚ COLOMBIA S.A.</t>
  </si>
  <si>
    <t>50UOH</t>
  </si>
  <si>
    <t>La Mesa</t>
  </si>
  <si>
    <t>LA MESA</t>
  </si>
  <si>
    <t xml:space="preserve">ENCANTO </t>
  </si>
  <si>
    <t>Banca Armenia</t>
  </si>
  <si>
    <t>50ZIU</t>
  </si>
  <si>
    <t>ENTRE RIOS</t>
  </si>
  <si>
    <t>RAFALJURE S.A.S,</t>
  </si>
  <si>
    <t>508II</t>
  </si>
  <si>
    <t>VENECIA</t>
  </si>
  <si>
    <t>ESCUELA GRAL. SANTANDER</t>
  </si>
  <si>
    <t>ESCUELA DE CADETES DE POLICIA "GENERAL FRANCISCO DE PAULA SANTANDER"</t>
  </si>
  <si>
    <t>50UB4</t>
  </si>
  <si>
    <t>ESMERALDA</t>
  </si>
  <si>
    <t>Bacata</t>
  </si>
  <si>
    <t>5031E</t>
  </si>
  <si>
    <t>ESQUINA LAURELES</t>
  </si>
  <si>
    <t>Barrio Bavaria</t>
  </si>
  <si>
    <t>50FGF</t>
  </si>
  <si>
    <t>ESTACION 106</t>
  </si>
  <si>
    <t>LEBUMAS INMOBILIARIA S.A.S</t>
  </si>
  <si>
    <t>509BJ</t>
  </si>
  <si>
    <t xml:space="preserve">ESTACION CENTRAL </t>
  </si>
  <si>
    <t>50MWR</t>
  </si>
  <si>
    <t>ESTACION DEL TREN</t>
  </si>
  <si>
    <t>Ciudad del Rio</t>
  </si>
  <si>
    <t>50BT8</t>
  </si>
  <si>
    <t>ESTACIÓN PEPE SIERRA</t>
  </si>
  <si>
    <t>507FM</t>
  </si>
  <si>
    <t>ESTACIÓN RICAURTE</t>
  </si>
  <si>
    <t>50A25</t>
  </si>
  <si>
    <t>ESTADIO</t>
  </si>
  <si>
    <t>508ZU</t>
  </si>
  <si>
    <t>ESTORIL</t>
  </si>
  <si>
    <t>VICTORIA AMPARO DÍAZ CUJAR - JAIME  ORLANDO GONZÁLEZ SÁNCHEZ</t>
  </si>
  <si>
    <t>508AM</t>
  </si>
  <si>
    <t xml:space="preserve">ESTRADA </t>
  </si>
  <si>
    <t>50J1V</t>
  </si>
  <si>
    <t xml:space="preserve">ESTRELLA NORTE </t>
  </si>
  <si>
    <t>50R3V</t>
  </si>
  <si>
    <t xml:space="preserve">FEDERMAN </t>
  </si>
  <si>
    <t>Karmel</t>
  </si>
  <si>
    <t>501KA</t>
  </si>
  <si>
    <t xml:space="preserve">FERROCARRIL </t>
  </si>
  <si>
    <t>Av Colombia Centenar</t>
  </si>
  <si>
    <t>50Y5Y</t>
  </si>
  <si>
    <t xml:space="preserve">FIESTA SUBA </t>
  </si>
  <si>
    <t>Club Policia Colina</t>
  </si>
  <si>
    <t>50NWI</t>
  </si>
  <si>
    <t xml:space="preserve">FIJAR 93 </t>
  </si>
  <si>
    <t>50KHU</t>
  </si>
  <si>
    <t>FLORA 586</t>
  </si>
  <si>
    <t>50GRF</t>
  </si>
  <si>
    <t xml:space="preserve">FLORES 68 </t>
  </si>
  <si>
    <t>50XS2</t>
  </si>
  <si>
    <t>FLORESTA PREMIUM</t>
  </si>
  <si>
    <t>Avenida Constitucion</t>
  </si>
  <si>
    <t>50ZEP</t>
  </si>
  <si>
    <t>FLORIDA NUEVA</t>
  </si>
  <si>
    <t>PROMOTORA BLOOMING SAS</t>
  </si>
  <si>
    <t>50N30</t>
  </si>
  <si>
    <t>FONTANAR</t>
  </si>
  <si>
    <t>Museo del Oro</t>
  </si>
  <si>
    <t>508QV</t>
  </si>
  <si>
    <t xml:space="preserve">FONTIBON 18 </t>
  </si>
  <si>
    <t>Santa Helenita</t>
  </si>
  <si>
    <t>50A9T</t>
  </si>
  <si>
    <t>FONTIBON CENTRAL</t>
  </si>
  <si>
    <t>5088G</t>
  </si>
  <si>
    <t>FORESTA NORTE</t>
  </si>
  <si>
    <t>501M6</t>
  </si>
  <si>
    <t>SUROCCIDENTE</t>
  </si>
  <si>
    <t>FRUTERA</t>
  </si>
  <si>
    <t>MARIA TILLY CORSO AYA Y PATRICIA MARIA VILLAREAL PARODY</t>
  </si>
  <si>
    <t>50G1I</t>
  </si>
  <si>
    <t>GAIA 93</t>
  </si>
  <si>
    <t>PLUS VIVIENDA LTDA.</t>
  </si>
  <si>
    <t>50ID1</t>
  </si>
  <si>
    <t>GAIRA</t>
  </si>
  <si>
    <t>50G2G</t>
  </si>
  <si>
    <t>GALAN</t>
  </si>
  <si>
    <t>Cañaveral</t>
  </si>
  <si>
    <t>50D8A</t>
  </si>
  <si>
    <t xml:space="preserve">GALERIAS 28 </t>
  </si>
  <si>
    <t>Calle 77</t>
  </si>
  <si>
    <t>50Z8Y</t>
  </si>
  <si>
    <t>GALERIAS 53</t>
  </si>
  <si>
    <t>50UWA</t>
  </si>
  <si>
    <t xml:space="preserve">GALICIA </t>
  </si>
  <si>
    <t>50RZU</t>
  </si>
  <si>
    <t xml:space="preserve">GARCES NAVAS </t>
  </si>
  <si>
    <t>Fontibon Central</t>
  </si>
  <si>
    <t>504F9</t>
  </si>
  <si>
    <t>GIRON EL POBLADO</t>
  </si>
  <si>
    <t>50LRY</t>
  </si>
  <si>
    <t>GLOBAL CENTER</t>
  </si>
  <si>
    <t>INTERNACIONAL DE SUELAS S.A.S.</t>
  </si>
  <si>
    <t>503K5</t>
  </si>
  <si>
    <t>GONZALEZ VALENCIA</t>
  </si>
  <si>
    <t>5093J</t>
  </si>
  <si>
    <t xml:space="preserve">GRADECO </t>
  </si>
  <si>
    <t>Quebradaseca 32</t>
  </si>
  <si>
    <t>50G7N</t>
  </si>
  <si>
    <t>PROVENZA</t>
  </si>
  <si>
    <t xml:space="preserve">GRAN PROVENZA </t>
  </si>
  <si>
    <t>50YSP</t>
  </si>
  <si>
    <t>GRANADA INN</t>
  </si>
  <si>
    <t>RICARDO LONDOÑO VAN ARCKEN, ELISA LONDOÑO VAN ARCKEN</t>
  </si>
  <si>
    <t>Salvador</t>
  </si>
  <si>
    <t>50W27</t>
  </si>
  <si>
    <t xml:space="preserve">GRAND BOULEVAR </t>
  </si>
  <si>
    <t>50AD5</t>
  </si>
  <si>
    <t>GRANJAS DE TECHO</t>
  </si>
  <si>
    <t>GRANJAS 69</t>
  </si>
  <si>
    <t>Versalles</t>
  </si>
  <si>
    <t>50Z48</t>
  </si>
  <si>
    <t>PARQUE SIMON BOLIVAR - CAN</t>
  </si>
  <si>
    <t xml:space="preserve">GRECO </t>
  </si>
  <si>
    <t>501H3</t>
  </si>
  <si>
    <t xml:space="preserve">GUALI </t>
  </si>
  <si>
    <t>Atabanza</t>
  </si>
  <si>
    <t>5075I</t>
  </si>
  <si>
    <t xml:space="preserve">GUATOQUE </t>
  </si>
  <si>
    <t>50A6V</t>
  </si>
  <si>
    <t>HACIENDA LA QUINTA</t>
  </si>
  <si>
    <t>50HVJ</t>
  </si>
  <si>
    <t xml:space="preserve">HEROES </t>
  </si>
  <si>
    <t>509NN</t>
  </si>
  <si>
    <t>HIPOTECHO SUR</t>
  </si>
  <si>
    <t>50O4Y</t>
  </si>
  <si>
    <t xml:space="preserve">HIPPIES CRA 7 </t>
  </si>
  <si>
    <t>50KVQ</t>
  </si>
  <si>
    <t>COMUNA 22</t>
  </si>
  <si>
    <t>HOLGUINES</t>
  </si>
  <si>
    <t>CONSTRUCCIONES CIRO CHIPATECUA S.A.S.; GLORIA ELENA TORRES VALDIVIESO</t>
  </si>
  <si>
    <t>Brisas De La Sexta</t>
  </si>
  <si>
    <t>50GND</t>
  </si>
  <si>
    <t>HOSPITAL REGIONAL</t>
  </si>
  <si>
    <t>INVERSIONES VIRAGO S.A.S</t>
  </si>
  <si>
    <t>Montevideo</t>
  </si>
  <si>
    <t>50QNG</t>
  </si>
  <si>
    <t xml:space="preserve">IMPERIAL </t>
  </si>
  <si>
    <t>50O44</t>
  </si>
  <si>
    <t>INALOG</t>
  </si>
  <si>
    <t>WILLIAM ERNESTO MEZA MONCADA</t>
  </si>
  <si>
    <t>Calle 85</t>
  </si>
  <si>
    <t>50668</t>
  </si>
  <si>
    <t>INDUSTRIAL 68</t>
  </si>
  <si>
    <t>Britalia</t>
  </si>
  <si>
    <t>50NQL</t>
  </si>
  <si>
    <t xml:space="preserve">INFINITUM </t>
  </si>
  <si>
    <t>500E2</t>
  </si>
  <si>
    <t>INVICO</t>
  </si>
  <si>
    <t>50FMW</t>
  </si>
  <si>
    <t xml:space="preserve">ISABEL 28 </t>
  </si>
  <si>
    <t>50Q8B</t>
  </si>
  <si>
    <t xml:space="preserve">JARDÍN </t>
  </si>
  <si>
    <t>Jj Var</t>
  </si>
  <si>
    <t>50IK5</t>
  </si>
  <si>
    <t>JARDINES DEL ORIENTE</t>
  </si>
  <si>
    <t>50JEO</t>
  </si>
  <si>
    <t>JAVERIANA</t>
  </si>
  <si>
    <t>507V9</t>
  </si>
  <si>
    <t xml:space="preserve">JAZMIN </t>
  </si>
  <si>
    <t>50JJJ</t>
  </si>
  <si>
    <t>DOCE DE OCTUBRE</t>
  </si>
  <si>
    <t>JJ VAR</t>
  </si>
  <si>
    <t>50VSB</t>
  </si>
  <si>
    <t xml:space="preserve">JUNIN </t>
  </si>
  <si>
    <t>507S1</t>
  </si>
  <si>
    <t>KARMEL</t>
  </si>
  <si>
    <t>Palmas</t>
  </si>
  <si>
    <t>50FUI</t>
  </si>
  <si>
    <t>KAYSER</t>
  </si>
  <si>
    <t>MIGUEL SÁNCHEZ GUZMÁN y NUBIA MARÍA QUINTERO SÁENZ</t>
  </si>
  <si>
    <t>509T5</t>
  </si>
  <si>
    <t>KENNEDY 36</t>
  </si>
  <si>
    <t>DANIEL LEONARDO GOMEZ CASTILLO</t>
  </si>
  <si>
    <t>Mar</t>
  </si>
  <si>
    <t>50BJ8</t>
  </si>
  <si>
    <t>50TYD</t>
  </si>
  <si>
    <t>KENNEDY CLL 26</t>
  </si>
  <si>
    <t>Estrella Norte</t>
  </si>
  <si>
    <t>5037F</t>
  </si>
  <si>
    <t>KENNEDY SUR</t>
  </si>
  <si>
    <t>50KL4</t>
  </si>
  <si>
    <t>KRA 13</t>
  </si>
  <si>
    <t>Molinos del Norte</t>
  </si>
  <si>
    <t>50SHU</t>
  </si>
  <si>
    <t>LA 21</t>
  </si>
  <si>
    <t>50V28</t>
  </si>
  <si>
    <t xml:space="preserve">LA 34 </t>
  </si>
  <si>
    <t>508A7</t>
  </si>
  <si>
    <t>COMUNA 6</t>
  </si>
  <si>
    <t xml:space="preserve">LA 44 </t>
  </si>
  <si>
    <t>50FU5</t>
  </si>
  <si>
    <t>Barrancabermeja</t>
  </si>
  <si>
    <t>BARRANCABERMEJA</t>
  </si>
  <si>
    <t xml:space="preserve">LA 50 </t>
  </si>
  <si>
    <t>50I8T</t>
  </si>
  <si>
    <t>LA 61</t>
  </si>
  <si>
    <t>50SQO</t>
  </si>
  <si>
    <t>LA 82</t>
  </si>
  <si>
    <t>505MG</t>
  </si>
  <si>
    <t>LA CAMELIA</t>
  </si>
  <si>
    <t>50OM2</t>
  </si>
  <si>
    <t>LA CAMPIÑA</t>
  </si>
  <si>
    <t>50FZY</t>
  </si>
  <si>
    <t>50Q77</t>
  </si>
  <si>
    <t>LA CAPILLA</t>
  </si>
  <si>
    <t>FRANCISCO LEON LONDOÑO MORELLI</t>
  </si>
  <si>
    <t>San Bernabe</t>
  </si>
  <si>
    <t>50KFI</t>
  </si>
  <si>
    <t>LA CONCEPCION</t>
  </si>
  <si>
    <t>Alonso Calle 19</t>
  </si>
  <si>
    <t>50619</t>
  </si>
  <si>
    <t xml:space="preserve">LA CORONA </t>
  </si>
  <si>
    <t>Modelia 24</t>
  </si>
  <si>
    <t>50B4M</t>
  </si>
  <si>
    <t>LA DOCTORA</t>
  </si>
  <si>
    <t>MARIA VICTORIA FLEISMAN DIAZ</t>
  </si>
  <si>
    <t>50CVZ</t>
  </si>
  <si>
    <t>LA ESTRELLA 1</t>
  </si>
  <si>
    <t>50MD4</t>
  </si>
  <si>
    <t>LA FAVORITA</t>
  </si>
  <si>
    <t>SILVESTRE PORRAS BUENO</t>
  </si>
  <si>
    <t>50V37</t>
  </si>
  <si>
    <t>Villamaría</t>
  </si>
  <si>
    <t>VILLAMARI</t>
  </si>
  <si>
    <t>LA FLORIDA CALLE 71</t>
  </si>
  <si>
    <t>GLOBAL JWCG Y CIA S. EN CA</t>
  </si>
  <si>
    <t>50OTS</t>
  </si>
  <si>
    <t xml:space="preserve">LA FOGATA </t>
  </si>
  <si>
    <t>Plaza Suba</t>
  </si>
  <si>
    <t>5096H</t>
  </si>
  <si>
    <t>RESTREPO</t>
  </si>
  <si>
    <t>LA FRAGUA</t>
  </si>
  <si>
    <t>CLAVER DE JESUS GOMEZ GIRALDO y LUZ PIEDAD GOMEZ ZULUAGA</t>
  </si>
  <si>
    <t>501HT</t>
  </si>
  <si>
    <t>LA FRAGUITA</t>
  </si>
  <si>
    <t>Las Ferias</t>
  </si>
  <si>
    <t>50GJR</t>
  </si>
  <si>
    <t>Tena</t>
  </si>
  <si>
    <t>TENA</t>
  </si>
  <si>
    <t xml:space="preserve">LA GRAN VIA </t>
  </si>
  <si>
    <t>Aves Maria</t>
  </si>
  <si>
    <t>50ZGE</t>
  </si>
  <si>
    <t>LA INDUSTRIAL</t>
  </si>
  <si>
    <t>502NP</t>
  </si>
  <si>
    <t>LA LAGUNA</t>
  </si>
  <si>
    <t>Galicia</t>
  </si>
  <si>
    <t>504WD</t>
  </si>
  <si>
    <t>LA LORENA PEREIRA</t>
  </si>
  <si>
    <t>50GPC</t>
  </si>
  <si>
    <t>LA MERCED NORTE</t>
  </si>
  <si>
    <t>500GV</t>
  </si>
  <si>
    <t>LA NUBIA</t>
  </si>
  <si>
    <t>ARVE CAPITAL S.A.S.</t>
  </si>
  <si>
    <t>Hipotecho Sur</t>
  </si>
  <si>
    <t>50PK2</t>
  </si>
  <si>
    <t>LA PLAYA</t>
  </si>
  <si>
    <t>MARIA GAIT RAMIREZ DE CORREA</t>
  </si>
  <si>
    <t>50DCI</t>
  </si>
  <si>
    <t>LA PRADERA PRINCIPAL</t>
  </si>
  <si>
    <t>YONATAN YEFRI MONTOYA LOAIZA</t>
  </si>
  <si>
    <t>Base Aerea</t>
  </si>
  <si>
    <t>50LG6</t>
  </si>
  <si>
    <t xml:space="preserve">LA PROMESA </t>
  </si>
  <si>
    <t>50YBJ</t>
  </si>
  <si>
    <t>ENGATIVA</t>
  </si>
  <si>
    <t>LA RIVIERA</t>
  </si>
  <si>
    <t>CARLOS DAMIAN DUQUE GIRALDO</t>
  </si>
  <si>
    <t>50FRT</t>
  </si>
  <si>
    <t>SIMON BOLIVAR (8)</t>
  </si>
  <si>
    <t>LA SAMARIA</t>
  </si>
  <si>
    <t>Jorge Mario Castro Beltrán</t>
  </si>
  <si>
    <t>50FMO</t>
  </si>
  <si>
    <t>LA URIBE</t>
  </si>
  <si>
    <t>LA URIBE 21A</t>
  </si>
  <si>
    <t>50UQ9</t>
  </si>
  <si>
    <t xml:space="preserve">LA VICTORIA </t>
  </si>
  <si>
    <t>Calle 44</t>
  </si>
  <si>
    <t>506A4</t>
  </si>
  <si>
    <t>LA VIDA</t>
  </si>
  <si>
    <t>Calle 19</t>
  </si>
  <si>
    <t>50O0M</t>
  </si>
  <si>
    <t>LAGO GAITAN</t>
  </si>
  <si>
    <t>50USK</t>
  </si>
  <si>
    <t>LAGO PERCALES</t>
  </si>
  <si>
    <t>ANGUEYRA GRILLO S.A.S</t>
  </si>
  <si>
    <t>50I9M</t>
  </si>
  <si>
    <t>50P1K</t>
  </si>
  <si>
    <t>LAS LOMAS 2</t>
  </si>
  <si>
    <t>JOSE LUIS PEÑA FERNANDEZ, JOUS IBERT PEÑA SCARPETA Y ENYI TATIANA PEÑA SCARPETA</t>
  </si>
  <si>
    <t>50H00</t>
  </si>
  <si>
    <t>LAS PALMAS-R</t>
  </si>
  <si>
    <t>El Leon</t>
  </si>
  <si>
    <t>5066P</t>
  </si>
  <si>
    <t>LAS PILAS</t>
  </si>
  <si>
    <t>AVILES HURTADO HERRERA;  YULIETH GODOY</t>
  </si>
  <si>
    <t>Unilago</t>
  </si>
  <si>
    <t>50C35</t>
  </si>
  <si>
    <t>LAURELES 49B</t>
  </si>
  <si>
    <t>MATEO MEJÍA GIRALDO, DAVID MEJÍA GIRALDO y NICOLÁS MEJÍA GIRALDO</t>
  </si>
  <si>
    <t>50FLL</t>
  </si>
  <si>
    <t>LAURELES LA CASTELLANA</t>
  </si>
  <si>
    <t>OVER LEANDRO AGAMEZ ROMERO / YERICA MARYORY JARAMILLO RENDON</t>
  </si>
  <si>
    <t>50JCU</t>
  </si>
  <si>
    <t>LIFE 200</t>
  </si>
  <si>
    <t>50BEU</t>
  </si>
  <si>
    <t xml:space="preserve">LIMA 19 </t>
  </si>
  <si>
    <t>50V8S</t>
  </si>
  <si>
    <t>LINDSAY</t>
  </si>
  <si>
    <t>50UUC</t>
  </si>
  <si>
    <t>DEL CAFE</t>
  </si>
  <si>
    <t>LLANO GRANDE PEREIRA</t>
  </si>
  <si>
    <t>5028T</t>
  </si>
  <si>
    <t>5081Y</t>
  </si>
  <si>
    <t>RUFINO JOSE CUERVO</t>
  </si>
  <si>
    <t xml:space="preserve">LOS ARCES </t>
  </si>
  <si>
    <t>50BVD</t>
  </si>
  <si>
    <t xml:space="preserve">LOS FUNDADORES </t>
  </si>
  <si>
    <t>50K6D</t>
  </si>
  <si>
    <t>LOS MONJES</t>
  </si>
  <si>
    <t>50DPS</t>
  </si>
  <si>
    <t>LOW</t>
  </si>
  <si>
    <t>504TF</t>
  </si>
  <si>
    <t>LUHER 13</t>
  </si>
  <si>
    <t>50RIA</t>
  </si>
  <si>
    <t>LUNA PARK</t>
  </si>
  <si>
    <t>Poblado Mall</t>
  </si>
  <si>
    <t>50J6V</t>
  </si>
  <si>
    <t>BAVARIA</t>
  </si>
  <si>
    <t xml:space="preserve">LUSITANIA AV 68 </t>
  </si>
  <si>
    <t>Villa Prado</t>
  </si>
  <si>
    <t>50ECG</t>
  </si>
  <si>
    <t>MAGDALENA</t>
  </si>
  <si>
    <t>5017O</t>
  </si>
  <si>
    <t>MALL ZONA ORO</t>
  </si>
  <si>
    <t>50TND</t>
  </si>
  <si>
    <t>MAR</t>
  </si>
  <si>
    <t>50BWT</t>
  </si>
  <si>
    <t>MARAYA</t>
  </si>
  <si>
    <t>LEYDY JOHANA SANTA GALLEGO,</t>
  </si>
  <si>
    <t>508OX</t>
  </si>
  <si>
    <t>MARLY 13</t>
  </si>
  <si>
    <t>QUICKSEA S.A.S.</t>
  </si>
  <si>
    <t>509XM</t>
  </si>
  <si>
    <t>MARSELLA 70</t>
  </si>
  <si>
    <t>SATURNINO LAGOS SANCHEZ</t>
  </si>
  <si>
    <t>50LY0</t>
  </si>
  <si>
    <t>BUENOS AIRES</t>
  </si>
  <si>
    <t>MAZANTI</t>
  </si>
  <si>
    <t>50OP2</t>
  </si>
  <si>
    <t>MAZUREN 150</t>
  </si>
  <si>
    <t>50Y5F</t>
  </si>
  <si>
    <t>MEDELLIN LA 50</t>
  </si>
  <si>
    <t>JEANNETTE MARIA CARRASCAL PEREZ Y JAIME CAMACHO VARGAS</t>
  </si>
  <si>
    <t>Peñalisa</t>
  </si>
  <si>
    <t>50V1X</t>
  </si>
  <si>
    <t>MEDERI 24</t>
  </si>
  <si>
    <t>INVERSIONES AVENPAR S.A.S.</t>
  </si>
  <si>
    <t>Calle 93</t>
  </si>
  <si>
    <t>50ZWE</t>
  </si>
  <si>
    <t>MEGA PLAZA</t>
  </si>
  <si>
    <t>SOLIDER SAS</t>
  </si>
  <si>
    <t>500DU</t>
  </si>
  <si>
    <t xml:space="preserve">MENSULI HIC </t>
  </si>
  <si>
    <t>50JDK</t>
  </si>
  <si>
    <t>MERCADO LAS FERIAS</t>
  </si>
  <si>
    <t>Cantabria</t>
  </si>
  <si>
    <t>50487</t>
  </si>
  <si>
    <t>MERCED 71</t>
  </si>
  <si>
    <t>GABRIEL ANTONIO MARTINEZ LOPEZ</t>
  </si>
  <si>
    <t>Alcala</t>
  </si>
  <si>
    <t>50FWG</t>
  </si>
  <si>
    <t xml:space="preserve">MERIDIANO 13 DEL ESTE </t>
  </si>
  <si>
    <t>50V5Z</t>
  </si>
  <si>
    <t>METRO 16</t>
  </si>
  <si>
    <t xml:space="preserve">Carrera 9Qc </t>
  </si>
  <si>
    <t>50206</t>
  </si>
  <si>
    <t>Bello</t>
  </si>
  <si>
    <t>BELLO</t>
  </si>
  <si>
    <t>METRO NIQUIA</t>
  </si>
  <si>
    <t>Nuevo Formato</t>
  </si>
  <si>
    <t>La Candelaria</t>
  </si>
  <si>
    <t>505QC</t>
  </si>
  <si>
    <t>METROPOLIS</t>
  </si>
  <si>
    <t>Calle 45</t>
  </si>
  <si>
    <t>50FIO</t>
  </si>
  <si>
    <t>MIDTOWN</t>
  </si>
  <si>
    <t>San Gabriel</t>
  </si>
  <si>
    <t>5047E</t>
  </si>
  <si>
    <t>MILAN 23</t>
  </si>
  <si>
    <t>500TU</t>
  </si>
  <si>
    <t>MILLA DE ORO</t>
  </si>
  <si>
    <t>50FXR</t>
  </si>
  <si>
    <t>MIRADOR DE PONTEVEDRA</t>
  </si>
  <si>
    <t>Plaza Mayor Bquilla</t>
  </si>
  <si>
    <t>50DEU</t>
  </si>
  <si>
    <t>MODELIA 24</t>
  </si>
  <si>
    <t>Diverplaza</t>
  </si>
  <si>
    <t>50SVV</t>
  </si>
  <si>
    <t xml:space="preserve">MODELO NORTE </t>
  </si>
  <si>
    <t>GRANAVAL S.A.S</t>
  </si>
  <si>
    <t>50NBF</t>
  </si>
  <si>
    <t>MODERNO-R</t>
  </si>
  <si>
    <t>Pietra</t>
  </si>
  <si>
    <t>50DP1</t>
  </si>
  <si>
    <t>MOLINOS DEL NORTE 10</t>
  </si>
  <si>
    <t>Esquina Laureles</t>
  </si>
  <si>
    <t>50EPA</t>
  </si>
  <si>
    <t>SALADO (7)</t>
  </si>
  <si>
    <t>MONTEBONITO</t>
  </si>
  <si>
    <t>ALEXANDER TORRES CALDERÓN</t>
  </si>
  <si>
    <t xml:space="preserve">El Bosque </t>
  </si>
  <si>
    <t>50DB7</t>
  </si>
  <si>
    <t>MONTEVIDEO</t>
  </si>
  <si>
    <t>50HC4</t>
  </si>
  <si>
    <t>MORATO</t>
  </si>
  <si>
    <t>RAFAEL MIGUEL ESCOBAR RODRIGUEZ // ALICIA VILLAR CARDENAS</t>
  </si>
  <si>
    <t>500EZ</t>
  </si>
  <si>
    <t>MULTICENTRO</t>
  </si>
  <si>
    <t>5074V</t>
  </si>
  <si>
    <t>MURANO</t>
  </si>
  <si>
    <t>50B6V</t>
  </si>
  <si>
    <t>MUSEO DEL ORO</t>
  </si>
  <si>
    <t>TITULARIZADORA COLOMBIANA S.A</t>
  </si>
  <si>
    <t>50POT</t>
  </si>
  <si>
    <t>MUSEO NACIONAL</t>
  </si>
  <si>
    <t>LA CAJA DE RETIRO DE LAS FUERZAS MILITARES - CREMIL</t>
  </si>
  <si>
    <t>50RI7</t>
  </si>
  <si>
    <t>NATIONAL PARK</t>
  </si>
  <si>
    <t>500XK</t>
  </si>
  <si>
    <t>NAVARRA 114</t>
  </si>
  <si>
    <t>50X03</t>
  </si>
  <si>
    <t>NAXOS</t>
  </si>
  <si>
    <t>GRUPO HELUMA S.A.S.</t>
  </si>
  <si>
    <t>Chicó</t>
  </si>
  <si>
    <t>50Y7N</t>
  </si>
  <si>
    <t>NEPAL 73</t>
  </si>
  <si>
    <t>PULIDO CASTRO Y ASOCIADOS SOCIEDAD EN COMANDITA</t>
  </si>
  <si>
    <t>50VU6</t>
  </si>
  <si>
    <t>NIEVES 22</t>
  </si>
  <si>
    <t>AGROPECUARIA TROCHADOR Y CIA SAS</t>
  </si>
  <si>
    <t>50FS4</t>
  </si>
  <si>
    <t>SUROCCIDENTAL (6)</t>
  </si>
  <si>
    <t>NOGAL PLAZA</t>
  </si>
  <si>
    <t>Magdalena</t>
  </si>
  <si>
    <t>50U0V</t>
  </si>
  <si>
    <t>NOGALES 76</t>
  </si>
  <si>
    <t>50XKM</t>
  </si>
  <si>
    <t>NORMANDIA 53</t>
  </si>
  <si>
    <t>PLAZA FRATELLI S.A.S</t>
  </si>
  <si>
    <t>501UG</t>
  </si>
  <si>
    <t>NORTH POINT</t>
  </si>
  <si>
    <t>Moderno</t>
  </si>
  <si>
    <t>50YZF</t>
  </si>
  <si>
    <t>NOVENA PLUS</t>
  </si>
  <si>
    <t>MARLENE PLAZAS LOZANO</t>
  </si>
  <si>
    <t>50PF4</t>
  </si>
  <si>
    <t>NUEVA CALLE</t>
  </si>
  <si>
    <t>SOMOS PROPIEDAD S.A.S.,</t>
  </si>
  <si>
    <t>50Y0D</t>
  </si>
  <si>
    <t>NUEVO KENNEDY</t>
  </si>
  <si>
    <t>509ZF</t>
  </si>
  <si>
    <t>NUTIBARA CIRCULAR 4</t>
  </si>
  <si>
    <t>INVERSIONES KAVELO SAS</t>
  </si>
  <si>
    <t>Parque Modelia</t>
  </si>
  <si>
    <t>50JRW</t>
  </si>
  <si>
    <t>OCCIDENTAL 17</t>
  </si>
  <si>
    <t>La Merced Norte</t>
  </si>
  <si>
    <t>50Z3Z</t>
  </si>
  <si>
    <t>COMUNA 3</t>
  </si>
  <si>
    <t xml:space="preserve">OPALO </t>
  </si>
  <si>
    <t>509GK</t>
  </si>
  <si>
    <t>AEROPUERTO EL DORADO</t>
  </si>
  <si>
    <t>OPTIMUS</t>
  </si>
  <si>
    <t>BRAT S.A.S</t>
  </si>
  <si>
    <t>503FW</t>
  </si>
  <si>
    <t>OUTLET FLORESTA</t>
  </si>
  <si>
    <t>Afe Refugio</t>
  </si>
  <si>
    <t>50JAU</t>
  </si>
  <si>
    <t>PACANDE</t>
  </si>
  <si>
    <t>508R7</t>
  </si>
  <si>
    <t>PALERMO PIEDECUESTA</t>
  </si>
  <si>
    <t>50UYL</t>
  </si>
  <si>
    <t>PALERMO-R</t>
  </si>
  <si>
    <t>Agustin</t>
  </si>
  <si>
    <t>50IBH</t>
  </si>
  <si>
    <t>PALMAS</t>
  </si>
  <si>
    <t>50FWT</t>
  </si>
  <si>
    <t>PALOQUEMAO-R</t>
  </si>
  <si>
    <t>50KT7</t>
  </si>
  <si>
    <t>ESTACION</t>
  </si>
  <si>
    <t>PARALELA CALDAS</t>
  </si>
  <si>
    <t>50JIF</t>
  </si>
  <si>
    <t>PARALELA MÉDICO</t>
  </si>
  <si>
    <t>MERCEDES CAMARGO FAJARDO</t>
  </si>
  <si>
    <t>5002I</t>
  </si>
  <si>
    <t>PARIS GAITÁN</t>
  </si>
  <si>
    <t>ORLANDO TORRES VANEGAS</t>
  </si>
  <si>
    <t>50YL3</t>
  </si>
  <si>
    <t>PARQUE ALCAZARES</t>
  </si>
  <si>
    <t>50MTY</t>
  </si>
  <si>
    <t>Anapoima</t>
  </si>
  <si>
    <t>ANAPOIMA</t>
  </si>
  <si>
    <t>PARQUE ANAPOIMA</t>
  </si>
  <si>
    <t>508Y2</t>
  </si>
  <si>
    <t>PARQUE CASTELLANA</t>
  </si>
  <si>
    <t>UNIVERSAL DE AVALUOS CIA SAS</t>
  </si>
  <si>
    <t xml:space="preserve">Cedro </t>
  </si>
  <si>
    <t>50VNN</t>
  </si>
  <si>
    <t xml:space="preserve">PARQUE CENTRAL </t>
  </si>
  <si>
    <t>506GK</t>
  </si>
  <si>
    <t>PARQUE CONQUISTADORES</t>
  </si>
  <si>
    <t>INMOBILIARIA 3 R.E. S.A.S.</t>
  </si>
  <si>
    <t>5016I</t>
  </si>
  <si>
    <t>PARQUE DE LOS NIÑOS</t>
  </si>
  <si>
    <t>50NI2</t>
  </si>
  <si>
    <t>PARQUE DEL PERRO 34</t>
  </si>
  <si>
    <t>ELEXA REAL ESTATE S.A.S</t>
  </si>
  <si>
    <t>Megaport</t>
  </si>
  <si>
    <t>505J9</t>
  </si>
  <si>
    <t xml:space="preserve">PARQUE DEL RIO </t>
  </si>
  <si>
    <t>50FPW</t>
  </si>
  <si>
    <t>PARQUE ESPINOSA</t>
  </si>
  <si>
    <t>GALERIAS MINAS DE COLOMBIA S.A.S</t>
  </si>
  <si>
    <t>Alsacia</t>
  </si>
  <si>
    <t>5057U</t>
  </si>
  <si>
    <t>PARQUE FLORIDABLANCA</t>
  </si>
  <si>
    <t>50P48</t>
  </si>
  <si>
    <t>FONTIBON SAN PABLO</t>
  </si>
  <si>
    <t>PARQUE INDUSTRIAL</t>
  </si>
  <si>
    <t>INVERSIONES LINERO URIBE SAS</t>
  </si>
  <si>
    <t>502FE</t>
  </si>
  <si>
    <t xml:space="preserve">PARQUE LAS AGUAS </t>
  </si>
  <si>
    <t>50QBU</t>
  </si>
  <si>
    <t>PARQUE MODELIA</t>
  </si>
  <si>
    <t>Barcelona</t>
  </si>
  <si>
    <t>504I1</t>
  </si>
  <si>
    <t>PARQUE NATURA</t>
  </si>
  <si>
    <t>50TAE</t>
  </si>
  <si>
    <t>PARQUE RESTREPO</t>
  </si>
  <si>
    <t>50VIZ</t>
  </si>
  <si>
    <t>PARQUE VILLAS</t>
  </si>
  <si>
    <t>50YFO</t>
  </si>
  <si>
    <t>PARQUE VILLETA</t>
  </si>
  <si>
    <t>LUCY LILIANA HERNANDEZ HERNANDEZ</t>
  </si>
  <si>
    <t>San José</t>
  </si>
  <si>
    <t>50FQR</t>
  </si>
  <si>
    <t>PASAJE 10/60</t>
  </si>
  <si>
    <t>50FSB</t>
  </si>
  <si>
    <t>PASARELA III</t>
  </si>
  <si>
    <t>50EDM</t>
  </si>
  <si>
    <t>PASCUAL</t>
  </si>
  <si>
    <t>Tirsa Elena Serrano Muñoz y Herley Tabima Ramirez</t>
  </si>
  <si>
    <t>Av Roosevelt</t>
  </si>
  <si>
    <t>50HPC</t>
  </si>
  <si>
    <t>PASEO GRAN AMERICA</t>
  </si>
  <si>
    <t>50M2Q</t>
  </si>
  <si>
    <t>CALANDAIMA</t>
  </si>
  <si>
    <t xml:space="preserve">PASEO SEVILLA </t>
  </si>
  <si>
    <t>Mirador De Pontevedra</t>
  </si>
  <si>
    <t>50I6A</t>
  </si>
  <si>
    <t>ARBORIZADORA</t>
  </si>
  <si>
    <t>PASEO VILLA DEL RIO</t>
  </si>
  <si>
    <t>PARDELLY INVERSIONES S.A.S.</t>
  </si>
  <si>
    <t>Villa Del Rio</t>
  </si>
  <si>
    <t>506VJ</t>
  </si>
  <si>
    <t>PAULO VI</t>
  </si>
  <si>
    <t>FABIAN EDUARDO MARTINEZ DIAZ | KAROLYNE TRUJILLO MORENO</t>
  </si>
  <si>
    <t>Federman</t>
  </si>
  <si>
    <t>50184</t>
  </si>
  <si>
    <t>Ricaurte</t>
  </si>
  <si>
    <t>RICAURTE</t>
  </si>
  <si>
    <t>PEÑALISA</t>
  </si>
  <si>
    <t>Estadio</t>
  </si>
  <si>
    <t>50YNG</t>
  </si>
  <si>
    <t>PIEDRAPINTADA (4)</t>
  </si>
  <si>
    <t>PIEDRA PINTADA 42</t>
  </si>
  <si>
    <t>Las Palmas</t>
  </si>
  <si>
    <t>50GTZ</t>
  </si>
  <si>
    <t>PIES DESCALZOS</t>
  </si>
  <si>
    <t>FUNDACIÓN EMPRESAS PÚBLICAS DE MEDELLIN</t>
  </si>
  <si>
    <t>50YTV</t>
  </si>
  <si>
    <t>PILOTO</t>
  </si>
  <si>
    <t>50D3K</t>
  </si>
  <si>
    <t>PISTA AEROPUERTO</t>
  </si>
  <si>
    <t>50JYI</t>
  </si>
  <si>
    <t>PLAZA DE LA PAZ</t>
  </si>
  <si>
    <t>ALVAREZ OROZCO E HIJOS &amp; CIA S EN C S</t>
  </si>
  <si>
    <t>50DZ2</t>
  </si>
  <si>
    <t>PLAZA FID</t>
  </si>
  <si>
    <t>50NAT</t>
  </si>
  <si>
    <t>PLAZA MAYOR</t>
  </si>
  <si>
    <t>Parque Floridablanca</t>
  </si>
  <si>
    <t>50A39</t>
  </si>
  <si>
    <t>PLAZA RESTREPO</t>
  </si>
  <si>
    <t>Nogales 76</t>
  </si>
  <si>
    <t>50EBZ</t>
  </si>
  <si>
    <t>PLAZA SUBA</t>
  </si>
  <si>
    <t>5080J</t>
  </si>
  <si>
    <t>PLAZA U</t>
  </si>
  <si>
    <t>PROYECTA INVERSIONES S.A.S</t>
  </si>
  <si>
    <t>5015P</t>
  </si>
  <si>
    <t>PLAZUELA DEL VIRREY</t>
  </si>
  <si>
    <t>50L3S</t>
  </si>
  <si>
    <t>POBLADO MALL</t>
  </si>
  <si>
    <t>50R6Q</t>
  </si>
  <si>
    <t>PODIUM</t>
  </si>
  <si>
    <t>CESAR HUMBERTO GARCIA MENESES</t>
  </si>
  <si>
    <t>50TXT</t>
  </si>
  <si>
    <t>POLO</t>
  </si>
  <si>
    <t>505LP</t>
  </si>
  <si>
    <t xml:space="preserve">PORTAL </t>
  </si>
  <si>
    <t>Arbolatta Mall</t>
  </si>
  <si>
    <t>50633</t>
  </si>
  <si>
    <t>PORTAL ALAMOS</t>
  </si>
  <si>
    <t>507VJ</t>
  </si>
  <si>
    <t>PORTAL JAVERIANA</t>
  </si>
  <si>
    <t>50FUR</t>
  </si>
  <si>
    <t>PORTAL QUINDIO</t>
  </si>
  <si>
    <t>HUGO ALEJANDRO MEJÍA BELTRÁN</t>
  </si>
  <si>
    <t>50TM6</t>
  </si>
  <si>
    <t>PORVENIR 72</t>
  </si>
  <si>
    <t>50EDJ</t>
  </si>
  <si>
    <t>POTOSI</t>
  </si>
  <si>
    <t>WILMAR JAVIER FAJARDO MALAGÓN</t>
  </si>
  <si>
    <t>50TNR</t>
  </si>
  <si>
    <t>POZO DE DONATO</t>
  </si>
  <si>
    <t>ATOS INMOBILIARIA S.A.S</t>
  </si>
  <si>
    <t>50WHN</t>
  </si>
  <si>
    <t>PRADO 129</t>
  </si>
  <si>
    <t>502D5</t>
  </si>
  <si>
    <t xml:space="preserve">PRADO ALTO </t>
  </si>
  <si>
    <t>50OCF</t>
  </si>
  <si>
    <t>PRADOMAR</t>
  </si>
  <si>
    <t>50YNR</t>
  </si>
  <si>
    <t>PRIMAVERA</t>
  </si>
  <si>
    <t>Ricaurte Plaza</t>
  </si>
  <si>
    <t>50V6P</t>
  </si>
  <si>
    <t xml:space="preserve">PRIMERA 27 </t>
  </si>
  <si>
    <t>50WBA</t>
  </si>
  <si>
    <t>PROCURADURIA</t>
  </si>
  <si>
    <t>50469</t>
  </si>
  <si>
    <t>PROVIVIENDA ORIENTAL</t>
  </si>
  <si>
    <t>50JG7</t>
  </si>
  <si>
    <t>PUENTE 116</t>
  </si>
  <si>
    <t>50K54</t>
  </si>
  <si>
    <t>PUERTO MADERO</t>
  </si>
  <si>
    <t>50P6H</t>
  </si>
  <si>
    <t>PUNTO CLAVE 4</t>
  </si>
  <si>
    <t>MAESTRANZA GESTIÓN INMOBILIARIA S.A.S</t>
  </si>
  <si>
    <t>5090P</t>
  </si>
  <si>
    <t>QDS MALL</t>
  </si>
  <si>
    <t>ROBERTO VILLOTA WESTERN</t>
  </si>
  <si>
    <t>507QO</t>
  </si>
  <si>
    <t>QUEBRADASECA 32</t>
  </si>
  <si>
    <t>509LN</t>
  </si>
  <si>
    <t xml:space="preserve">QUESADA 52 </t>
  </si>
  <si>
    <t>50HT3</t>
  </si>
  <si>
    <t>QUINCE</t>
  </si>
  <si>
    <t>50J91</t>
  </si>
  <si>
    <t>Calle 34</t>
  </si>
  <si>
    <t>507II</t>
  </si>
  <si>
    <t>QUINTAS DE MADRID</t>
  </si>
  <si>
    <t>50G5S</t>
  </si>
  <si>
    <t>QUIRIGUA</t>
  </si>
  <si>
    <t>50NEN</t>
  </si>
  <si>
    <t>QUIROGA</t>
  </si>
  <si>
    <t>500D4</t>
  </si>
  <si>
    <t xml:space="preserve">RACE 33 </t>
  </si>
  <si>
    <t>50LY9</t>
  </si>
  <si>
    <t>REAL DE MINAS</t>
  </si>
  <si>
    <t>509GN</t>
  </si>
  <si>
    <t>RESERVA DE COLINA</t>
  </si>
  <si>
    <t>50LLL</t>
  </si>
  <si>
    <t xml:space="preserve">RESERVA DEL CEDRO </t>
  </si>
  <si>
    <t>Gloria Stella Figueroa de Espinoza</t>
  </si>
  <si>
    <t>503P8</t>
  </si>
  <si>
    <t>RESTREPO CARRERA 18</t>
  </si>
  <si>
    <t>508Y5</t>
  </si>
  <si>
    <t xml:space="preserve">RESTREPO OCCIDENTAL </t>
  </si>
  <si>
    <t>5015G</t>
  </si>
  <si>
    <t>RICAURTE PLAZA</t>
  </si>
  <si>
    <t>Toberin</t>
  </si>
  <si>
    <t>50NKC</t>
  </si>
  <si>
    <t xml:space="preserve">RINCON DE LOS ANDES </t>
  </si>
  <si>
    <t>50162</t>
  </si>
  <si>
    <t>RIO ALTO</t>
  </si>
  <si>
    <t>506MG</t>
  </si>
  <si>
    <t>RIONEGRO</t>
  </si>
  <si>
    <t>50HLD</t>
  </si>
  <si>
    <t>ROJAS</t>
  </si>
  <si>
    <t>503QV</t>
  </si>
  <si>
    <t>ROSALITOS</t>
  </si>
  <si>
    <t>BRADCO S.A.S</t>
  </si>
  <si>
    <t>50UD5</t>
  </si>
  <si>
    <t>ROSE POBLADO</t>
  </si>
  <si>
    <t>NAGANO S.A.S</t>
  </si>
  <si>
    <t>50NOF</t>
  </si>
  <si>
    <t>ROSITA</t>
  </si>
  <si>
    <t>504TM</t>
  </si>
  <si>
    <t>ROSSI CRA 100</t>
  </si>
  <si>
    <t>LUIS EDUARDO GARZON MENDEZ</t>
  </si>
  <si>
    <t>50F9Y</t>
  </si>
  <si>
    <t>SAN RAFAEL</t>
  </si>
  <si>
    <t xml:space="preserve">ROTONDA 60 </t>
  </si>
  <si>
    <t>50W6C</t>
  </si>
  <si>
    <t>S48 TOWER</t>
  </si>
  <si>
    <t>INVERSIONES VILLEGAS ZULUAGA S.A.S. / CADAVOS S.A.S.</t>
  </si>
  <si>
    <t>50B8U</t>
  </si>
  <si>
    <t>SABANETA CARMELO</t>
  </si>
  <si>
    <t>INVERSIONES RAMIREZ S.A.S</t>
  </si>
  <si>
    <t>50B01</t>
  </si>
  <si>
    <t>SALAZAR GOMEZ</t>
  </si>
  <si>
    <t xml:space="preserve">Av Jimenez </t>
  </si>
  <si>
    <t>50TBI</t>
  </si>
  <si>
    <t>CIUDAD SALITRE ORIENTAL</t>
  </si>
  <si>
    <t>SALITRE</t>
  </si>
  <si>
    <t>50Q5V</t>
  </si>
  <si>
    <t>SALVADOR</t>
  </si>
  <si>
    <t>503IG</t>
  </si>
  <si>
    <t>SAN ALONSO</t>
  </si>
  <si>
    <t>50M9T</t>
  </si>
  <si>
    <t>SAN ANDRESITO 38</t>
  </si>
  <si>
    <t>503KR</t>
  </si>
  <si>
    <t>BOLIVIA</t>
  </si>
  <si>
    <t xml:space="preserve">SAN BASILIO </t>
  </si>
  <si>
    <t>508E5</t>
  </si>
  <si>
    <t>SAN BERNABE</t>
  </si>
  <si>
    <t>50VBZ</t>
  </si>
  <si>
    <t>MUZU</t>
  </si>
  <si>
    <t>SAN ESTEBAN</t>
  </si>
  <si>
    <t>50PU3</t>
  </si>
  <si>
    <t>SAN FELIPE</t>
  </si>
  <si>
    <t>GUÁRDALO S.A.S.</t>
  </si>
  <si>
    <t>502SM</t>
  </si>
  <si>
    <t xml:space="preserve">SAN FRANCIS </t>
  </si>
  <si>
    <t>50GU7</t>
  </si>
  <si>
    <t>SAN GABRIEL</t>
  </si>
  <si>
    <t>50XIH</t>
  </si>
  <si>
    <t>SAN JORGE</t>
  </si>
  <si>
    <t>50KAS</t>
  </si>
  <si>
    <t>SAN JOSÉ</t>
  </si>
  <si>
    <t>50MAX</t>
  </si>
  <si>
    <t>SAN LUIS</t>
  </si>
  <si>
    <t>50OK9</t>
  </si>
  <si>
    <t>SAN MATEO</t>
  </si>
  <si>
    <t>LUIS EDUARDO LAGOS GOMEZ,</t>
  </si>
  <si>
    <t>50CHQ</t>
  </si>
  <si>
    <t>SAN MIGUEL</t>
  </si>
  <si>
    <t>50AN6</t>
  </si>
  <si>
    <t>SAN PATRICIO 106</t>
  </si>
  <si>
    <t>50KCK</t>
  </si>
  <si>
    <t>LA AMERICA</t>
  </si>
  <si>
    <t>SAN PEDRO</t>
  </si>
  <si>
    <t>50OTW</t>
  </si>
  <si>
    <t>SAN SEBASTIAN</t>
  </si>
  <si>
    <t>50WX4</t>
  </si>
  <si>
    <t>SAN VICENTE</t>
  </si>
  <si>
    <t>50N5B</t>
  </si>
  <si>
    <t>SAN VICTORINO</t>
  </si>
  <si>
    <t>50T71</t>
  </si>
  <si>
    <t>SANTA BAR</t>
  </si>
  <si>
    <t>50G5R</t>
  </si>
  <si>
    <t>SANTA BÁRBARA CRA 7</t>
  </si>
  <si>
    <t>Ana María Rodriguez Lopez</t>
  </si>
  <si>
    <t>50QYB</t>
  </si>
  <si>
    <t>SANTA BIBIANA 106</t>
  </si>
  <si>
    <t>50M28</t>
  </si>
  <si>
    <t>SANTA HELENITA</t>
  </si>
  <si>
    <t>Diario Del Otun</t>
  </si>
  <si>
    <t>50YNW</t>
  </si>
  <si>
    <t>SANTA MARGARITA</t>
  </si>
  <si>
    <t>50UEL</t>
  </si>
  <si>
    <t xml:space="preserve">SANTA MARIA 73 </t>
  </si>
  <si>
    <t>50WL9</t>
  </si>
  <si>
    <t>SANTA MARIANA</t>
  </si>
  <si>
    <t>50W5T</t>
  </si>
  <si>
    <t>SANTA MATILDE</t>
  </si>
  <si>
    <t>50AUG</t>
  </si>
  <si>
    <t>SANTA PAULA 109</t>
  </si>
  <si>
    <t>San Patricio 106</t>
  </si>
  <si>
    <t>50D9D</t>
  </si>
  <si>
    <t xml:space="preserve">SANTIAGO LONDOÑO </t>
  </si>
  <si>
    <t>GUILLERMO ALFONSO GONZALEZ MEJIA,</t>
  </si>
  <si>
    <t>502P7</t>
  </si>
  <si>
    <t xml:space="preserve">SANTIAGO PEREZ </t>
  </si>
  <si>
    <t>50YU7</t>
  </si>
  <si>
    <t>SANTO TOMÁS</t>
  </si>
  <si>
    <t>507X2</t>
  </si>
  <si>
    <t>SAUZALITO</t>
  </si>
  <si>
    <t>509WH</t>
  </si>
  <si>
    <t xml:space="preserve">SEPTIMA 49 </t>
  </si>
  <si>
    <t>CONSTRUCTORA CONVERGE S.A.S</t>
  </si>
  <si>
    <t>50Q0D</t>
  </si>
  <si>
    <t>SEPTIMA NIEVES</t>
  </si>
  <si>
    <t>500WO</t>
  </si>
  <si>
    <t>SERENA</t>
  </si>
  <si>
    <t>JOHANNA ACEVEDO GUERRA, MARCO AURELIO MONTES MARTÍNEZ, LUZ YARIME GIRALDO</t>
  </si>
  <si>
    <t>50JRV</t>
  </si>
  <si>
    <t>SEVILLA</t>
  </si>
  <si>
    <t>COLOMBIA SKINS S.A.S.</t>
  </si>
  <si>
    <t>50WIV</t>
  </si>
  <si>
    <t>SHAIO</t>
  </si>
  <si>
    <t>50CVG</t>
  </si>
  <si>
    <t>SIMCA</t>
  </si>
  <si>
    <t>50XXZ</t>
  </si>
  <si>
    <t xml:space="preserve">SOACHA BOCHICA </t>
  </si>
  <si>
    <t>507TK</t>
  </si>
  <si>
    <t>SOLEDAD PARK</t>
  </si>
  <si>
    <t>FERNANDO JOSÉ GREGORIO PERNÍA MALDONADO</t>
  </si>
  <si>
    <t>50I1H</t>
  </si>
  <si>
    <t>SOLUZONA</t>
  </si>
  <si>
    <t>Zona 41</t>
  </si>
  <si>
    <t>50NP7</t>
  </si>
  <si>
    <t>SOSIEGO</t>
  </si>
  <si>
    <t>SHIRLEY ZAMORA RAMIREZ, YUJANA ZAMORA RAMIREZ, LADY JEIMY ZAMORA RAMIREZ, NELY LUCERO ZAMORA RAMIREZ.</t>
  </si>
  <si>
    <t>50SLM</t>
  </si>
  <si>
    <t xml:space="preserve">SOTO 42 </t>
  </si>
  <si>
    <t>50R37</t>
  </si>
  <si>
    <t>SOTOMAYOR</t>
  </si>
  <si>
    <t>50KPJ</t>
  </si>
  <si>
    <t>SQUARE</t>
  </si>
  <si>
    <t>MARLY JANETH DUQUE ZAPATA Y LAURA DUQUE ZAPATA</t>
  </si>
  <si>
    <t>50N5I</t>
  </si>
  <si>
    <t>SUBA 103</t>
  </si>
  <si>
    <t>505OC</t>
  </si>
  <si>
    <t>SUBA 151</t>
  </si>
  <si>
    <t>50THG</t>
  </si>
  <si>
    <t>SUBA NAVETAS</t>
  </si>
  <si>
    <t>50F2E</t>
  </si>
  <si>
    <t>SUBAZAR 92</t>
  </si>
  <si>
    <t>50V5L</t>
  </si>
  <si>
    <t>SUCRE 42</t>
  </si>
  <si>
    <t>MARIA AURORA TELLEZ HENAO, DIEGO FELIPE DURAN TELLEZ, JUAN CAMILO DURAN TELLEZ, PAOLA ANDREA DURAN TELLEZ</t>
  </si>
  <si>
    <t>Clini Versalles Cal</t>
  </si>
  <si>
    <t>50QI2</t>
  </si>
  <si>
    <t xml:space="preserve">SUNDAY </t>
  </si>
  <si>
    <t>50N82</t>
  </si>
  <si>
    <t>SURISALCEDO</t>
  </si>
  <si>
    <t>NOVA TECNOLOGIA INMOBILIARIA S.A.S.</t>
  </si>
  <si>
    <t>La Playa</t>
  </si>
  <si>
    <t>50IMP</t>
  </si>
  <si>
    <t>TADEO</t>
  </si>
  <si>
    <t>ADMINISTRACIÓN Y ABASTECIMIENTO S.A.S</t>
  </si>
  <si>
    <t>50WBU</t>
  </si>
  <si>
    <t>TATIKA</t>
  </si>
  <si>
    <t>50EPD</t>
  </si>
  <si>
    <t>TEATRO</t>
  </si>
  <si>
    <t>Camino Del Norte</t>
  </si>
  <si>
    <t>505QD</t>
  </si>
  <si>
    <t>TEJAR 3</t>
  </si>
  <si>
    <t>50E8T</t>
  </si>
  <si>
    <t>TEQUENDAMA</t>
  </si>
  <si>
    <t>ORGANIZACION CARISMA S.A.S.</t>
  </si>
  <si>
    <t>50ZFV</t>
  </si>
  <si>
    <t>TEQUENDAMA 42</t>
  </si>
  <si>
    <t>Paola Andrea Pinillos Orozco y Rafael Mauricio Carvajal Valencia</t>
  </si>
  <si>
    <t>50YVY</t>
  </si>
  <si>
    <t>TERMINAL DEL SUR</t>
  </si>
  <si>
    <t>TERMINAL SUR DE MEDELLÍN P.H.</t>
  </si>
  <si>
    <t>504XY</t>
  </si>
  <si>
    <t>SIBERIA</t>
  </si>
  <si>
    <t>TERMINAL TERRESTRE</t>
  </si>
  <si>
    <t>50337</t>
  </si>
  <si>
    <t>TERRANOVA</t>
  </si>
  <si>
    <t>5026R</t>
  </si>
  <si>
    <t>TERRAZE 183</t>
  </si>
  <si>
    <t>GLORIA NELLY DÍAZ RODRIGUEZ</t>
  </si>
  <si>
    <t>503RV</t>
  </si>
  <si>
    <t>TEUSAQUILLO 2725</t>
  </si>
  <si>
    <t>50LD6</t>
  </si>
  <si>
    <t xml:space="preserve">TIBANA OPORTO </t>
  </si>
  <si>
    <t>50UNK</t>
  </si>
  <si>
    <t>TOBERIN CENTRO</t>
  </si>
  <si>
    <t>50H6K</t>
  </si>
  <si>
    <t>TORRE 108</t>
  </si>
  <si>
    <t>VISION PLANNING GROUP S.A.S</t>
  </si>
  <si>
    <t>50LFH</t>
  </si>
  <si>
    <t>TORRE 40-13</t>
  </si>
  <si>
    <t>503E4</t>
  </si>
  <si>
    <t>TORRE AMERICAS</t>
  </si>
  <si>
    <t>50ARM</t>
  </si>
  <si>
    <t>TORRE ATLANTICA</t>
  </si>
  <si>
    <t>Universitario</t>
  </si>
  <si>
    <t>50WF1</t>
  </si>
  <si>
    <t>TORRE CIEN</t>
  </si>
  <si>
    <t>50T6M</t>
  </si>
  <si>
    <t>TORRE DEL RELOJ</t>
  </si>
  <si>
    <t>50J59</t>
  </si>
  <si>
    <t>TORRE VIVA 26</t>
  </si>
  <si>
    <t>50XKZ</t>
  </si>
  <si>
    <t>NOROCCIDENTAL (2)</t>
  </si>
  <si>
    <t>TORRES DE SION</t>
  </si>
  <si>
    <t>503L9</t>
  </si>
  <si>
    <t>TORRES DE TIMIZA</t>
  </si>
  <si>
    <t>503EZ</t>
  </si>
  <si>
    <t>TORRES DEL BOSQUE</t>
  </si>
  <si>
    <t>502T9</t>
  </si>
  <si>
    <t xml:space="preserve">TOSCANA </t>
  </si>
  <si>
    <t>50F2M</t>
  </si>
  <si>
    <t>TRADE CENTER</t>
  </si>
  <si>
    <t>50O1R</t>
  </si>
  <si>
    <t>TRANSMIHEROES</t>
  </si>
  <si>
    <t>5077A</t>
  </si>
  <si>
    <t>TRES ESQUINAS</t>
  </si>
  <si>
    <t>El Bosque</t>
  </si>
  <si>
    <t>50E0W</t>
  </si>
  <si>
    <t>TRINIDAD CENTRAL</t>
  </si>
  <si>
    <t>Molinos Del Norte 10</t>
  </si>
  <si>
    <t>50IEL</t>
  </si>
  <si>
    <t>TRINIDAD GALAN</t>
  </si>
  <si>
    <t>50I5X</t>
  </si>
  <si>
    <t>TRIPOLI</t>
  </si>
  <si>
    <t>501H8</t>
  </si>
  <si>
    <t>TRIVENZA</t>
  </si>
  <si>
    <t>Parque Alcazares</t>
  </si>
  <si>
    <t>50U43</t>
  </si>
  <si>
    <t>UAN SUR</t>
  </si>
  <si>
    <t>Cosmos</t>
  </si>
  <si>
    <t>50CBM</t>
  </si>
  <si>
    <t>UNI 32</t>
  </si>
  <si>
    <t>GRUPO EMPRESARIAL PIRATOVA S.A.S</t>
  </si>
  <si>
    <t>50XQU</t>
  </si>
  <si>
    <t>UNILAGO</t>
  </si>
  <si>
    <t>Asturias</t>
  </si>
  <si>
    <t>50IUE</t>
  </si>
  <si>
    <t>UNILIBRE III</t>
  </si>
  <si>
    <t>PEDRO ANTONIO CORTES ALFONSO</t>
  </si>
  <si>
    <t>50HES</t>
  </si>
  <si>
    <t xml:space="preserve">UNIMINUTO </t>
  </si>
  <si>
    <t>JUAN ESTEBAN MURCIA PACHÓN</t>
  </si>
  <si>
    <t>Acomedica 2</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</si>
  <si>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</si>
  <si>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</si>
  <si>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</si>
  <si>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50I1U</t>
  </si>
  <si>
    <t>UNIVERSITARIO</t>
  </si>
  <si>
    <t>502TX</t>
  </si>
  <si>
    <t>URBAN 165</t>
  </si>
  <si>
    <t>Inversiones Famoso</t>
  </si>
  <si>
    <t>50LS3</t>
  </si>
  <si>
    <t>URBAN DISTRICT</t>
  </si>
  <si>
    <t>GYNA MARCELA BORDA IPUS</t>
  </si>
  <si>
    <t>Eds Tribunas</t>
  </si>
  <si>
    <t>50Z2G</t>
  </si>
  <si>
    <t>URBANO 61</t>
  </si>
  <si>
    <t>50FXX</t>
  </si>
  <si>
    <t>USAQUEN PLAZA</t>
  </si>
  <si>
    <t>EDGAR EDUARDO PRIETO RAMIREZ</t>
  </si>
  <si>
    <t>La Concepcion</t>
  </si>
  <si>
    <t>50JO9</t>
  </si>
  <si>
    <t xml:space="preserve">VALENCIA 27 </t>
  </si>
  <si>
    <t>50SA1</t>
  </si>
  <si>
    <t xml:space="preserve">VALENCIANA </t>
  </si>
  <si>
    <t>50YRG</t>
  </si>
  <si>
    <t>VALPARAISO 127</t>
  </si>
  <si>
    <t>OLGA ESPERANZA ROSERO DE VALDERRAMA</t>
  </si>
  <si>
    <t>- 4.750</t>
  </si>
  <si>
    <t>5023G</t>
  </si>
  <si>
    <t>PICALEÑA (9)</t>
  </si>
  <si>
    <t xml:space="preserve">VARSOVIA </t>
  </si>
  <si>
    <t>INVERSIONES SILVA ESCALLON S.A.S ZOMAC</t>
  </si>
  <si>
    <t>502IH</t>
  </si>
  <si>
    <t xml:space="preserve">VENECIA KRA 54 </t>
  </si>
  <si>
    <t>50M0U</t>
  </si>
  <si>
    <t>VERACRUZ CRA 7</t>
  </si>
  <si>
    <t>HAGEFEN SAS</t>
  </si>
  <si>
    <t>5080V</t>
  </si>
  <si>
    <t>VERANERA</t>
  </si>
  <si>
    <t>GRUPO BOTERO MEJIA S.A.S.</t>
  </si>
  <si>
    <t>Castilla 78</t>
  </si>
  <si>
    <t>508YN</t>
  </si>
  <si>
    <t>VERSALLES</t>
  </si>
  <si>
    <t>50WTM</t>
  </si>
  <si>
    <t>VIA 40-77</t>
  </si>
  <si>
    <t>INMOBILIARIA JADE S.A.S</t>
  </si>
  <si>
    <t>Calle 140</t>
  </si>
  <si>
    <t>50O3W</t>
  </si>
  <si>
    <t xml:space="preserve">VIA FERROCARRIL </t>
  </si>
  <si>
    <t>50SX5</t>
  </si>
  <si>
    <t>VIAL ANAPOIMA</t>
  </si>
  <si>
    <t>50DZF</t>
  </si>
  <si>
    <t>VIEJO PRADO</t>
  </si>
  <si>
    <t>ACROPOLIS REALTY INMOBILIARIA S.A.S.</t>
  </si>
  <si>
    <t>50KIU</t>
  </si>
  <si>
    <t xml:space="preserve">VILLA COUNTRY </t>
  </si>
  <si>
    <t>PREMIER ALLIANCE S.A.S</t>
  </si>
  <si>
    <t>Chicó 97</t>
  </si>
  <si>
    <t>50EIF</t>
  </si>
  <si>
    <t>APOGEO</t>
  </si>
  <si>
    <t xml:space="preserve">VILLA DEL RIO </t>
  </si>
  <si>
    <t>50O0D</t>
  </si>
  <si>
    <t xml:space="preserve">VILLA DIANA </t>
  </si>
  <si>
    <t>50GGA</t>
  </si>
  <si>
    <t>VILLA GLADYS</t>
  </si>
  <si>
    <t>50HHB</t>
  </si>
  <si>
    <t>VILLA LUZ 77</t>
  </si>
  <si>
    <t>50Z9G</t>
  </si>
  <si>
    <t xml:space="preserve">VILLA OLIMPICA </t>
  </si>
  <si>
    <t>LIDY ALEJANDRA PULGARIN DUQUE Y JUAN DE LA CRUZ GARCIA CARDONA</t>
  </si>
  <si>
    <t>50VWN</t>
  </si>
  <si>
    <t>VILLA PRADO</t>
  </si>
  <si>
    <t>50MV2</t>
  </si>
  <si>
    <t>EL ROCIO</t>
  </si>
  <si>
    <t>VILLA VERDE</t>
  </si>
  <si>
    <t>En calidad administrador BIENES SAS  / propietario inmueble JARDIN INVERSIONES SAS</t>
  </si>
  <si>
    <t>5064C</t>
  </si>
  <si>
    <t>VILLAMARIA</t>
  </si>
  <si>
    <t>50CED</t>
  </si>
  <si>
    <t>VILLAS 95-15</t>
  </si>
  <si>
    <t>JAIME VILLA RAMIREZ</t>
  </si>
  <si>
    <t>50H9C</t>
  </si>
  <si>
    <t>VIRREY 90</t>
  </si>
  <si>
    <t>IVAN ROGELIO URIBE CORREA    VICTOR RICARDO URIBE CORREA</t>
  </si>
  <si>
    <t>50KID</t>
  </si>
  <si>
    <t>VISCAYA</t>
  </si>
  <si>
    <t>50K9M</t>
  </si>
  <si>
    <t>VITERRA</t>
  </si>
  <si>
    <t>50QF5</t>
  </si>
  <si>
    <t>YORK</t>
  </si>
  <si>
    <t>ALAS WORLDWIDE &amp; CÍA. S.C.A</t>
  </si>
  <si>
    <t>Salazar Gomez</t>
  </si>
  <si>
    <t>50MTQ</t>
  </si>
  <si>
    <t>ZABAN</t>
  </si>
  <si>
    <t>CONSTRUCTORA CONARTE S.A.S.</t>
  </si>
  <si>
    <t>509RX</t>
  </si>
  <si>
    <t>ZONA FRANCA</t>
  </si>
  <si>
    <t>50W6W</t>
  </si>
  <si>
    <t>Centro</t>
  </si>
  <si>
    <t>ACAPULCO</t>
  </si>
  <si>
    <t>CERRADA</t>
  </si>
  <si>
    <t xml:space="preserve"> - </t>
  </si>
  <si>
    <t>50OUD</t>
  </si>
  <si>
    <t>ACQUA</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</si>
  <si>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</si>
  <si>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</si>
  <si>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</si>
  <si>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</si>
  <si>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</si>
  <si>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</si>
  <si>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</si>
  <si>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</si>
  <si>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</si>
  <si>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</si>
  <si>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</si>
  <si>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</si>
  <si>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</si>
  <si>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</si>
  <si>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</si>
  <si>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</si>
  <si>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</si>
  <si>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</si>
  <si>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EXP 2024</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</si>
  <si>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</si>
  <si>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</si>
  <si>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</si>
  <si>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</si>
  <si>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</si>
  <si>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</si>
  <si>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</si>
  <si>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</si>
  <si>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</si>
  <si>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</si>
  <si>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</si>
  <si>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</si>
  <si>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</si>
  <si>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</si>
  <si>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</si>
  <si>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</si>
  <si>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</si>
  <si>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</si>
  <si>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</si>
  <si>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</si>
  <si>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</si>
  <si>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</si>
  <si>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Quindio</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</si>
  <si>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</si>
  <si>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</si>
  <si>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</si>
  <si>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</si>
  <si>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</si>
  <si>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</si>
  <si>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</si>
  <si>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</si>
  <si>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</si>
  <si>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</si>
  <si>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</si>
  <si>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</si>
  <si>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</si>
  <si>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</si>
  <si>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</si>
  <si>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</si>
  <si>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</si>
  <si>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</si>
  <si>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</si>
  <si>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</si>
  <si>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</si>
  <si>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</si>
  <si>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</si>
  <si>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</si>
  <si>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</si>
  <si>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</si>
  <si>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</si>
  <si>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</si>
  <si>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</si>
  <si>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</si>
  <si>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</si>
  <si>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</si>
  <si>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</si>
  <si>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</si>
  <si>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</si>
  <si>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</si>
  <si>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</si>
  <si>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</si>
  <si>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</si>
  <si>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</si>
  <si>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</si>
  <si>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</si>
  <si>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</si>
  <si>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</si>
  <si>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</si>
  <si>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</si>
  <si>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</si>
  <si>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</si>
  <si>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</si>
  <si>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</si>
  <si>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</si>
  <si>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</si>
  <si>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</si>
  <si>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</si>
  <si>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</si>
  <si>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</si>
  <si>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</si>
  <si>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</si>
  <si>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</si>
  <si>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</si>
  <si>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</si>
  <si>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</si>
  <si>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</si>
  <si>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</si>
  <si>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</si>
  <si>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</si>
  <si>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</si>
  <si>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</si>
  <si>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</si>
  <si>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</si>
  <si>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</si>
  <si>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</si>
  <si>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</si>
  <si>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</si>
  <si>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</si>
  <si>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</si>
  <si>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</si>
  <si>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</si>
  <si>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</si>
  <si>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</si>
  <si>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</si>
  <si>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</si>
  <si>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</si>
  <si>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</si>
  <si>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</si>
  <si>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</si>
  <si>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</si>
  <si>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</si>
  <si>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</si>
  <si>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</si>
  <si>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</si>
  <si>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</si>
  <si>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</si>
  <si>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</si>
  <si>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</si>
  <si>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</si>
  <si>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</si>
  <si>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</si>
  <si>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</si>
  <si>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</si>
  <si>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</si>
  <si>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</si>
  <si>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</si>
  <si>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</si>
  <si>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</si>
  <si>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5010</t>
  </si>
  <si>
    <t xml:space="preserve">LAS CLARISAS </t>
  </si>
  <si>
    <t>50YW4</t>
  </si>
  <si>
    <t>ATARDECERES</t>
  </si>
  <si>
    <t>LAS COLINAS</t>
  </si>
  <si>
    <t>INVERSIONES MUNDO MODERNO SIGLO XXI SAS</t>
  </si>
  <si>
    <t>50P3Z</t>
  </si>
  <si>
    <t xml:space="preserve">LAS QUINTAS </t>
  </si>
  <si>
    <t>503VZ</t>
  </si>
  <si>
    <t>Guasca</t>
  </si>
  <si>
    <t xml:space="preserve">LAURELES </t>
  </si>
  <si>
    <t>50DZ3</t>
  </si>
  <si>
    <t>LE CHAMP</t>
  </si>
  <si>
    <t>LE CHAMP SAS</t>
  </si>
  <si>
    <t>50LJ2</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</si>
  <si>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</si>
  <si>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</si>
  <si>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</si>
  <si>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</si>
  <si>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</si>
  <si>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</si>
  <si>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</si>
  <si>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</si>
  <si>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</si>
  <si>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</si>
  <si>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</si>
  <si>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</si>
  <si>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</si>
  <si>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</si>
  <si>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</si>
  <si>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</si>
  <si>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</si>
  <si>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</si>
  <si>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</si>
  <si>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</si>
  <si>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</si>
  <si>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</si>
  <si>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</si>
  <si>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</si>
  <si>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</si>
  <si>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</si>
  <si>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</si>
  <si>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</si>
  <si>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</si>
  <si>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</si>
  <si>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</si>
  <si>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</si>
  <si>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</si>
  <si>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</si>
  <si>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</si>
  <si>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</si>
  <si>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</si>
  <si>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</si>
  <si>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</si>
  <si>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</si>
  <si>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</si>
  <si>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</si>
  <si>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</si>
  <si>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50I9C</t>
  </si>
  <si>
    <t>PEREIRA PLAZA</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</si>
  <si>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</si>
  <si>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</si>
  <si>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</si>
  <si>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</si>
  <si>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</si>
  <si>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</si>
  <si>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</si>
  <si>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</si>
  <si>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</si>
  <si>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</si>
  <si>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</si>
  <si>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</si>
  <si>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</si>
  <si>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</si>
  <si>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</si>
  <si>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</si>
  <si>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</si>
  <si>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</si>
  <si>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</si>
  <si>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</si>
  <si>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</si>
  <si>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</si>
  <si>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</si>
  <si>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</si>
  <si>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</si>
  <si>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</si>
  <si>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</si>
  <si>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</si>
  <si>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</si>
  <si>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</si>
  <si>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</si>
  <si>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</si>
  <si>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</si>
  <si>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</si>
  <si>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</si>
  <si>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</si>
  <si>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</si>
  <si>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</si>
  <si>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</si>
  <si>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</si>
  <si>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</si>
  <si>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</si>
  <si>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</si>
  <si>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</si>
  <si>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</si>
  <si>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</si>
  <si>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</si>
  <si>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</si>
  <si>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</si>
  <si>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</si>
  <si>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</si>
  <si>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</si>
  <si>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</si>
  <si>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</si>
  <si>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</si>
  <si>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</si>
  <si>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</si>
  <si>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</si>
  <si>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</si>
  <si>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</si>
  <si>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</si>
  <si>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</si>
  <si>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50254</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</si>
  <si>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</si>
  <si>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</si>
  <si>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</si>
  <si>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</si>
  <si>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</si>
  <si>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</si>
  <si>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</si>
  <si>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</si>
  <si>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</si>
  <si>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</si>
  <si>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</si>
  <si>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</si>
  <si>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</si>
  <si>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</si>
  <si>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</si>
  <si>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</si>
  <si>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</si>
  <si>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</si>
  <si>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</si>
  <si>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</si>
  <si>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VALHER</t>
  </si>
  <si>
    <t>5024I</t>
  </si>
  <si>
    <t xml:space="preserve">VALVANERA </t>
  </si>
  <si>
    <t>50PMY</t>
  </si>
  <si>
    <t>VAR AV 68</t>
  </si>
  <si>
    <t>509Q1</t>
  </si>
  <si>
    <t>VILLA DE LOS ALPES B</t>
  </si>
  <si>
    <t>50M1S</t>
  </si>
  <si>
    <t xml:space="preserve">VILLA RINCON </t>
  </si>
  <si>
    <t>50P91</t>
  </si>
  <si>
    <t xml:space="preserve">VILLAS </t>
  </si>
  <si>
    <t>50917</t>
  </si>
  <si>
    <t xml:space="preserve">VIPASA </t>
  </si>
  <si>
    <t>50PY6</t>
  </si>
  <si>
    <t>ZONA 41</t>
  </si>
  <si>
    <t>Torre Cien</t>
  </si>
  <si>
    <t>50D1F</t>
  </si>
  <si>
    <t>ZONA IN</t>
  </si>
  <si>
    <t xml:space="preserve"> 0</t>
  </si>
  <si>
    <t>- 3.403</t>
  </si>
  <si>
    <t>50ZAC</t>
  </si>
  <si>
    <t>ZOOLÓGICO</t>
  </si>
  <si>
    <t>INVERSIONES AMALIA S.A.S</t>
  </si>
  <si>
    <t>20 DE JULIO</t>
  </si>
  <si>
    <t>FIRMADA</t>
  </si>
  <si>
    <t>5066R</t>
  </si>
  <si>
    <t>26 TORRE CENTRAL</t>
  </si>
  <si>
    <t>Calle 48</t>
  </si>
  <si>
    <t>AEROPUERTO SALA B6</t>
  </si>
  <si>
    <t>NF</t>
  </si>
  <si>
    <t>50U7D</t>
  </si>
  <si>
    <t>BON 13</t>
  </si>
  <si>
    <t>50OXN</t>
  </si>
  <si>
    <t>50WX9</t>
  </si>
  <si>
    <t>LAGOS DE TORCA</t>
  </si>
  <si>
    <t>JOSE ALBERTO VALENCIA ARISTIZABAL</t>
  </si>
  <si>
    <t>Parque Central</t>
  </si>
  <si>
    <t xml:space="preserve">
507LM</t>
  </si>
  <si>
    <t>OXAKA</t>
  </si>
  <si>
    <t>POBLADO LA 10</t>
  </si>
  <si>
    <t>50ZCS</t>
  </si>
  <si>
    <t>TERMINAL DE CARGA</t>
  </si>
  <si>
    <t>508F4</t>
  </si>
  <si>
    <t>ADHARA</t>
  </si>
  <si>
    <t>HERMANOS LAMAR SAS</t>
  </si>
  <si>
    <t>OBRA</t>
  </si>
  <si>
    <t>504SH</t>
  </si>
  <si>
    <t>AVENIDA 33</t>
  </si>
  <si>
    <t>ALAMEDA HOUSE S.A.S,</t>
  </si>
  <si>
    <t>Nutibara Circular 4</t>
  </si>
  <si>
    <t>50HC6</t>
  </si>
  <si>
    <t>CABECERA 2</t>
  </si>
  <si>
    <t>Multicentro</t>
  </si>
  <si>
    <t>50YCD</t>
  </si>
  <si>
    <t>Duitama</t>
  </si>
  <si>
    <t>DUITAMA</t>
  </si>
  <si>
    <t>CIUDADELA INDUSTRIAL</t>
  </si>
  <si>
    <t>50GO0</t>
  </si>
  <si>
    <t>HABITAD 63</t>
  </si>
  <si>
    <t>Costa Azul</t>
  </si>
  <si>
    <t>50URU</t>
  </si>
  <si>
    <t>LA MESA CALLE 8</t>
  </si>
  <si>
    <t>MERCEDES CAMPOS CRUZ</t>
  </si>
  <si>
    <t>Sunday</t>
  </si>
  <si>
    <t>50FOH</t>
  </si>
  <si>
    <t>LAURELES UPB</t>
  </si>
  <si>
    <t>INDIE EXPERIENCE S.A.S.</t>
  </si>
  <si>
    <t>Santo Tomas</t>
  </si>
  <si>
    <t>50PAS</t>
  </si>
  <si>
    <t>MADRIGAL</t>
  </si>
  <si>
    <t>Plazuela del Virrey</t>
  </si>
  <si>
    <t>50IRJ</t>
  </si>
  <si>
    <t>MOSQUERA CENTRAL</t>
  </si>
  <si>
    <t>ANDRES MAURICIO SABOGAL FEO</t>
  </si>
  <si>
    <t>La Promesa</t>
  </si>
  <si>
    <t xml:space="preserve">	50RUX</t>
  </si>
  <si>
    <t>PARQUE LOS PERIODISTAS</t>
  </si>
  <si>
    <t>50BI8</t>
  </si>
  <si>
    <t>PLAZA 100</t>
  </si>
  <si>
    <t>Autopista 97</t>
  </si>
  <si>
    <t>50F5N</t>
  </si>
  <si>
    <t>PLAZA SAN MARTIN</t>
  </si>
  <si>
    <t>50HD6</t>
  </si>
  <si>
    <t>U. SIMON BOLIVAR</t>
  </si>
  <si>
    <t>5069V</t>
  </si>
  <si>
    <t>VILLA ALSACIA</t>
  </si>
  <si>
    <t>503U1</t>
  </si>
  <si>
    <t>VILLA CAROLINA</t>
  </si>
  <si>
    <t>Mega Plaza</t>
  </si>
  <si>
    <t>PR</t>
  </si>
  <si>
    <t>3 TURNOS</t>
  </si>
  <si>
    <t>6:00 am - 2:00 pm</t>
  </si>
  <si>
    <t>2:00 pm - 6:00 pm</t>
  </si>
  <si>
    <t>6:00 pm - 6:00 am</t>
  </si>
  <si>
    <t>Especialista</t>
  </si>
  <si>
    <t>UPZ</t>
  </si>
  <si>
    <t># Foco</t>
  </si>
  <si>
    <t>Microzonas</t>
  </si>
  <si>
    <t>Alcazares 24</t>
  </si>
  <si>
    <t>PRESENTADO</t>
  </si>
  <si>
    <t>SI</t>
  </si>
  <si>
    <t>COMITE</t>
  </si>
  <si>
    <t>TOTAL SI</t>
  </si>
  <si>
    <t>%PROD</t>
  </si>
  <si>
    <t>Mañana</t>
  </si>
  <si>
    <t xml:space="preserve">Tarde </t>
  </si>
  <si>
    <t>Noche</t>
  </si>
  <si>
    <t>ALEJANDRA</t>
  </si>
  <si>
    <t>Barbara Av 119</t>
  </si>
  <si>
    <t>NO</t>
  </si>
  <si>
    <t>TOTAL</t>
  </si>
  <si>
    <t>EL REFUGIO A</t>
  </si>
  <si>
    <t xml:space="preserve">Galery Park </t>
  </si>
  <si>
    <t>2 TURNOS</t>
  </si>
  <si>
    <t>2:00 pm - 10:00 pm</t>
  </si>
  <si>
    <t xml:space="preserve">Gallery Street </t>
  </si>
  <si>
    <t>Global Center Av 19</t>
  </si>
  <si>
    <t>Industrial 68</t>
  </si>
  <si>
    <t>Infinity 63</t>
  </si>
  <si>
    <t>CARLOS</t>
  </si>
  <si>
    <t xml:space="preserve">Jardin Norte 130 </t>
  </si>
  <si>
    <t>LOS CEDROS A</t>
  </si>
  <si>
    <t>Mall Caracas</t>
  </si>
  <si>
    <t>Mazuren 150</t>
  </si>
  <si>
    <t xml:space="preserve">Pijao </t>
  </si>
  <si>
    <t>Quince</t>
  </si>
  <si>
    <t xml:space="preserve">Rosalitos </t>
  </si>
  <si>
    <t>ORIGINAL</t>
  </si>
  <si>
    <t>%O</t>
  </si>
  <si>
    <t>1RA_R Estrato</t>
  </si>
  <si>
    <t>%1RA</t>
  </si>
  <si>
    <t>2DA_R Uso de suelo</t>
  </si>
  <si>
    <t>%2DA</t>
  </si>
  <si>
    <t>Rossi Cra 100</t>
  </si>
  <si>
    <t>Cuenta de OBJECTID</t>
  </si>
  <si>
    <t xml:space="preserve"> </t>
  </si>
  <si>
    <t>Sucre 42</t>
  </si>
  <si>
    <t>JENNY</t>
  </si>
  <si>
    <t>Snippet</t>
  </si>
  <si>
    <t>Name_1</t>
  </si>
  <si>
    <t>Total</t>
  </si>
  <si>
    <t>Numero de foco</t>
  </si>
  <si>
    <t>Torre 40-13</t>
  </si>
  <si>
    <t>JHOANA</t>
  </si>
  <si>
    <t>CAROLINA</t>
  </si>
  <si>
    <t>CHICO LAGO A</t>
  </si>
  <si>
    <t>Unilibre III</t>
  </si>
  <si>
    <t>LINA</t>
  </si>
  <si>
    <t xml:space="preserve">Universidad 57 </t>
  </si>
  <si>
    <t>VIVIANA</t>
  </si>
  <si>
    <t>Urbano 61</t>
  </si>
  <si>
    <t>Veracruz Cra 7</t>
  </si>
  <si>
    <t>Villa Gladys</t>
  </si>
  <si>
    <t>CINDY</t>
  </si>
  <si>
    <t>Total ALEJANDRA</t>
  </si>
  <si>
    <t>Restrepo / Santa Isabel B</t>
  </si>
  <si>
    <t>Bogota</t>
  </si>
  <si>
    <t>Caracas 53</t>
  </si>
  <si>
    <t>Leonard</t>
  </si>
  <si>
    <t>✅</t>
  </si>
  <si>
    <t>MARTHA</t>
  </si>
  <si>
    <t>EDS Calle 69</t>
  </si>
  <si>
    <t>Angela (leonard)</t>
  </si>
  <si>
    <t>GRANJAS DE TECHO B</t>
  </si>
  <si>
    <t>Americas factory</t>
  </si>
  <si>
    <t>ZA</t>
  </si>
  <si>
    <t>Buro 25</t>
  </si>
  <si>
    <t>ℹ️</t>
  </si>
  <si>
    <t>Tiene contrato pero no info del contrato</t>
  </si>
  <si>
    <t>EL RINCON B</t>
  </si>
  <si>
    <t>Corpas 111</t>
  </si>
  <si>
    <t>Carlos Bolaños</t>
  </si>
  <si>
    <t>TIBABUYES</t>
  </si>
  <si>
    <t>Museo nacional</t>
  </si>
  <si>
    <t>Lina diaz</t>
  </si>
  <si>
    <t>Centro empresarial 156</t>
  </si>
  <si>
    <t>Marta</t>
  </si>
  <si>
    <t>veracruz</t>
  </si>
  <si>
    <t>martha</t>
  </si>
  <si>
    <t>centro internacional</t>
  </si>
  <si>
    <t>lina</t>
  </si>
  <si>
    <t>Total CARLOS</t>
  </si>
  <si>
    <t>7 estorias</t>
  </si>
  <si>
    <t>Villa gladys</t>
  </si>
  <si>
    <t>Alejandra rojas</t>
  </si>
  <si>
    <t>Jenny acuña</t>
  </si>
  <si>
    <t>GRANJAS DE TECHO A</t>
  </si>
  <si>
    <t>Medellin</t>
  </si>
  <si>
    <t>CE 9C sur</t>
  </si>
  <si>
    <t>Jorge Granados</t>
  </si>
  <si>
    <t>Jorge</t>
  </si>
  <si>
    <t>Torre 40/13</t>
  </si>
  <si>
    <t>Cindy Torres</t>
  </si>
  <si>
    <t>EDS Villeta</t>
  </si>
  <si>
    <t>Jenny Acuña</t>
  </si>
  <si>
    <t>Carolina Gonzalez</t>
  </si>
  <si>
    <t>CHICO LAGO B</t>
  </si>
  <si>
    <t>Global center av 19</t>
  </si>
  <si>
    <t>Martha lopez</t>
  </si>
  <si>
    <t>Chapinero / Pardo Rubio B</t>
  </si>
  <si>
    <t>Cindy Martinez</t>
  </si>
  <si>
    <t>LOS CEDROS B</t>
  </si>
  <si>
    <t>Vial anapoima</t>
  </si>
  <si>
    <t>La vega</t>
  </si>
  <si>
    <t>EDS la vega</t>
  </si>
  <si>
    <t>Total CAROLINA</t>
  </si>
  <si>
    <t>Parque villeta</t>
  </si>
  <si>
    <t>CC caracas</t>
  </si>
  <si>
    <t>Laureles 49B</t>
  </si>
  <si>
    <t>Andres</t>
  </si>
  <si>
    <t>Chapinero / Pardo Rubio A</t>
  </si>
  <si>
    <t>Parque industrial</t>
  </si>
  <si>
    <t>SANTA BARBARA / LA ALHAMBRA B</t>
  </si>
  <si>
    <t>Av bolivariana</t>
  </si>
  <si>
    <t>Low</t>
  </si>
  <si>
    <t>La capilla</t>
  </si>
  <si>
    <t>CORABASTOS</t>
  </si>
  <si>
    <t>Parque conquistadores</t>
  </si>
  <si>
    <t>MARCO FIDEL SUAREZ</t>
  </si>
  <si>
    <t>Teatro</t>
  </si>
  <si>
    <t>Viviana Mejia</t>
  </si>
  <si>
    <t>‼️</t>
  </si>
  <si>
    <t>La macarena</t>
  </si>
  <si>
    <t>Restrepo / Santa Isabel A</t>
  </si>
  <si>
    <t>Rosalitos</t>
  </si>
  <si>
    <t>Tequendama</t>
  </si>
  <si>
    <t>Calle jardin</t>
  </si>
  <si>
    <t>Total CINDY</t>
  </si>
  <si>
    <t>SANTA BARBARA / LA ALHAMBRA  A</t>
  </si>
  <si>
    <t>EL RINCON A</t>
  </si>
  <si>
    <t>PASEO DE LOS LIBERTADORES</t>
  </si>
  <si>
    <t>Total JENNY</t>
  </si>
  <si>
    <t>Total JHOANA</t>
  </si>
  <si>
    <t>Total LINA</t>
  </si>
  <si>
    <t>Total MARTHA</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</si>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</sst>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_-[$$-240A]\ * #,##0_-;\-[$$-240A]\ * #,##0_-;_-[$$-240A]\ * &quot;-&quot;_-;_-@_-"/>
    <numFmt numFmtId="166" formatCode="0.0000"/>
    <numFmt numFmtId="167" formatCode="_-[$$-409]* #,##0_ ;_-[$$-409]* \-#,##0\ ;_-[$$-409]* &quot;-&quot;??_ ;_-@_ "/>
    <numFmt numFmtId="169" formatCode="_-[$$-409]* #,##0.0_ ;_-[$$-409]* \-#,##0.0\ ;_-[$$-409]* &quot;-&quot;??_ ;_-@_ "/>
    <numFmt numFmtId="170" formatCode="0.000000"/>
    <numFmt numFmtId="171" formatCode="_-[$$-409]* #,##0.0_ ;_-[$$-409]* \-#,##0.0\ ;_-[$$-409]* &quot;-&quot;?_ ;_-@_ "/>
  </numFmts>
  <fonts count="9" x14ac:knownFonts="1">
    <font>
      <sz val="11"/>
      <color theme="1"/>
      <name val="Aptos Narrow"/>
      <family val="2"/>
      <scheme val="minor"/>
    </font>
    <font>
      <sz val="11"/>
      <color rgb="FF000000"/>
      <name val="Aptos Narrow"/>
      <family val="2"/>
      <scheme val="minor"/>
    </font>
    <font>
      <sz val="11"/>
      <color rgb="FF000000"/>
      <name val="Aptos Narrow"/>
      <family val="2"/>
    </font>
    <font>
      <u/>
      <sz val="11"/>
      <color theme="10"/>
      <name val="Aptos Narrow"/>
      <family val="2"/>
      <scheme val="minor"/>
    </font>
    <font>
      <sz val="11"/>
      <color rgb="FFFF0000"/>
      <name val="Aptos Narrow"/>
      <family val="2"/>
      <scheme val="minor"/>
    </font>
    <font>
      <u/>
      <sz val="11"/>
      <color theme="1"/>
      <name val="Aptos Narrow"/>
      <family val="2"/>
      <scheme val="minor"/>
    </font>
    <font>
      <u/>
      <sz val="11"/>
      <color rgb="FF000000"/>
      <name val="Aptos Narrow"/>
      <family val="2"/>
    </font>
    <font>
      <b/>
      <sz val="11"/>
      <color rgb="FF000000"/>
      <name val="Aptos Narrow"/>
      <family val="2"/>
    </font>
    <font>
      <b/>
      <sz val="11"/>
      <color rgb="FFFF0000"/>
      <name val="Aptos Narrow"/>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NumberFormat="0" applyFill="0" applyBorder="0" applyAlignment="0" applyProtection="0"/>
  </cellStyleXfs>
  <cellXfs count="52">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167" fontId="0" fillId="0" borderId="0" xfId="0" applyNumberFormat="1" applyAlignment="1">
      <alignment horizontal="center"/>
    </xf>
    <xf numFmtId="0" fontId="0" fillId="0" borderId="1" xfId="0" applyBorder="1" applyAlignment="1">
      <alignment horizontal="center"/>
    </xf>
    <xf numFmtId="166"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0" fontId="4" fillId="0" borderId="0" xfId="0" applyFont="1"/>
    <xf numFmtId="0" fontId="2" fillId="0" borderId="0" xfId="0" applyFont="1" applyAlignment="1">
      <alignment horizontal="center"/>
    </xf>
    <xf numFmtId="10" fontId="2" fillId="0" borderId="0" xfId="0" applyNumberFormat="1" applyFont="1" applyAlignment="1">
      <alignment horizontal="center"/>
    </xf>
    <xf numFmtId="9" fontId="0" fillId="0" borderId="0" xfId="0" applyNumberFormat="1"/>
    <xf numFmtId="0" fontId="5" fillId="0" borderId="0" xfId="0" applyFont="1"/>
    <xf numFmtId="0" fontId="0" fillId="0" borderId="1" xfId="0" applyBorder="1" applyAlignment="1">
      <alignment horizontal="center" vertical="center"/>
    </xf>
    <xf numFmtId="14" fontId="2" fillId="0" borderId="0" xfId="0" applyNumberFormat="1" applyFont="1" applyAlignment="1">
      <alignment horizontal="center"/>
    </xf>
    <xf numFmtId="1" fontId="2" fillId="0" borderId="0" xfId="0" applyNumberFormat="1" applyFont="1" applyAlignment="1">
      <alignment horizontal="center"/>
    </xf>
    <xf numFmtId="169" fontId="0" fillId="0" borderId="0" xfId="0" applyNumberFormat="1" applyAlignment="1">
      <alignment horizontal="center"/>
    </xf>
    <xf numFmtId="169" fontId="2" fillId="0" borderId="0" xfId="0" applyNumberFormat="1" applyFont="1" applyAlignment="1">
      <alignment horizontal="center"/>
    </xf>
    <xf numFmtId="167" fontId="2" fillId="0" borderId="0" xfId="0" applyNumberFormat="1" applyFont="1" applyAlignment="1">
      <alignment horizontal="center"/>
    </xf>
    <xf numFmtId="0" fontId="6" fillId="0" borderId="0" xfId="0" applyFont="1" applyAlignment="1">
      <alignment horizontal="center"/>
    </xf>
    <xf numFmtId="49" fontId="2" fillId="0" borderId="0" xfId="0" applyNumberFormat="1" applyFont="1" applyAlignment="1">
      <alignment horizontal="center"/>
    </xf>
    <xf numFmtId="169" fontId="6" fillId="0" borderId="0" xfId="0" applyNumberFormat="1" applyFont="1" applyAlignment="1">
      <alignment horizontal="center"/>
    </xf>
    <xf numFmtId="170" fontId="2" fillId="0" borderId="0" xfId="0" applyNumberFormat="1" applyFont="1" applyAlignment="1">
      <alignment horizontal="center"/>
    </xf>
    <xf numFmtId="0" fontId="7" fillId="0" borderId="0" xfId="0" applyFont="1" applyAlignment="1">
      <alignment horizontal="center"/>
    </xf>
    <xf numFmtId="165" fontId="1" fillId="0" borderId="0" xfId="0" applyNumberFormat="1" applyFont="1" applyAlignment="1">
      <alignment horizontal="center"/>
    </xf>
    <xf numFmtId="49" fontId="1"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4" fontId="1" fillId="0" borderId="0" xfId="0" applyNumberFormat="1" applyFont="1" applyAlignment="1">
      <alignment horizontal="center"/>
    </xf>
    <xf numFmtId="170" fontId="1" fillId="0" borderId="0" xfId="0" applyNumberFormat="1" applyFont="1" applyAlignment="1">
      <alignment horizontal="center"/>
    </xf>
    <xf numFmtId="167" fontId="1" fillId="0" borderId="0" xfId="0" applyNumberFormat="1" applyFont="1" applyAlignment="1">
      <alignment horizontal="center"/>
    </xf>
    <xf numFmtId="169" fontId="1" fillId="0" borderId="0" xfId="0" applyNumberFormat="1" applyFont="1" applyAlignment="1">
      <alignment horizontal="center"/>
    </xf>
    <xf numFmtId="164" fontId="1" fillId="0" borderId="0" xfId="0" applyNumberFormat="1" applyFont="1" applyAlignment="1">
      <alignment horizontal="center"/>
    </xf>
    <xf numFmtId="0" fontId="1" fillId="0" borderId="0" xfId="0" applyFont="1"/>
    <xf numFmtId="167" fontId="2" fillId="0" borderId="0" xfId="0" quotePrefix="1" applyNumberFormat="1" applyFont="1" applyAlignment="1">
      <alignment horizontal="center"/>
    </xf>
    <xf numFmtId="169" fontId="2" fillId="0" borderId="0" xfId="0" quotePrefix="1" applyNumberFormat="1" applyFont="1" applyAlignment="1">
      <alignment horizontal="center"/>
    </xf>
    <xf numFmtId="171" fontId="2" fillId="0" borderId="0" xfId="0" applyNumberFormat="1" applyFont="1" applyAlignment="1">
      <alignment horizontal="center"/>
    </xf>
    <xf numFmtId="170" fontId="0" fillId="0" borderId="0" xfId="0" applyNumberFormat="1" applyAlignment="1">
      <alignment horizontal="center"/>
    </xf>
    <xf numFmtId="0" fontId="8" fillId="0" borderId="0" xfId="0" applyFon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2">
    <cellStyle name="Hyperlink" xfId="1" xr:uid="{00000000-000B-0000-0000-000008000000}"/>
    <cellStyle name="Normal" xfId="0" builtinId="0"/>
  </cellStyles>
  <dxfs count="8">
    <dxf>
      <font>
        <color rgb="FF9C0006"/>
      </font>
    </dxf>
    <dxf>
      <font>
        <color rgb="FF9C5700"/>
      </font>
      <fill>
        <patternFill>
          <bgColor rgb="FFFFEB9C"/>
        </patternFill>
      </fill>
    </dxf>
    <dxf>
      <font>
        <b/>
        <i val="0"/>
        <color rgb="FF00B0F0"/>
      </font>
    </dxf>
    <dxf>
      <font>
        <b/>
        <i val="0"/>
        <color theme="1"/>
      </font>
      <fill>
        <patternFill patternType="solid">
          <bgColor theme="0" tint="-0.249977111117893"/>
        </patternFill>
      </fill>
    </dxf>
    <dxf>
      <font>
        <color rgb="FF9C0006"/>
      </font>
      <fill>
        <patternFill>
          <bgColor rgb="FFFFC7CE"/>
        </patternFill>
      </fill>
    </dxf>
    <dxf>
      <font>
        <b/>
        <i val="0"/>
        <color theme="1"/>
      </font>
    </dxf>
    <dxf>
      <font>
        <b/>
        <i val="0"/>
        <color rgb="FF7030A0"/>
      </font>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77</xdr:row>
      <xdr:rowOff>171450</xdr:rowOff>
    </xdr:from>
    <xdr:to>
      <xdr:col>8</xdr:col>
      <xdr:colOff>495300</xdr:colOff>
      <xdr:row>86</xdr:row>
      <xdr:rowOff>171450</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0" y="14839950"/>
          <a:ext cx="7610475" cy="1714500"/>
        </a:xfrm>
        <a:prstGeom prst="rect">
          <a:avLst/>
        </a:prstGeom>
      </xdr:spPr>
    </xdr:pic>
    <xdr:clientData/>
  </xdr:twoCellAnchor>
  <xdr:twoCellAnchor editAs="oneCell">
    <xdr:from>
      <xdr:col>29</xdr:col>
      <xdr:colOff>38100</xdr:colOff>
      <xdr:row>13</xdr:row>
      <xdr:rowOff>0</xdr:rowOff>
    </xdr:from>
    <xdr:to>
      <xdr:col>32</xdr:col>
      <xdr:colOff>266700</xdr:colOff>
      <xdr:row>20</xdr:row>
      <xdr:rowOff>9525</xdr:rowOff>
    </xdr:to>
    <xdr:pic>
      <xdr:nvPicPr>
        <xdr:cNvPr id="4" name="Imagen 3">
          <a:extLst>
            <a:ext uri="{FF2B5EF4-FFF2-40B4-BE49-F238E27FC236}">
              <a16:creationId xmlns:a16="http://schemas.microsoft.com/office/drawing/2014/main" id="{A0863561-7D70-83B1-6E9B-0706E2109664}"/>
            </a:ext>
            <a:ext uri="{147F2762-F138-4A5C-976F-8EAC2B608ADB}">
              <a16:predDERef xmlns:a16="http://schemas.microsoft.com/office/drawing/2014/main" pred="{35446354-15B8-61DC-12D4-F62C789D9B98}"/>
            </a:ext>
          </a:extLst>
        </xdr:cNvPr>
        <xdr:cNvPicPr>
          <a:picLocks noChangeAspect="1"/>
        </xdr:cNvPicPr>
      </xdr:nvPicPr>
      <xdr:blipFill>
        <a:blip xmlns:r="http://schemas.openxmlformats.org/officeDocument/2006/relationships" r:embed="rId2"/>
        <a:stretch>
          <a:fillRect/>
        </a:stretch>
      </xdr:blipFill>
      <xdr:spPr>
        <a:xfrm>
          <a:off x="24688800" y="2476500"/>
          <a:ext cx="2057400" cy="1343025"/>
        </a:xfrm>
        <a:prstGeom prst="rect">
          <a:avLst/>
        </a:prstGeom>
      </xdr:spPr>
    </xdr:pic>
    <xdr:clientData/>
  </xdr:twoCellAnchor>
  <xdr:twoCellAnchor editAs="oneCell">
    <xdr:from>
      <xdr:col>29</xdr:col>
      <xdr:colOff>114300</xdr:colOff>
      <xdr:row>20</xdr:row>
      <xdr:rowOff>152400</xdr:rowOff>
    </xdr:from>
    <xdr:to>
      <xdr:col>32</xdr:col>
      <xdr:colOff>323850</xdr:colOff>
      <xdr:row>28</xdr:row>
      <xdr:rowOff>19050</xdr:rowOff>
    </xdr:to>
    <xdr:pic>
      <xdr:nvPicPr>
        <xdr:cNvPr id="5" name="Imagen 4">
          <a:extLst>
            <a:ext uri="{FF2B5EF4-FFF2-40B4-BE49-F238E27FC236}">
              <a16:creationId xmlns:a16="http://schemas.microsoft.com/office/drawing/2014/main" id="{F5C30BC6-7DA2-CA5E-823E-5F1E1FA6EE10}"/>
            </a:ext>
            <a:ext uri="{147F2762-F138-4A5C-976F-8EAC2B608ADB}">
              <a16:predDERef xmlns:a16="http://schemas.microsoft.com/office/drawing/2014/main" pred="{A0863561-7D70-83B1-6E9B-0706E2109664}"/>
            </a:ext>
          </a:extLst>
        </xdr:cNvPr>
        <xdr:cNvPicPr>
          <a:picLocks noChangeAspect="1"/>
        </xdr:cNvPicPr>
      </xdr:nvPicPr>
      <xdr:blipFill>
        <a:blip xmlns:r="http://schemas.openxmlformats.org/officeDocument/2006/relationships" r:embed="rId3"/>
        <a:stretch>
          <a:fillRect/>
        </a:stretch>
      </xdr:blipFill>
      <xdr:spPr>
        <a:xfrm>
          <a:off x="24765000" y="3962400"/>
          <a:ext cx="20383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10"/>
  <sheetViews>
    <sheetView tabSelected="1" workbookViewId="0">
      <pane xSplit="7" topLeftCell="H1" activePane="topRight" state="frozen"/>
      <selection pane="topRight" activeCell="J8" sqref="J8"/>
    </sheetView>
  </sheetViews>
  <sheetFormatPr baseColWidth="10" defaultColWidth="8.7265625" defaultRowHeight="15" customHeight="1" x14ac:dyDescent="0.35"/>
  <cols>
    <col min="1" max="1" width="9.81640625" style="6" bestFit="1" customWidth="1"/>
    <col min="2" max="2" width="13.54296875" style="6" bestFit="1" customWidth="1"/>
    <col min="3" max="3" width="18" style="6" customWidth="1"/>
    <col min="4" max="4" width="16.453125" style="6" bestFit="1" customWidth="1"/>
    <col min="5" max="5" width="28.7265625" style="6" customWidth="1"/>
    <col min="6" max="6" width="11.26953125" style="7" customWidth="1"/>
    <col min="7" max="7" width="24.26953125" style="7" customWidth="1"/>
    <col min="8" max="8" width="13.1796875" style="6" customWidth="1"/>
    <col min="9" max="9" width="16.7265625" style="6" customWidth="1"/>
    <col min="10" max="10" width="13.1796875" style="5" customWidth="1"/>
    <col min="11" max="13" width="13.1796875" style="7" customWidth="1"/>
    <col min="14" max="14" width="13.1796875" style="2" customWidth="1"/>
    <col min="15" max="15" width="13.26953125" style="7" customWidth="1"/>
    <col min="16" max="16" width="10.54296875" style="7" bestFit="1" customWidth="1"/>
    <col min="17" max="17" width="10.54296875" style="6" customWidth="1"/>
    <col min="18" max="18" width="11.7265625" style="7" customWidth="1"/>
    <col min="19" max="19" width="12.54296875" style="44" bestFit="1" customWidth="1"/>
    <col min="20" max="20" width="12.453125" style="44" bestFit="1" customWidth="1"/>
    <col min="21" max="21" width="14.26953125" style="7" customWidth="1"/>
    <col min="22" max="22" width="15.54296875" style="7" customWidth="1"/>
    <col min="23" max="23" width="13.453125" style="9" customWidth="1"/>
    <col min="24" max="24" width="14.1796875" style="23" customWidth="1"/>
    <col min="25" max="25" width="14.7265625" style="23" customWidth="1"/>
    <col min="26" max="26" width="15.54296875" style="23" customWidth="1"/>
    <col min="27" max="27" width="22.1796875" style="9" customWidth="1"/>
    <col min="28" max="28" width="23.26953125" style="9" customWidth="1"/>
    <col min="29" max="29" width="15.81640625" style="23" customWidth="1"/>
    <col min="30" max="30" width="16.453125" style="23" customWidth="1"/>
    <col min="31" max="31" width="10.7265625" style="23" customWidth="1"/>
    <col min="32" max="32" width="14.26953125" style="23" customWidth="1"/>
    <col min="33" max="33" width="11.81640625" style="7" customWidth="1"/>
    <col min="34" max="34" width="22.1796875" style="6" bestFit="1" customWidth="1"/>
    <col min="35" max="35" width="11.81640625" style="31" customWidth="1"/>
    <col min="36" max="37" width="9.54296875" style="4" customWidth="1"/>
    <col min="38" max="38" width="13.453125" style="9" customWidth="1"/>
    <col min="39" max="39" width="12.1796875" style="4" customWidth="1"/>
    <col min="40" max="40" width="20.81640625" style="1" bestFit="1" customWidth="1"/>
    <col min="41" max="41" width="8.7265625" style="1"/>
  </cols>
  <sheetData>
    <row r="1" spans="1:41" s="1" customFormat="1" ht="14.5" x14ac:dyDescent="0.35">
      <c r="A1" s="32" t="s">
        <v>0</v>
      </c>
      <c r="B1" s="32" t="s">
        <v>1</v>
      </c>
      <c r="C1" s="32" t="s">
        <v>2</v>
      </c>
      <c r="D1" s="32" t="s">
        <v>3</v>
      </c>
      <c r="E1" s="32" t="s">
        <v>4</v>
      </c>
      <c r="F1" s="33" t="s">
        <v>5</v>
      </c>
      <c r="G1" s="32" t="s">
        <v>6</v>
      </c>
      <c r="H1" s="32" t="s">
        <v>7</v>
      </c>
      <c r="I1" s="32" t="s">
        <v>8</v>
      </c>
      <c r="J1" s="34" t="s">
        <v>9</v>
      </c>
      <c r="K1" s="33" t="s">
        <v>10</v>
      </c>
      <c r="L1" s="33" t="s">
        <v>11</v>
      </c>
      <c r="M1" s="33" t="s">
        <v>12</v>
      </c>
      <c r="N1" s="35" t="s">
        <v>13</v>
      </c>
      <c r="O1" s="33" t="s">
        <v>14</v>
      </c>
      <c r="P1" s="33" t="s">
        <v>15</v>
      </c>
      <c r="Q1" s="33" t="s">
        <v>16</v>
      </c>
      <c r="R1" s="33" t="s">
        <v>17</v>
      </c>
      <c r="S1" s="36" t="s">
        <v>18</v>
      </c>
      <c r="T1" s="36" t="s">
        <v>19</v>
      </c>
      <c r="U1" s="33" t="s">
        <v>20</v>
      </c>
      <c r="V1" s="33" t="s">
        <v>21</v>
      </c>
      <c r="W1" s="37" t="s">
        <v>22</v>
      </c>
      <c r="X1" s="38" t="s">
        <v>23</v>
      </c>
      <c r="Y1" s="38" t="s">
        <v>24</v>
      </c>
      <c r="Z1" s="38" t="s">
        <v>25</v>
      </c>
      <c r="AA1" s="37" t="s">
        <v>26</v>
      </c>
      <c r="AB1" s="37" t="s">
        <v>27</v>
      </c>
      <c r="AC1" s="38" t="s">
        <v>28</v>
      </c>
      <c r="AD1" s="38" t="s">
        <v>29</v>
      </c>
      <c r="AE1" s="38" t="s">
        <v>30</v>
      </c>
      <c r="AF1" s="38" t="s">
        <v>31</v>
      </c>
      <c r="AG1" s="39" t="s">
        <v>32</v>
      </c>
      <c r="AH1" s="32" t="s">
        <v>33</v>
      </c>
      <c r="AI1" s="8" t="s">
        <v>34</v>
      </c>
      <c r="AJ1" s="8" t="s">
        <v>35</v>
      </c>
      <c r="AK1" s="32" t="s">
        <v>36</v>
      </c>
      <c r="AL1" s="37" t="s">
        <v>37</v>
      </c>
      <c r="AM1" s="8" t="s">
        <v>38</v>
      </c>
      <c r="AN1" s="8" t="s">
        <v>39</v>
      </c>
      <c r="AO1" s="8" t="s">
        <v>40</v>
      </c>
    </row>
    <row r="2" spans="1:41" ht="14.5" x14ac:dyDescent="0.35">
      <c r="A2" s="27" t="s">
        <v>41</v>
      </c>
      <c r="B2" s="16" t="s">
        <v>42</v>
      </c>
      <c r="C2" s="16" t="s">
        <v>43</v>
      </c>
      <c r="D2" s="16" t="s">
        <v>44</v>
      </c>
      <c r="E2" s="16" t="s">
        <v>45</v>
      </c>
      <c r="F2" s="16">
        <v>5</v>
      </c>
      <c r="G2" s="30" t="s">
        <v>46</v>
      </c>
      <c r="H2" s="16">
        <v>0</v>
      </c>
      <c r="I2" s="16" t="s">
        <v>47</v>
      </c>
      <c r="J2" s="16">
        <v>177.38</v>
      </c>
      <c r="K2" s="16">
        <v>163</v>
      </c>
      <c r="L2" s="16">
        <v>3034</v>
      </c>
      <c r="M2" s="8">
        <v>0</v>
      </c>
      <c r="N2" s="21">
        <v>40514</v>
      </c>
      <c r="O2" s="7">
        <f t="shared" ref="O2:O65" si="0">DAY(N2)</f>
        <v>2</v>
      </c>
      <c r="P2" s="22">
        <f t="shared" ref="P2:P65" si="1">Q2-O2+1</f>
        <v>30</v>
      </c>
      <c r="Q2" s="22">
        <f t="shared" ref="Q2:Q65" si="2">DAY(EOMONTH(N2,0))</f>
        <v>31</v>
      </c>
      <c r="R2" s="16">
        <v>116</v>
      </c>
      <c r="S2" s="29">
        <v>4.7229000000000001</v>
      </c>
      <c r="T2" s="29">
        <v>-74.044753999999998</v>
      </c>
      <c r="U2" s="22">
        <v>22077</v>
      </c>
      <c r="V2" s="22">
        <v>18642.833330000001</v>
      </c>
      <c r="W2" s="25">
        <v>11073</v>
      </c>
      <c r="X2" s="24">
        <v>11161</v>
      </c>
      <c r="Y2" s="24">
        <v>244450</v>
      </c>
      <c r="Z2" s="24">
        <v>208077</v>
      </c>
      <c r="AA2" s="24">
        <v>24671</v>
      </c>
      <c r="AB2" s="24">
        <v>14864</v>
      </c>
      <c r="AC2" s="24">
        <v>94683</v>
      </c>
      <c r="AD2" s="24">
        <v>77365</v>
      </c>
      <c r="AE2" s="24">
        <v>11965</v>
      </c>
      <c r="AF2" s="24">
        <v>11702</v>
      </c>
      <c r="AG2" s="17">
        <v>0</v>
      </c>
      <c r="AH2" s="16" t="s">
        <v>48</v>
      </c>
      <c r="AI2" s="16" t="s">
        <v>49</v>
      </c>
      <c r="AJ2" s="16" t="s">
        <v>50</v>
      </c>
      <c r="AK2" s="16" t="s">
        <v>51</v>
      </c>
      <c r="AL2" s="25">
        <v>232000</v>
      </c>
      <c r="AM2" s="43">
        <f t="shared" ref="AM2:AM65" si="3">AE2/J2</f>
        <v>67.454053444582257</v>
      </c>
      <c r="AN2" s="16" t="s">
        <v>52</v>
      </c>
      <c r="AO2" s="16" t="s">
        <v>53</v>
      </c>
    </row>
    <row r="3" spans="1:41" ht="14.5" x14ac:dyDescent="0.35">
      <c r="A3" s="27" t="s">
        <v>54</v>
      </c>
      <c r="B3" s="16" t="s">
        <v>55</v>
      </c>
      <c r="C3" s="16" t="s">
        <v>43</v>
      </c>
      <c r="D3" s="16" t="s">
        <v>44</v>
      </c>
      <c r="E3" s="16" t="s">
        <v>56</v>
      </c>
      <c r="F3" s="16">
        <v>3</v>
      </c>
      <c r="G3" s="30" t="s">
        <v>57</v>
      </c>
      <c r="H3" s="16">
        <v>0</v>
      </c>
      <c r="I3" s="16" t="s">
        <v>47</v>
      </c>
      <c r="J3" s="16">
        <v>83.9</v>
      </c>
      <c r="K3" s="16">
        <v>537</v>
      </c>
      <c r="L3" s="16">
        <v>142</v>
      </c>
      <c r="M3" s="8">
        <v>186</v>
      </c>
      <c r="N3" s="21">
        <v>43740</v>
      </c>
      <c r="O3" s="7">
        <f t="shared" si="0"/>
        <v>2</v>
      </c>
      <c r="P3" s="22">
        <f t="shared" si="1"/>
        <v>30</v>
      </c>
      <c r="Q3" s="22">
        <f t="shared" si="2"/>
        <v>31</v>
      </c>
      <c r="R3" s="16">
        <v>84</v>
      </c>
      <c r="S3" s="29">
        <v>4.5760909999999999</v>
      </c>
      <c r="T3" s="29">
        <v>-74.094650999999999</v>
      </c>
      <c r="U3" s="22">
        <v>24710</v>
      </c>
      <c r="V3" s="22">
        <v>26219.833330000001</v>
      </c>
      <c r="W3" s="25">
        <v>11952</v>
      </c>
      <c r="X3" s="24">
        <v>12044</v>
      </c>
      <c r="Y3" s="24">
        <v>295340</v>
      </c>
      <c r="Z3" s="24">
        <v>315786</v>
      </c>
      <c r="AA3" s="24">
        <v>29878</v>
      </c>
      <c r="AB3" s="24">
        <v>34275</v>
      </c>
      <c r="AC3" s="24">
        <v>95951</v>
      </c>
      <c r="AD3" s="24">
        <v>104091</v>
      </c>
      <c r="AE3" s="24">
        <v>8068</v>
      </c>
      <c r="AF3" s="24">
        <v>7825</v>
      </c>
      <c r="AG3" s="17">
        <v>0</v>
      </c>
      <c r="AH3" s="16" t="s">
        <v>58</v>
      </c>
      <c r="AI3" s="16" t="s">
        <v>49</v>
      </c>
      <c r="AJ3" s="16" t="s">
        <v>50</v>
      </c>
      <c r="AK3" s="16" t="s">
        <v>51</v>
      </c>
      <c r="AL3" s="25">
        <v>232000</v>
      </c>
      <c r="AM3" s="43">
        <f t="shared" si="3"/>
        <v>96.162097735399271</v>
      </c>
      <c r="AN3" s="16" t="s">
        <v>59</v>
      </c>
      <c r="AO3" s="16" t="s">
        <v>60</v>
      </c>
    </row>
    <row r="4" spans="1:41" ht="14.5" x14ac:dyDescent="0.35">
      <c r="A4" s="27" t="s">
        <v>61</v>
      </c>
      <c r="B4" s="16" t="s">
        <v>55</v>
      </c>
      <c r="C4" s="16" t="s">
        <v>43</v>
      </c>
      <c r="D4" s="16" t="s">
        <v>44</v>
      </c>
      <c r="E4" s="16" t="s">
        <v>62</v>
      </c>
      <c r="F4" s="16">
        <v>4</v>
      </c>
      <c r="G4" s="30" t="s">
        <v>63</v>
      </c>
      <c r="H4" s="16">
        <v>0</v>
      </c>
      <c r="I4" s="16" t="s">
        <v>47</v>
      </c>
      <c r="J4" s="16">
        <v>128.02000000000001</v>
      </c>
      <c r="K4" s="16">
        <v>2789</v>
      </c>
      <c r="L4" s="16">
        <v>1350</v>
      </c>
      <c r="M4" s="8">
        <v>139</v>
      </c>
      <c r="N4" s="21">
        <v>46078</v>
      </c>
      <c r="O4" s="7">
        <f t="shared" si="0"/>
        <v>25</v>
      </c>
      <c r="P4" s="22">
        <f t="shared" si="1"/>
        <v>4</v>
      </c>
      <c r="Q4" s="22">
        <f t="shared" si="2"/>
        <v>28</v>
      </c>
      <c r="R4" s="16">
        <v>7</v>
      </c>
      <c r="S4" s="29">
        <v>6.2496029999999996</v>
      </c>
      <c r="T4" s="29">
        <v>-75.588874000000004</v>
      </c>
      <c r="U4" s="22">
        <v>16492</v>
      </c>
      <c r="V4" s="22">
        <v>14178.333329999999</v>
      </c>
      <c r="W4" s="25">
        <v>11515</v>
      </c>
      <c r="X4" s="24">
        <v>11523</v>
      </c>
      <c r="Y4" s="24">
        <v>189912</v>
      </c>
      <c r="Z4" s="24">
        <v>163380</v>
      </c>
      <c r="AA4" s="24">
        <v>13611</v>
      </c>
      <c r="AB4" s="24">
        <v>7529</v>
      </c>
      <c r="AC4" s="24">
        <v>71074</v>
      </c>
      <c r="AD4" s="24">
        <v>59572</v>
      </c>
      <c r="AE4" s="24">
        <v>9878</v>
      </c>
      <c r="AF4" s="24">
        <v>8465</v>
      </c>
      <c r="AG4" s="17">
        <v>1.3425</v>
      </c>
      <c r="AH4" s="16" t="s">
        <v>64</v>
      </c>
      <c r="AI4" s="16" t="s">
        <v>49</v>
      </c>
      <c r="AJ4" s="16" t="s">
        <v>50</v>
      </c>
      <c r="AK4" s="16" t="s">
        <v>65</v>
      </c>
      <c r="AL4" s="25">
        <v>204160</v>
      </c>
      <c r="AM4" s="43">
        <f t="shared" si="3"/>
        <v>77.159818778315881</v>
      </c>
      <c r="AN4" s="16" t="s">
        <v>66</v>
      </c>
      <c r="AO4" s="16" t="s">
        <v>60</v>
      </c>
    </row>
    <row r="5" spans="1:41" ht="14.5" x14ac:dyDescent="0.35">
      <c r="A5" s="27" t="s">
        <v>67</v>
      </c>
      <c r="B5" s="16" t="s">
        <v>42</v>
      </c>
      <c r="C5" s="16" t="s">
        <v>43</v>
      </c>
      <c r="D5" s="16" t="s">
        <v>44</v>
      </c>
      <c r="E5" s="16" t="s">
        <v>68</v>
      </c>
      <c r="F5" s="16">
        <v>4</v>
      </c>
      <c r="G5" s="30" t="s">
        <v>69</v>
      </c>
      <c r="H5" s="16" t="s">
        <v>70</v>
      </c>
      <c r="I5" s="16" t="s">
        <v>47</v>
      </c>
      <c r="J5" s="16">
        <v>125.91</v>
      </c>
      <c r="K5" s="16">
        <v>560</v>
      </c>
      <c r="L5" s="16">
        <v>2330</v>
      </c>
      <c r="M5" s="8">
        <v>235</v>
      </c>
      <c r="N5" s="21">
        <v>45899</v>
      </c>
      <c r="O5" s="7">
        <f t="shared" si="0"/>
        <v>30</v>
      </c>
      <c r="P5" s="22">
        <f t="shared" si="1"/>
        <v>2</v>
      </c>
      <c r="Q5" s="22">
        <f t="shared" si="2"/>
        <v>31</v>
      </c>
      <c r="R5" s="16">
        <v>13</v>
      </c>
      <c r="S5" s="29">
        <v>4.6587769999999997</v>
      </c>
      <c r="T5" s="29">
        <v>-74.061516999999995</v>
      </c>
      <c r="U5" s="22">
        <v>19258</v>
      </c>
      <c r="V5" s="22">
        <v>15677.833329999999</v>
      </c>
      <c r="W5" s="25">
        <v>10213</v>
      </c>
      <c r="X5" s="24">
        <v>10403</v>
      </c>
      <c r="Y5" s="24">
        <v>196681</v>
      </c>
      <c r="Z5" s="24">
        <v>163101</v>
      </c>
      <c r="AA5" s="24">
        <v>6744</v>
      </c>
      <c r="AB5" s="41">
        <v>-2708</v>
      </c>
      <c r="AC5" s="24">
        <v>73754</v>
      </c>
      <c r="AD5" s="24">
        <v>58330</v>
      </c>
      <c r="AE5" s="24">
        <v>19286</v>
      </c>
      <c r="AF5" s="24">
        <v>18805</v>
      </c>
      <c r="AG5" s="17">
        <v>1.0327999999999999</v>
      </c>
      <c r="AH5" s="16" t="s">
        <v>58</v>
      </c>
      <c r="AI5" s="16" t="s">
        <v>49</v>
      </c>
      <c r="AJ5" s="16" t="s">
        <v>50</v>
      </c>
      <c r="AK5" s="16" t="s">
        <v>71</v>
      </c>
      <c r="AL5" s="25">
        <v>232000</v>
      </c>
      <c r="AM5" s="43">
        <f t="shared" si="3"/>
        <v>153.17290127869114</v>
      </c>
      <c r="AN5" s="16" t="s">
        <v>72</v>
      </c>
      <c r="AO5" s="16" t="s">
        <v>60</v>
      </c>
    </row>
    <row r="6" spans="1:41" ht="14.5" x14ac:dyDescent="0.35">
      <c r="A6" s="27" t="s">
        <v>73</v>
      </c>
      <c r="B6" s="16" t="s">
        <v>55</v>
      </c>
      <c r="C6" s="16" t="s">
        <v>43</v>
      </c>
      <c r="D6" s="16" t="s">
        <v>44</v>
      </c>
      <c r="E6" s="16" t="s">
        <v>74</v>
      </c>
      <c r="F6" s="16">
        <v>3</v>
      </c>
      <c r="G6" s="30" t="s">
        <v>75</v>
      </c>
      <c r="H6" s="16">
        <v>0</v>
      </c>
      <c r="I6" s="16" t="s">
        <v>47</v>
      </c>
      <c r="J6" s="16">
        <v>146.43</v>
      </c>
      <c r="K6" s="16">
        <v>1343</v>
      </c>
      <c r="L6" s="16">
        <v>375</v>
      </c>
      <c r="M6" s="8">
        <v>0</v>
      </c>
      <c r="N6" s="21">
        <v>44672</v>
      </c>
      <c r="O6" s="7">
        <f t="shared" si="0"/>
        <v>21</v>
      </c>
      <c r="P6" s="22">
        <f t="shared" si="1"/>
        <v>10</v>
      </c>
      <c r="Q6" s="22">
        <f t="shared" si="2"/>
        <v>30</v>
      </c>
      <c r="R6" s="16">
        <v>53</v>
      </c>
      <c r="S6" s="29">
        <v>4.6398260000000002</v>
      </c>
      <c r="T6" s="29">
        <v>-74.137130999999997</v>
      </c>
      <c r="U6" s="22">
        <v>15085</v>
      </c>
      <c r="V6" s="22">
        <v>14927.5</v>
      </c>
      <c r="W6" s="25">
        <v>13273</v>
      </c>
      <c r="X6" s="24">
        <v>14024</v>
      </c>
      <c r="Y6" s="24">
        <v>200221</v>
      </c>
      <c r="Z6" s="24">
        <v>209345</v>
      </c>
      <c r="AA6" s="24">
        <v>13885</v>
      </c>
      <c r="AB6" s="24">
        <v>12789</v>
      </c>
      <c r="AC6" s="24">
        <v>66935</v>
      </c>
      <c r="AD6" s="24">
        <v>69195</v>
      </c>
      <c r="AE6" s="24">
        <v>9567</v>
      </c>
      <c r="AF6" s="24">
        <v>9664</v>
      </c>
      <c r="AG6" s="17">
        <v>0</v>
      </c>
      <c r="AH6" s="16" t="s">
        <v>48</v>
      </c>
      <c r="AI6" s="16" t="s">
        <v>49</v>
      </c>
      <c r="AJ6" s="16" t="s">
        <v>76</v>
      </c>
      <c r="AK6" s="16" t="s">
        <v>51</v>
      </c>
      <c r="AL6" s="25">
        <v>241405</v>
      </c>
      <c r="AM6" s="43">
        <f t="shared" si="3"/>
        <v>65.334972341733248</v>
      </c>
      <c r="AN6" s="16" t="s">
        <v>77</v>
      </c>
      <c r="AO6" s="16" t="s">
        <v>60</v>
      </c>
    </row>
    <row r="7" spans="1:41" ht="14.5" x14ac:dyDescent="0.35">
      <c r="A7" s="27" t="s">
        <v>78</v>
      </c>
      <c r="B7" s="16" t="s">
        <v>55</v>
      </c>
      <c r="C7" s="16" t="s">
        <v>43</v>
      </c>
      <c r="D7" s="16" t="s">
        <v>44</v>
      </c>
      <c r="E7" s="16" t="s">
        <v>79</v>
      </c>
      <c r="F7" s="16">
        <v>3</v>
      </c>
      <c r="G7" s="30" t="s">
        <v>80</v>
      </c>
      <c r="H7" s="16" t="s">
        <v>81</v>
      </c>
      <c r="I7" s="16" t="s">
        <v>47</v>
      </c>
      <c r="J7" s="16">
        <v>111.57</v>
      </c>
      <c r="K7" s="16">
        <v>1589</v>
      </c>
      <c r="L7" s="16">
        <v>3640</v>
      </c>
      <c r="M7" s="8">
        <v>116</v>
      </c>
      <c r="N7" s="21">
        <v>45535</v>
      </c>
      <c r="O7" s="7">
        <f t="shared" si="0"/>
        <v>31</v>
      </c>
      <c r="P7" s="22">
        <f t="shared" si="1"/>
        <v>1</v>
      </c>
      <c r="Q7" s="22">
        <f t="shared" si="2"/>
        <v>31</v>
      </c>
      <c r="R7" s="16">
        <v>25</v>
      </c>
      <c r="S7" s="29">
        <v>4.610195</v>
      </c>
      <c r="T7" s="29">
        <v>-74.070750000000004</v>
      </c>
      <c r="U7" s="22">
        <v>21529</v>
      </c>
      <c r="V7" s="22">
        <v>22400.666669999999</v>
      </c>
      <c r="W7" s="25">
        <v>11001</v>
      </c>
      <c r="X7" s="24">
        <v>11196</v>
      </c>
      <c r="Y7" s="24">
        <v>236832</v>
      </c>
      <c r="Z7" s="24">
        <v>250796</v>
      </c>
      <c r="AA7" s="24">
        <v>23310</v>
      </c>
      <c r="AB7" s="24">
        <v>24112</v>
      </c>
      <c r="AC7" s="24">
        <v>86703</v>
      </c>
      <c r="AD7" s="24">
        <v>89892</v>
      </c>
      <c r="AE7" s="24">
        <v>10653</v>
      </c>
      <c r="AF7" s="24">
        <v>10468</v>
      </c>
      <c r="AG7" s="17">
        <v>0</v>
      </c>
      <c r="AH7" s="16" t="s">
        <v>82</v>
      </c>
      <c r="AI7" s="16" t="s">
        <v>49</v>
      </c>
      <c r="AJ7" s="16" t="s">
        <v>50</v>
      </c>
      <c r="AK7" s="16" t="s">
        <v>51</v>
      </c>
      <c r="AL7" s="25">
        <v>232000</v>
      </c>
      <c r="AM7" s="43">
        <f t="shared" si="3"/>
        <v>95.482656628125852</v>
      </c>
      <c r="AN7" s="16" t="s">
        <v>83</v>
      </c>
      <c r="AO7" s="16" t="s">
        <v>60</v>
      </c>
    </row>
    <row r="8" spans="1:41" ht="14.5" x14ac:dyDescent="0.35">
      <c r="A8" s="27" t="s">
        <v>84</v>
      </c>
      <c r="B8" s="16" t="s">
        <v>55</v>
      </c>
      <c r="C8" s="16" t="s">
        <v>43</v>
      </c>
      <c r="D8" s="16" t="s">
        <v>44</v>
      </c>
      <c r="E8" s="16" t="s">
        <v>85</v>
      </c>
      <c r="F8" s="16">
        <v>3</v>
      </c>
      <c r="G8" s="30" t="s">
        <v>86</v>
      </c>
      <c r="H8" s="16">
        <v>0</v>
      </c>
      <c r="I8" s="16" t="s">
        <v>47</v>
      </c>
      <c r="J8" s="16">
        <v>99.8</v>
      </c>
      <c r="K8" s="16">
        <v>1837</v>
      </c>
      <c r="L8" s="16">
        <v>1249</v>
      </c>
      <c r="M8" s="8">
        <v>0</v>
      </c>
      <c r="N8" s="21">
        <v>44587</v>
      </c>
      <c r="O8" s="7">
        <f t="shared" si="0"/>
        <v>26</v>
      </c>
      <c r="P8" s="22">
        <f t="shared" si="1"/>
        <v>6</v>
      </c>
      <c r="Q8" s="22">
        <f t="shared" si="2"/>
        <v>31</v>
      </c>
      <c r="R8" s="16">
        <v>56</v>
      </c>
      <c r="S8" s="29">
        <v>4.6210149999999999</v>
      </c>
      <c r="T8" s="29">
        <v>-74.147363999999996</v>
      </c>
      <c r="U8" s="22">
        <v>15770</v>
      </c>
      <c r="V8" s="22">
        <v>16554.833330000001</v>
      </c>
      <c r="W8" s="25">
        <v>12160</v>
      </c>
      <c r="X8" s="24">
        <v>12236</v>
      </c>
      <c r="Y8" s="24">
        <v>191766</v>
      </c>
      <c r="Z8" s="24">
        <v>202569</v>
      </c>
      <c r="AA8" s="24">
        <v>6920</v>
      </c>
      <c r="AB8" s="24">
        <v>11253</v>
      </c>
      <c r="AC8" s="24">
        <v>59452</v>
      </c>
      <c r="AD8" s="24">
        <v>62913</v>
      </c>
      <c r="AE8" s="24">
        <v>8928</v>
      </c>
      <c r="AF8" s="24">
        <v>9022</v>
      </c>
      <c r="AG8" s="17">
        <v>0</v>
      </c>
      <c r="AH8" s="16" t="s">
        <v>48</v>
      </c>
      <c r="AI8" s="16" t="s">
        <v>49</v>
      </c>
      <c r="AJ8" s="16" t="s">
        <v>76</v>
      </c>
      <c r="AK8" s="16" t="s">
        <v>51</v>
      </c>
      <c r="AL8" s="25">
        <v>241405</v>
      </c>
      <c r="AM8" s="43">
        <f t="shared" si="3"/>
        <v>89.458917835671343</v>
      </c>
      <c r="AN8" s="16" t="s">
        <v>87</v>
      </c>
      <c r="AO8" s="16" t="s">
        <v>60</v>
      </c>
    </row>
    <row r="9" spans="1:41" ht="14.5" x14ac:dyDescent="0.35">
      <c r="A9" s="27" t="s">
        <v>88</v>
      </c>
      <c r="B9" s="16" t="s">
        <v>55</v>
      </c>
      <c r="C9" s="16" t="s">
        <v>43</v>
      </c>
      <c r="D9" s="16" t="s">
        <v>44</v>
      </c>
      <c r="E9" s="16" t="s">
        <v>85</v>
      </c>
      <c r="F9" s="16">
        <v>3</v>
      </c>
      <c r="G9" s="30" t="s">
        <v>89</v>
      </c>
      <c r="H9" s="16">
        <v>0</v>
      </c>
      <c r="I9" s="16" t="s">
        <v>47</v>
      </c>
      <c r="J9" s="16">
        <v>99.5</v>
      </c>
      <c r="K9" s="16">
        <v>1566</v>
      </c>
      <c r="L9" s="16">
        <v>1357</v>
      </c>
      <c r="M9" s="8">
        <v>0</v>
      </c>
      <c r="N9" s="21">
        <v>44684</v>
      </c>
      <c r="O9" s="7">
        <f t="shared" si="0"/>
        <v>3</v>
      </c>
      <c r="P9" s="22">
        <f t="shared" si="1"/>
        <v>29</v>
      </c>
      <c r="Q9" s="22">
        <f t="shared" si="2"/>
        <v>31</v>
      </c>
      <c r="R9" s="16">
        <v>52</v>
      </c>
      <c r="S9" s="29">
        <v>4.6222620000000001</v>
      </c>
      <c r="T9" s="29">
        <v>-74.149932000000007</v>
      </c>
      <c r="U9" s="22">
        <v>16851</v>
      </c>
      <c r="V9" s="22">
        <v>15549</v>
      </c>
      <c r="W9" s="25">
        <v>10349</v>
      </c>
      <c r="X9" s="24">
        <v>10893</v>
      </c>
      <c r="Y9" s="24">
        <v>174382</v>
      </c>
      <c r="Z9" s="24">
        <v>169375</v>
      </c>
      <c r="AA9" s="24">
        <v>6278</v>
      </c>
      <c r="AB9" s="24">
        <v>5938</v>
      </c>
      <c r="AC9" s="24">
        <v>58383</v>
      </c>
      <c r="AD9" s="24">
        <v>57351</v>
      </c>
      <c r="AE9" s="24">
        <v>8790</v>
      </c>
      <c r="AF9" s="24">
        <v>8908</v>
      </c>
      <c r="AG9" s="17">
        <v>0</v>
      </c>
      <c r="AH9" s="16" t="s">
        <v>90</v>
      </c>
      <c r="AI9" s="16" t="s">
        <v>49</v>
      </c>
      <c r="AJ9" s="16" t="s">
        <v>50</v>
      </c>
      <c r="AK9" s="16" t="s">
        <v>51</v>
      </c>
      <c r="AL9" s="25">
        <v>204160</v>
      </c>
      <c r="AM9" s="43">
        <f t="shared" si="3"/>
        <v>88.341708542713562</v>
      </c>
      <c r="AN9" s="16" t="s">
        <v>91</v>
      </c>
      <c r="AO9" s="16" t="s">
        <v>53</v>
      </c>
    </row>
    <row r="10" spans="1:41" ht="14.5" x14ac:dyDescent="0.35">
      <c r="A10" s="27" t="s">
        <v>92</v>
      </c>
      <c r="B10" s="16" t="s">
        <v>55</v>
      </c>
      <c r="C10" s="16" t="s">
        <v>93</v>
      </c>
      <c r="D10" s="16" t="s">
        <v>94</v>
      </c>
      <c r="E10" s="16" t="s">
        <v>95</v>
      </c>
      <c r="F10" s="16">
        <v>3</v>
      </c>
      <c r="G10" s="30" t="s">
        <v>96</v>
      </c>
      <c r="H10" s="16">
        <v>0</v>
      </c>
      <c r="I10" s="16" t="s">
        <v>47</v>
      </c>
      <c r="J10" s="16">
        <v>121.8</v>
      </c>
      <c r="K10" s="16">
        <v>770</v>
      </c>
      <c r="L10" s="16">
        <v>675</v>
      </c>
      <c r="M10" s="8">
        <v>36</v>
      </c>
      <c r="N10" s="21">
        <v>45259</v>
      </c>
      <c r="O10" s="7">
        <f t="shared" si="0"/>
        <v>29</v>
      </c>
      <c r="P10" s="22">
        <f t="shared" si="1"/>
        <v>2</v>
      </c>
      <c r="Q10" s="22">
        <f t="shared" si="2"/>
        <v>30</v>
      </c>
      <c r="R10" s="16">
        <v>34</v>
      </c>
      <c r="S10" s="29">
        <v>4.3073959999999998</v>
      </c>
      <c r="T10" s="29">
        <v>-74.803586999999993</v>
      </c>
      <c r="U10" s="22">
        <v>18516</v>
      </c>
      <c r="V10" s="22">
        <v>17323.5</v>
      </c>
      <c r="W10" s="25">
        <v>14178</v>
      </c>
      <c r="X10" s="24">
        <v>14137</v>
      </c>
      <c r="Y10" s="24">
        <v>262524</v>
      </c>
      <c r="Z10" s="24">
        <v>244909</v>
      </c>
      <c r="AA10" s="24">
        <v>21692</v>
      </c>
      <c r="AB10" s="24">
        <v>19393</v>
      </c>
      <c r="AC10" s="24">
        <v>84571</v>
      </c>
      <c r="AD10" s="24">
        <v>79229</v>
      </c>
      <c r="AE10" s="24">
        <v>5000</v>
      </c>
      <c r="AF10" s="24">
        <v>5061</v>
      </c>
      <c r="AG10" s="17">
        <v>0</v>
      </c>
      <c r="AH10" s="16" t="s">
        <v>58</v>
      </c>
      <c r="AI10" s="16" t="s">
        <v>49</v>
      </c>
      <c r="AJ10" s="16" t="s">
        <v>50</v>
      </c>
      <c r="AK10" s="16" t="s">
        <v>51</v>
      </c>
      <c r="AL10" s="25">
        <v>232000</v>
      </c>
      <c r="AM10" s="43">
        <f t="shared" si="3"/>
        <v>41.050903119868636</v>
      </c>
      <c r="AN10" s="16" t="s">
        <v>97</v>
      </c>
      <c r="AO10" s="16" t="s">
        <v>98</v>
      </c>
    </row>
    <row r="11" spans="1:41" ht="14.5" x14ac:dyDescent="0.35">
      <c r="A11" s="27" t="s">
        <v>99</v>
      </c>
      <c r="B11" s="16" t="s">
        <v>42</v>
      </c>
      <c r="C11" s="16" t="s">
        <v>43</v>
      </c>
      <c r="D11" s="16" t="s">
        <v>44</v>
      </c>
      <c r="E11" s="16" t="s">
        <v>100</v>
      </c>
      <c r="F11" s="16">
        <v>5</v>
      </c>
      <c r="G11" s="30" t="s">
        <v>101</v>
      </c>
      <c r="H11" s="16">
        <v>0</v>
      </c>
      <c r="I11" s="16" t="s">
        <v>102</v>
      </c>
      <c r="J11" s="16">
        <v>169.13</v>
      </c>
      <c r="K11" s="16">
        <v>650</v>
      </c>
      <c r="L11" s="16">
        <v>1848</v>
      </c>
      <c r="M11" s="8">
        <v>0</v>
      </c>
      <c r="N11" s="21">
        <v>44679</v>
      </c>
      <c r="O11" s="7">
        <f t="shared" si="0"/>
        <v>28</v>
      </c>
      <c r="P11" s="22">
        <f t="shared" si="1"/>
        <v>3</v>
      </c>
      <c r="Q11" s="22">
        <f t="shared" si="2"/>
        <v>30</v>
      </c>
      <c r="R11" s="16">
        <v>53</v>
      </c>
      <c r="S11" s="29">
        <v>4.7061640000000002</v>
      </c>
      <c r="T11" s="29">
        <v>-74.050060999999999</v>
      </c>
      <c r="U11" s="22">
        <v>17060</v>
      </c>
      <c r="V11" s="22">
        <v>17249.5</v>
      </c>
      <c r="W11" s="25">
        <v>10898</v>
      </c>
      <c r="X11" s="24">
        <v>10912</v>
      </c>
      <c r="Y11" s="24">
        <v>185927</v>
      </c>
      <c r="Z11" s="24">
        <v>188224</v>
      </c>
      <c r="AA11" s="24">
        <v>12814</v>
      </c>
      <c r="AB11" s="24">
        <v>13611</v>
      </c>
      <c r="AC11" s="24">
        <v>81385</v>
      </c>
      <c r="AD11" s="24">
        <v>82267</v>
      </c>
      <c r="AE11" s="24">
        <v>21185</v>
      </c>
      <c r="AF11" s="24">
        <v>21300</v>
      </c>
      <c r="AG11" s="17">
        <v>0</v>
      </c>
      <c r="AH11" s="16" t="s">
        <v>90</v>
      </c>
      <c r="AI11" s="16" t="s">
        <v>49</v>
      </c>
      <c r="AJ11" s="16" t="s">
        <v>50</v>
      </c>
      <c r="AK11" s="16" t="s">
        <v>51</v>
      </c>
      <c r="AL11" s="25">
        <v>232000</v>
      </c>
      <c r="AM11" s="43">
        <f t="shared" si="3"/>
        <v>125.2586767575238</v>
      </c>
      <c r="AN11" s="16" t="s">
        <v>103</v>
      </c>
      <c r="AO11" s="16" t="s">
        <v>60</v>
      </c>
    </row>
    <row r="12" spans="1:41" ht="14.5" x14ac:dyDescent="0.35">
      <c r="A12" s="27" t="s">
        <v>104</v>
      </c>
      <c r="B12" s="16" t="s">
        <v>105</v>
      </c>
      <c r="C12" s="16" t="s">
        <v>106</v>
      </c>
      <c r="D12" s="16" t="s">
        <v>107</v>
      </c>
      <c r="E12" s="16" t="s">
        <v>108</v>
      </c>
      <c r="F12" s="16">
        <v>3</v>
      </c>
      <c r="G12" s="30" t="s">
        <v>109</v>
      </c>
      <c r="H12" s="16">
        <v>0</v>
      </c>
      <c r="I12" s="16" t="s">
        <v>47</v>
      </c>
      <c r="J12" s="16">
        <v>126.54</v>
      </c>
      <c r="K12" s="16">
        <v>1914</v>
      </c>
      <c r="L12" s="16">
        <v>150</v>
      </c>
      <c r="M12" s="8">
        <v>98</v>
      </c>
      <c r="N12" s="21">
        <v>45443</v>
      </c>
      <c r="O12" s="7">
        <f t="shared" si="0"/>
        <v>31</v>
      </c>
      <c r="P12" s="22">
        <f t="shared" si="1"/>
        <v>1</v>
      </c>
      <c r="Q12" s="22">
        <f t="shared" si="2"/>
        <v>31</v>
      </c>
      <c r="R12" s="16">
        <v>28</v>
      </c>
      <c r="S12" s="29">
        <v>4.8514879999999998</v>
      </c>
      <c r="T12" s="29">
        <v>-75.662514000000002</v>
      </c>
      <c r="U12" s="22">
        <v>18230</v>
      </c>
      <c r="V12" s="22">
        <v>17241.666669999999</v>
      </c>
      <c r="W12" s="25">
        <v>16856</v>
      </c>
      <c r="X12" s="24">
        <v>15371</v>
      </c>
      <c r="Y12" s="24">
        <v>307286</v>
      </c>
      <c r="Z12" s="24">
        <v>265024</v>
      </c>
      <c r="AA12" s="24">
        <v>47419</v>
      </c>
      <c r="AB12" s="24">
        <v>37187</v>
      </c>
      <c r="AC12" s="24">
        <v>114467</v>
      </c>
      <c r="AD12" s="24">
        <v>97010</v>
      </c>
      <c r="AE12" s="24">
        <v>4493</v>
      </c>
      <c r="AF12" s="24">
        <v>4524</v>
      </c>
      <c r="AG12" s="17">
        <v>0</v>
      </c>
      <c r="AH12" s="16" t="s">
        <v>58</v>
      </c>
      <c r="AI12" s="16" t="s">
        <v>49</v>
      </c>
      <c r="AJ12" s="16" t="s">
        <v>50</v>
      </c>
      <c r="AK12" s="16" t="s">
        <v>51</v>
      </c>
      <c r="AL12" s="25">
        <v>232000</v>
      </c>
      <c r="AM12" s="43">
        <f t="shared" si="3"/>
        <v>35.506559190769714</v>
      </c>
      <c r="AN12" s="16" t="s">
        <v>110</v>
      </c>
      <c r="AO12" s="16" t="s">
        <v>53</v>
      </c>
    </row>
    <row r="13" spans="1:41" ht="14.5" x14ac:dyDescent="0.35">
      <c r="A13" s="27" t="s">
        <v>111</v>
      </c>
      <c r="B13" s="16" t="s">
        <v>105</v>
      </c>
      <c r="C13" s="16" t="s">
        <v>112</v>
      </c>
      <c r="D13" s="16" t="s">
        <v>113</v>
      </c>
      <c r="E13" s="16" t="s">
        <v>114</v>
      </c>
      <c r="F13" s="16">
        <v>5</v>
      </c>
      <c r="G13" s="30" t="s">
        <v>115</v>
      </c>
      <c r="H13" s="16" t="s">
        <v>116</v>
      </c>
      <c r="I13" s="16" t="s">
        <v>47</v>
      </c>
      <c r="J13" s="16">
        <v>120</v>
      </c>
      <c r="K13" s="16">
        <v>2</v>
      </c>
      <c r="L13" s="16">
        <v>406</v>
      </c>
      <c r="M13" s="8">
        <v>81</v>
      </c>
      <c r="N13" s="21">
        <v>45495</v>
      </c>
      <c r="O13" s="7">
        <f t="shared" si="0"/>
        <v>22</v>
      </c>
      <c r="P13" s="22">
        <f t="shared" si="1"/>
        <v>10</v>
      </c>
      <c r="Q13" s="22">
        <f t="shared" si="2"/>
        <v>31</v>
      </c>
      <c r="R13" s="16">
        <v>26</v>
      </c>
      <c r="S13" s="29">
        <v>3.39805</v>
      </c>
      <c r="T13" s="29">
        <v>-76.549916999999994</v>
      </c>
      <c r="U13" s="22">
        <v>15763</v>
      </c>
      <c r="V13" s="22">
        <v>18375.833330000001</v>
      </c>
      <c r="W13" s="25">
        <v>12854</v>
      </c>
      <c r="X13" s="24">
        <v>12581</v>
      </c>
      <c r="Y13" s="24">
        <v>202612</v>
      </c>
      <c r="Z13" s="24">
        <v>231190</v>
      </c>
      <c r="AA13" s="24">
        <v>-2864</v>
      </c>
      <c r="AB13" s="24">
        <v>15395</v>
      </c>
      <c r="AC13" s="24">
        <v>81946</v>
      </c>
      <c r="AD13" s="24">
        <v>84953</v>
      </c>
      <c r="AE13" s="24">
        <v>11057</v>
      </c>
      <c r="AF13" s="24">
        <v>10806</v>
      </c>
      <c r="AG13" s="17">
        <v>0</v>
      </c>
      <c r="AH13" s="16" t="s">
        <v>58</v>
      </c>
      <c r="AI13" s="16" t="s">
        <v>49</v>
      </c>
      <c r="AJ13" s="16" t="s">
        <v>50</v>
      </c>
      <c r="AK13" s="16" t="s">
        <v>51</v>
      </c>
      <c r="AL13" s="25">
        <v>232000</v>
      </c>
      <c r="AM13" s="43">
        <f t="shared" si="3"/>
        <v>92.141666666666666</v>
      </c>
      <c r="AN13" s="16" t="s">
        <v>117</v>
      </c>
      <c r="AO13" s="16" t="s">
        <v>60</v>
      </c>
    </row>
    <row r="14" spans="1:41" ht="14.5" x14ac:dyDescent="0.35">
      <c r="A14" s="27" t="s">
        <v>118</v>
      </c>
      <c r="B14" s="16" t="s">
        <v>119</v>
      </c>
      <c r="C14" s="16" t="s">
        <v>120</v>
      </c>
      <c r="D14" s="16" t="s">
        <v>121</v>
      </c>
      <c r="E14" s="16" t="s">
        <v>122</v>
      </c>
      <c r="F14" s="16">
        <v>4</v>
      </c>
      <c r="G14" s="30" t="s">
        <v>123</v>
      </c>
      <c r="H14" s="16">
        <v>0</v>
      </c>
      <c r="I14" s="16" t="s">
        <v>47</v>
      </c>
      <c r="J14" s="16">
        <v>76.05</v>
      </c>
      <c r="K14" s="16">
        <v>2</v>
      </c>
      <c r="L14" s="16">
        <v>2</v>
      </c>
      <c r="M14" s="8">
        <v>0</v>
      </c>
      <c r="N14" s="21">
        <v>43637</v>
      </c>
      <c r="O14" s="7">
        <f t="shared" si="0"/>
        <v>21</v>
      </c>
      <c r="P14" s="22">
        <f t="shared" si="1"/>
        <v>10</v>
      </c>
      <c r="Q14" s="22">
        <f t="shared" si="2"/>
        <v>30</v>
      </c>
      <c r="R14" s="16">
        <v>87</v>
      </c>
      <c r="S14" s="40">
        <v>6.1474794309999998</v>
      </c>
      <c r="T14" s="40">
        <v>-75.616317469999998</v>
      </c>
      <c r="U14" s="22">
        <v>16104</v>
      </c>
      <c r="V14" s="22">
        <v>15640</v>
      </c>
      <c r="W14" s="25">
        <v>9687</v>
      </c>
      <c r="X14" s="24">
        <v>10060</v>
      </c>
      <c r="Y14" s="24">
        <v>155994</v>
      </c>
      <c r="Z14" s="24">
        <v>157336</v>
      </c>
      <c r="AA14" s="24">
        <v>1764</v>
      </c>
      <c r="AB14" s="24">
        <v>9139</v>
      </c>
      <c r="AC14" s="24">
        <v>57081</v>
      </c>
      <c r="AD14" s="24">
        <v>57716</v>
      </c>
      <c r="AE14" s="24">
        <v>4814</v>
      </c>
      <c r="AF14" s="24">
        <v>4799</v>
      </c>
      <c r="AG14" s="17">
        <v>0</v>
      </c>
      <c r="AH14" s="16" t="s">
        <v>58</v>
      </c>
      <c r="AI14" s="16" t="s">
        <v>49</v>
      </c>
      <c r="AJ14" s="16" t="s">
        <v>124</v>
      </c>
      <c r="AK14" s="16" t="s">
        <v>51</v>
      </c>
      <c r="AL14" s="25">
        <v>232000</v>
      </c>
      <c r="AM14" s="43">
        <f t="shared" si="3"/>
        <v>63.300460223537151</v>
      </c>
      <c r="AN14" s="16" t="s">
        <v>52</v>
      </c>
      <c r="AO14" s="16" t="s">
        <v>60</v>
      </c>
    </row>
    <row r="15" spans="1:41" ht="14.5" x14ac:dyDescent="0.35">
      <c r="A15" s="27" t="s">
        <v>125</v>
      </c>
      <c r="B15" s="16" t="s">
        <v>42</v>
      </c>
      <c r="C15" s="16" t="s">
        <v>126</v>
      </c>
      <c r="D15" s="16" t="s">
        <v>127</v>
      </c>
      <c r="E15" s="16" t="s">
        <v>128</v>
      </c>
      <c r="F15" s="16">
        <v>4</v>
      </c>
      <c r="G15" s="30" t="s">
        <v>129</v>
      </c>
      <c r="H15" s="16">
        <v>0</v>
      </c>
      <c r="I15" s="16" t="s">
        <v>47</v>
      </c>
      <c r="J15" s="16">
        <v>148</v>
      </c>
      <c r="K15" s="16">
        <v>1</v>
      </c>
      <c r="L15" s="16">
        <v>474</v>
      </c>
      <c r="M15" s="8">
        <v>71</v>
      </c>
      <c r="N15" s="21">
        <v>45412</v>
      </c>
      <c r="O15" s="7">
        <f t="shared" si="0"/>
        <v>30</v>
      </c>
      <c r="P15" s="22">
        <f t="shared" si="1"/>
        <v>1</v>
      </c>
      <c r="Q15" s="22">
        <f t="shared" si="2"/>
        <v>30</v>
      </c>
      <c r="R15" s="16">
        <v>29</v>
      </c>
      <c r="S15" s="40">
        <v>5.5479206720000001</v>
      </c>
      <c r="T15" s="40">
        <v>-73.346477179999994</v>
      </c>
      <c r="U15" s="22">
        <v>15656</v>
      </c>
      <c r="V15" s="22">
        <v>14237.5</v>
      </c>
      <c r="W15" s="25">
        <v>12950</v>
      </c>
      <c r="X15" s="24">
        <v>13545</v>
      </c>
      <c r="Y15" s="24">
        <v>202740</v>
      </c>
      <c r="Z15" s="24">
        <v>192852</v>
      </c>
      <c r="AA15" s="24">
        <v>13182</v>
      </c>
      <c r="AB15" s="24">
        <v>10652</v>
      </c>
      <c r="AC15" s="24">
        <v>71108</v>
      </c>
      <c r="AD15" s="24">
        <v>68662</v>
      </c>
      <c r="AE15" s="24">
        <v>9151</v>
      </c>
      <c r="AF15" s="24">
        <v>9164</v>
      </c>
      <c r="AG15" s="17">
        <v>0</v>
      </c>
      <c r="AH15" s="16" t="s">
        <v>130</v>
      </c>
      <c r="AI15" s="16" t="s">
        <v>49</v>
      </c>
      <c r="AJ15" s="16" t="s">
        <v>50</v>
      </c>
      <c r="AK15" s="16" t="s">
        <v>51</v>
      </c>
      <c r="AL15" s="25">
        <v>232000</v>
      </c>
      <c r="AM15" s="43">
        <f t="shared" si="3"/>
        <v>61.831081081081081</v>
      </c>
      <c r="AN15" s="16" t="s">
        <v>131</v>
      </c>
      <c r="AO15" s="16" t="s">
        <v>60</v>
      </c>
    </row>
    <row r="16" spans="1:41" ht="14.5" x14ac:dyDescent="0.35">
      <c r="A16" s="27" t="s">
        <v>132</v>
      </c>
      <c r="B16" s="16" t="s">
        <v>55</v>
      </c>
      <c r="C16" s="16" t="s">
        <v>43</v>
      </c>
      <c r="D16" s="16" t="s">
        <v>44</v>
      </c>
      <c r="E16" s="16" t="s">
        <v>133</v>
      </c>
      <c r="F16" s="16">
        <v>3</v>
      </c>
      <c r="G16" s="30" t="s">
        <v>134</v>
      </c>
      <c r="H16" s="16" t="s">
        <v>135</v>
      </c>
      <c r="I16" s="16" t="s">
        <v>47</v>
      </c>
      <c r="J16" s="16">
        <v>98.6</v>
      </c>
      <c r="K16" s="16">
        <v>3149</v>
      </c>
      <c r="L16" s="16">
        <v>105</v>
      </c>
      <c r="M16" s="8">
        <v>106</v>
      </c>
      <c r="N16" s="21">
        <v>45770</v>
      </c>
      <c r="O16" s="7">
        <f t="shared" si="0"/>
        <v>23</v>
      </c>
      <c r="P16" s="22">
        <f t="shared" si="1"/>
        <v>8</v>
      </c>
      <c r="Q16" s="22">
        <f t="shared" si="2"/>
        <v>30</v>
      </c>
      <c r="R16" s="16">
        <v>17</v>
      </c>
      <c r="S16" s="40">
        <v>4.6955830130000002</v>
      </c>
      <c r="T16" s="40">
        <v>-74.110236139999998</v>
      </c>
      <c r="U16" s="22">
        <v>17621</v>
      </c>
      <c r="V16" s="22">
        <v>17516.666669999999</v>
      </c>
      <c r="W16" s="25">
        <v>12036</v>
      </c>
      <c r="X16" s="24">
        <v>11979</v>
      </c>
      <c r="Y16" s="24">
        <v>212085</v>
      </c>
      <c r="Z16" s="24">
        <v>209833</v>
      </c>
      <c r="AA16" s="24">
        <v>14067</v>
      </c>
      <c r="AB16" s="24">
        <v>13948</v>
      </c>
      <c r="AC16" s="24">
        <v>66113</v>
      </c>
      <c r="AD16" s="24">
        <v>65631</v>
      </c>
      <c r="AE16" s="24">
        <v>7883</v>
      </c>
      <c r="AF16" s="24">
        <v>7903</v>
      </c>
      <c r="AG16" s="17">
        <v>1.4605999999999999</v>
      </c>
      <c r="AH16" s="16" t="s">
        <v>136</v>
      </c>
      <c r="AI16" s="16" t="s">
        <v>49</v>
      </c>
      <c r="AJ16" s="16" t="s">
        <v>76</v>
      </c>
      <c r="AK16" s="16" t="s">
        <v>51</v>
      </c>
      <c r="AL16" s="25">
        <v>241405</v>
      </c>
      <c r="AM16" s="43">
        <f t="shared" si="3"/>
        <v>79.949290060851936</v>
      </c>
      <c r="AN16" s="16" t="s">
        <v>137</v>
      </c>
      <c r="AO16" s="16" t="s">
        <v>98</v>
      </c>
    </row>
    <row r="17" spans="1:41" ht="14.5" x14ac:dyDescent="0.35">
      <c r="A17" s="27" t="s">
        <v>138</v>
      </c>
      <c r="B17" s="16" t="s">
        <v>55</v>
      </c>
      <c r="C17" s="16" t="s">
        <v>43</v>
      </c>
      <c r="D17" s="16" t="s">
        <v>44</v>
      </c>
      <c r="E17" s="16" t="s">
        <v>139</v>
      </c>
      <c r="F17" s="16">
        <v>3</v>
      </c>
      <c r="G17" s="30" t="s">
        <v>140</v>
      </c>
      <c r="H17" s="16">
        <v>0</v>
      </c>
      <c r="I17" s="16" t="s">
        <v>47</v>
      </c>
      <c r="J17" s="16">
        <v>157.94999999999999</v>
      </c>
      <c r="K17" s="16">
        <v>0</v>
      </c>
      <c r="L17" s="16">
        <v>5400</v>
      </c>
      <c r="M17" s="8">
        <v>52</v>
      </c>
      <c r="N17" s="21">
        <v>45168</v>
      </c>
      <c r="O17" s="7">
        <f t="shared" si="0"/>
        <v>30</v>
      </c>
      <c r="P17" s="22">
        <f t="shared" si="1"/>
        <v>2</v>
      </c>
      <c r="Q17" s="22">
        <f t="shared" si="2"/>
        <v>31</v>
      </c>
      <c r="R17" s="16">
        <v>37</v>
      </c>
      <c r="S17" s="40">
        <v>4.6900555300000004</v>
      </c>
      <c r="T17" s="40">
        <v>-74.11754474</v>
      </c>
      <c r="U17" s="22">
        <v>16578</v>
      </c>
      <c r="V17" s="22">
        <v>17073.833330000001</v>
      </c>
      <c r="W17" s="25">
        <v>11757</v>
      </c>
      <c r="X17" s="24">
        <v>10775</v>
      </c>
      <c r="Y17" s="24">
        <v>194902</v>
      </c>
      <c r="Z17" s="24">
        <v>183967</v>
      </c>
      <c r="AA17" s="24">
        <v>16837</v>
      </c>
      <c r="AB17" s="24">
        <v>13802</v>
      </c>
      <c r="AC17" s="24">
        <v>69852</v>
      </c>
      <c r="AD17" s="24">
        <v>67973</v>
      </c>
      <c r="AE17" s="24">
        <v>9787</v>
      </c>
      <c r="AF17" s="24">
        <v>9531</v>
      </c>
      <c r="AG17" s="17">
        <v>0</v>
      </c>
      <c r="AH17" s="16" t="s">
        <v>82</v>
      </c>
      <c r="AI17" s="16" t="s">
        <v>49</v>
      </c>
      <c r="AJ17" s="16" t="s">
        <v>124</v>
      </c>
      <c r="AK17" s="16" t="s">
        <v>51</v>
      </c>
      <c r="AL17" s="25">
        <v>204160</v>
      </c>
      <c r="AM17" s="43">
        <f t="shared" si="3"/>
        <v>61.962646407090858</v>
      </c>
      <c r="AN17" s="16" t="s">
        <v>141</v>
      </c>
      <c r="AO17" s="16" t="s">
        <v>60</v>
      </c>
    </row>
    <row r="18" spans="1:41" ht="14.5" x14ac:dyDescent="0.35">
      <c r="A18" s="27" t="s">
        <v>142</v>
      </c>
      <c r="B18" s="16" t="s">
        <v>42</v>
      </c>
      <c r="C18" s="16" t="s">
        <v>43</v>
      </c>
      <c r="D18" s="16" t="s">
        <v>44</v>
      </c>
      <c r="E18" s="16" t="s">
        <v>143</v>
      </c>
      <c r="F18" s="16">
        <v>3</v>
      </c>
      <c r="G18" s="30" t="s">
        <v>144</v>
      </c>
      <c r="H18" s="16">
        <v>0</v>
      </c>
      <c r="I18" s="16" t="s">
        <v>47</v>
      </c>
      <c r="J18" s="16">
        <v>112.03</v>
      </c>
      <c r="K18" s="16">
        <v>1080</v>
      </c>
      <c r="L18" s="16">
        <v>1240</v>
      </c>
      <c r="M18" s="8">
        <v>138</v>
      </c>
      <c r="N18" s="21">
        <v>45199</v>
      </c>
      <c r="O18" s="7">
        <f t="shared" si="0"/>
        <v>30</v>
      </c>
      <c r="P18" s="22">
        <f t="shared" si="1"/>
        <v>1</v>
      </c>
      <c r="Q18" s="22">
        <f t="shared" si="2"/>
        <v>30</v>
      </c>
      <c r="R18" s="16">
        <v>36</v>
      </c>
      <c r="S18" s="40">
        <v>4.7228338069999998</v>
      </c>
      <c r="T18" s="40">
        <v>-74.051647590000002</v>
      </c>
      <c r="U18" s="22">
        <v>17087</v>
      </c>
      <c r="V18" s="22">
        <v>16886.166669999999</v>
      </c>
      <c r="W18" s="25">
        <v>11200</v>
      </c>
      <c r="X18" s="24">
        <v>11410</v>
      </c>
      <c r="Y18" s="24">
        <v>191372</v>
      </c>
      <c r="Z18" s="24">
        <v>192674</v>
      </c>
      <c r="AA18" s="24">
        <v>10507</v>
      </c>
      <c r="AB18" s="24">
        <v>9824</v>
      </c>
      <c r="AC18" s="24">
        <v>67267</v>
      </c>
      <c r="AD18" s="24">
        <v>66434</v>
      </c>
      <c r="AE18" s="24">
        <v>7185</v>
      </c>
      <c r="AF18" s="24">
        <v>7264</v>
      </c>
      <c r="AG18" s="17">
        <v>0</v>
      </c>
      <c r="AH18" s="16" t="s">
        <v>58</v>
      </c>
      <c r="AI18" s="16" t="s">
        <v>49</v>
      </c>
      <c r="AJ18" s="16" t="s">
        <v>50</v>
      </c>
      <c r="AK18" s="16" t="s">
        <v>51</v>
      </c>
      <c r="AL18" s="25">
        <v>232000</v>
      </c>
      <c r="AM18" s="43">
        <f t="shared" si="3"/>
        <v>64.134606801749527</v>
      </c>
      <c r="AN18" s="16" t="s">
        <v>145</v>
      </c>
      <c r="AO18" s="16" t="s">
        <v>60</v>
      </c>
    </row>
    <row r="19" spans="1:41" ht="14.5" x14ac:dyDescent="0.35">
      <c r="A19" s="27" t="s">
        <v>146</v>
      </c>
      <c r="B19" s="16" t="s">
        <v>119</v>
      </c>
      <c r="C19" s="16" t="s">
        <v>120</v>
      </c>
      <c r="D19" s="16" t="s">
        <v>147</v>
      </c>
      <c r="E19" s="16" t="s">
        <v>148</v>
      </c>
      <c r="F19" s="16">
        <v>6</v>
      </c>
      <c r="G19" s="30" t="s">
        <v>149</v>
      </c>
      <c r="H19" s="16">
        <v>0</v>
      </c>
      <c r="I19" s="16" t="s">
        <v>102</v>
      </c>
      <c r="J19" s="16">
        <v>95.42</v>
      </c>
      <c r="K19" s="16">
        <v>1652</v>
      </c>
      <c r="L19" s="16">
        <v>489</v>
      </c>
      <c r="M19" s="8">
        <v>216</v>
      </c>
      <c r="N19" s="21">
        <v>45377</v>
      </c>
      <c r="O19" s="7">
        <f t="shared" si="0"/>
        <v>26</v>
      </c>
      <c r="P19" s="22">
        <f t="shared" si="1"/>
        <v>6</v>
      </c>
      <c r="Q19" s="22">
        <f t="shared" si="2"/>
        <v>31</v>
      </c>
      <c r="R19" s="16">
        <v>30</v>
      </c>
      <c r="S19" s="40">
        <v>7.023659286</v>
      </c>
      <c r="T19" s="40">
        <v>-73.082624960000004</v>
      </c>
      <c r="U19" s="22">
        <v>10617</v>
      </c>
      <c r="V19" s="22">
        <v>9694</v>
      </c>
      <c r="W19" s="25">
        <v>13454</v>
      </c>
      <c r="X19" s="24">
        <v>14752</v>
      </c>
      <c r="Y19" s="24">
        <v>142839</v>
      </c>
      <c r="Z19" s="24">
        <v>143001</v>
      </c>
      <c r="AA19" s="24">
        <v>5666</v>
      </c>
      <c r="AB19" s="24">
        <v>4523</v>
      </c>
      <c r="AC19" s="24">
        <v>55732</v>
      </c>
      <c r="AD19" s="24">
        <v>57018</v>
      </c>
      <c r="AE19" s="24">
        <v>8077</v>
      </c>
      <c r="AF19" s="24">
        <v>8216</v>
      </c>
      <c r="AG19" s="17">
        <v>0</v>
      </c>
      <c r="AH19" s="16" t="s">
        <v>48</v>
      </c>
      <c r="AI19" s="16" t="s">
        <v>49</v>
      </c>
      <c r="AJ19" s="16" t="s">
        <v>76</v>
      </c>
      <c r="AK19" s="16" t="s">
        <v>51</v>
      </c>
      <c r="AL19" s="25">
        <v>241405</v>
      </c>
      <c r="AM19" s="43">
        <f t="shared" si="3"/>
        <v>84.646824565080692</v>
      </c>
      <c r="AN19" s="16" t="s">
        <v>150</v>
      </c>
      <c r="AO19" s="16" t="s">
        <v>60</v>
      </c>
    </row>
    <row r="20" spans="1:41" ht="14.5" x14ac:dyDescent="0.35">
      <c r="A20" s="27" t="s">
        <v>151</v>
      </c>
      <c r="B20" s="16" t="s">
        <v>55</v>
      </c>
      <c r="C20" s="16" t="s">
        <v>43</v>
      </c>
      <c r="D20" s="16" t="s">
        <v>44</v>
      </c>
      <c r="E20" s="16" t="s">
        <v>152</v>
      </c>
      <c r="F20" s="16">
        <v>3</v>
      </c>
      <c r="G20" s="30" t="s">
        <v>153</v>
      </c>
      <c r="H20" s="16" t="s">
        <v>154</v>
      </c>
      <c r="I20" s="16" t="s">
        <v>47</v>
      </c>
      <c r="J20" s="16">
        <v>112.28</v>
      </c>
      <c r="K20" s="16">
        <v>1986</v>
      </c>
      <c r="L20" s="16">
        <v>1180</v>
      </c>
      <c r="M20" s="8">
        <v>49</v>
      </c>
      <c r="N20" s="21">
        <v>45747</v>
      </c>
      <c r="O20" s="7">
        <f t="shared" si="0"/>
        <v>31</v>
      </c>
      <c r="P20" s="22">
        <f t="shared" si="1"/>
        <v>1</v>
      </c>
      <c r="Q20" s="22">
        <f t="shared" si="2"/>
        <v>31</v>
      </c>
      <c r="R20" s="16">
        <v>18</v>
      </c>
      <c r="S20" s="40">
        <v>6.2524725050000001</v>
      </c>
      <c r="T20" s="40">
        <v>-75.587858600000004</v>
      </c>
      <c r="U20" s="22">
        <v>20223</v>
      </c>
      <c r="V20" s="22">
        <v>18255.166669999999</v>
      </c>
      <c r="W20" s="25">
        <v>11272</v>
      </c>
      <c r="X20" s="24">
        <v>11584</v>
      </c>
      <c r="Y20" s="24">
        <v>227950</v>
      </c>
      <c r="Z20" s="24">
        <v>211476</v>
      </c>
      <c r="AA20" s="24">
        <v>13853</v>
      </c>
      <c r="AB20" s="24">
        <v>15409</v>
      </c>
      <c r="AC20" s="24">
        <v>67105</v>
      </c>
      <c r="AD20" s="24">
        <v>68591</v>
      </c>
      <c r="AE20" s="24">
        <v>10510</v>
      </c>
      <c r="AF20" s="24">
        <v>10611</v>
      </c>
      <c r="AG20" s="17">
        <v>1.4458</v>
      </c>
      <c r="AH20" s="16" t="s">
        <v>58</v>
      </c>
      <c r="AI20" s="16" t="s">
        <v>49</v>
      </c>
      <c r="AJ20" s="16" t="s">
        <v>50</v>
      </c>
      <c r="AK20" s="16" t="s">
        <v>51</v>
      </c>
      <c r="AL20" s="25">
        <v>232000</v>
      </c>
      <c r="AM20" s="43">
        <f t="shared" si="3"/>
        <v>93.605272532953336</v>
      </c>
      <c r="AN20" s="16" t="s">
        <v>155</v>
      </c>
      <c r="AO20" s="16" t="s">
        <v>60</v>
      </c>
    </row>
    <row r="21" spans="1:41" ht="14.5" x14ac:dyDescent="0.35">
      <c r="A21" s="27" t="s">
        <v>156</v>
      </c>
      <c r="B21" s="16" t="s">
        <v>105</v>
      </c>
      <c r="C21" s="16" t="s">
        <v>157</v>
      </c>
      <c r="D21" s="16" t="s">
        <v>158</v>
      </c>
      <c r="E21" s="16" t="s">
        <v>159</v>
      </c>
      <c r="F21" s="16">
        <v>4</v>
      </c>
      <c r="G21" s="30" t="s">
        <v>160</v>
      </c>
      <c r="H21" s="16" t="s">
        <v>161</v>
      </c>
      <c r="I21" s="16" t="s">
        <v>47</v>
      </c>
      <c r="J21" s="16">
        <v>163.44</v>
      </c>
      <c r="K21" s="16">
        <v>0</v>
      </c>
      <c r="L21" s="16">
        <v>2459</v>
      </c>
      <c r="M21" s="8">
        <v>58</v>
      </c>
      <c r="N21" s="21">
        <v>45534</v>
      </c>
      <c r="O21" s="7">
        <f t="shared" si="0"/>
        <v>30</v>
      </c>
      <c r="P21" s="22">
        <f t="shared" si="1"/>
        <v>2</v>
      </c>
      <c r="Q21" s="22">
        <f t="shared" si="2"/>
        <v>31</v>
      </c>
      <c r="R21" s="16">
        <v>25</v>
      </c>
      <c r="S21" s="40">
        <v>6.235704514</v>
      </c>
      <c r="T21" s="40">
        <v>-75.570384059999995</v>
      </c>
      <c r="U21" s="22">
        <v>23177</v>
      </c>
      <c r="V21" s="22">
        <v>21239.666669999999</v>
      </c>
      <c r="W21" s="25">
        <v>9228</v>
      </c>
      <c r="X21" s="24">
        <v>9365</v>
      </c>
      <c r="Y21" s="24">
        <v>213881</v>
      </c>
      <c r="Z21" s="24">
        <v>198909</v>
      </c>
      <c r="AA21" s="24">
        <v>18269</v>
      </c>
      <c r="AB21" s="24">
        <v>14099</v>
      </c>
      <c r="AC21" s="24">
        <v>87294</v>
      </c>
      <c r="AD21" s="24">
        <v>79845</v>
      </c>
      <c r="AE21" s="24">
        <v>14212</v>
      </c>
      <c r="AF21" s="24">
        <v>14067</v>
      </c>
      <c r="AG21" s="17">
        <v>0</v>
      </c>
      <c r="AH21" s="16" t="s">
        <v>58</v>
      </c>
      <c r="AI21" s="16" t="s">
        <v>49</v>
      </c>
      <c r="AJ21" s="16" t="s">
        <v>124</v>
      </c>
      <c r="AK21" s="16" t="s">
        <v>51</v>
      </c>
      <c r="AL21" s="25">
        <v>204160</v>
      </c>
      <c r="AM21" s="43">
        <f t="shared" si="3"/>
        <v>86.95545766030348</v>
      </c>
      <c r="AN21" s="16" t="s">
        <v>162</v>
      </c>
      <c r="AO21" s="16" t="s">
        <v>53</v>
      </c>
    </row>
    <row r="22" spans="1:41" ht="14.5" x14ac:dyDescent="0.35">
      <c r="A22" s="27" t="s">
        <v>163</v>
      </c>
      <c r="B22" s="16" t="s">
        <v>119</v>
      </c>
      <c r="C22" s="16" t="s">
        <v>120</v>
      </c>
      <c r="D22" s="16" t="s">
        <v>121</v>
      </c>
      <c r="E22" s="16" t="s">
        <v>122</v>
      </c>
      <c r="F22" s="16">
        <v>3</v>
      </c>
      <c r="G22" s="30" t="s">
        <v>164</v>
      </c>
      <c r="H22" s="16">
        <v>0</v>
      </c>
      <c r="I22" s="16" t="s">
        <v>47</v>
      </c>
      <c r="J22" s="16">
        <v>167.2</v>
      </c>
      <c r="K22" s="16">
        <v>2243</v>
      </c>
      <c r="L22" s="16">
        <v>76</v>
      </c>
      <c r="M22" s="8">
        <v>92</v>
      </c>
      <c r="N22" s="21">
        <v>45230</v>
      </c>
      <c r="O22" s="7">
        <f t="shared" si="0"/>
        <v>31</v>
      </c>
      <c r="P22" s="22">
        <f t="shared" si="1"/>
        <v>1</v>
      </c>
      <c r="Q22" s="22">
        <f t="shared" si="2"/>
        <v>31</v>
      </c>
      <c r="R22" s="16">
        <v>35</v>
      </c>
      <c r="S22" s="40">
        <v>7.1312944409999997</v>
      </c>
      <c r="T22" s="40">
        <v>-73.115112940000003</v>
      </c>
      <c r="U22" s="22">
        <v>18866</v>
      </c>
      <c r="V22" s="22">
        <v>17279</v>
      </c>
      <c r="W22" s="25">
        <v>10880</v>
      </c>
      <c r="X22" s="24">
        <v>11111</v>
      </c>
      <c r="Y22" s="24">
        <v>205269</v>
      </c>
      <c r="Z22" s="24">
        <v>191985</v>
      </c>
      <c r="AA22" s="24">
        <v>12984</v>
      </c>
      <c r="AB22" s="24">
        <v>13463</v>
      </c>
      <c r="AC22" s="24">
        <v>74786</v>
      </c>
      <c r="AD22" s="24">
        <v>69371</v>
      </c>
      <c r="AE22" s="24">
        <v>8047</v>
      </c>
      <c r="AF22" s="24">
        <v>8134</v>
      </c>
      <c r="AG22" s="17">
        <v>0</v>
      </c>
      <c r="AH22" s="16" t="s">
        <v>136</v>
      </c>
      <c r="AI22" s="16" t="s">
        <v>49</v>
      </c>
      <c r="AJ22" s="16" t="s">
        <v>76</v>
      </c>
      <c r="AK22" s="16" t="s">
        <v>51</v>
      </c>
      <c r="AL22" s="25">
        <v>241405</v>
      </c>
      <c r="AM22" s="43">
        <f t="shared" si="3"/>
        <v>48.127990430622013</v>
      </c>
      <c r="AN22" s="16" t="s">
        <v>165</v>
      </c>
      <c r="AO22" s="16" t="s">
        <v>60</v>
      </c>
    </row>
    <row r="23" spans="1:41" ht="14.5" x14ac:dyDescent="0.35">
      <c r="A23" s="27" t="s">
        <v>166</v>
      </c>
      <c r="B23" s="16" t="s">
        <v>55</v>
      </c>
      <c r="C23" s="16" t="s">
        <v>43</v>
      </c>
      <c r="D23" s="16" t="s">
        <v>44</v>
      </c>
      <c r="E23" s="16" t="s">
        <v>74</v>
      </c>
      <c r="F23" s="16">
        <v>3</v>
      </c>
      <c r="G23" s="30" t="s">
        <v>167</v>
      </c>
      <c r="H23" s="16">
        <v>0</v>
      </c>
      <c r="I23" s="16" t="s">
        <v>47</v>
      </c>
      <c r="J23" s="16">
        <v>119.06</v>
      </c>
      <c r="K23" s="16">
        <v>4224</v>
      </c>
      <c r="L23" s="16">
        <v>1630</v>
      </c>
      <c r="M23" s="8">
        <v>0</v>
      </c>
      <c r="N23" s="21">
        <v>44670</v>
      </c>
      <c r="O23" s="7">
        <f t="shared" si="0"/>
        <v>19</v>
      </c>
      <c r="P23" s="22">
        <f t="shared" si="1"/>
        <v>12</v>
      </c>
      <c r="Q23" s="22">
        <f t="shared" si="2"/>
        <v>30</v>
      </c>
      <c r="R23" s="16">
        <v>53</v>
      </c>
      <c r="S23" s="40">
        <v>4.6481631099999996</v>
      </c>
      <c r="T23" s="40">
        <v>-74.134947969999999</v>
      </c>
      <c r="U23" s="22">
        <v>21634</v>
      </c>
      <c r="V23" s="22">
        <v>21456.166669999999</v>
      </c>
      <c r="W23" s="25">
        <v>15357</v>
      </c>
      <c r="X23" s="24">
        <v>15349</v>
      </c>
      <c r="Y23" s="24">
        <v>332225</v>
      </c>
      <c r="Z23" s="24">
        <v>329339</v>
      </c>
      <c r="AA23" s="24">
        <v>41656</v>
      </c>
      <c r="AB23" s="24">
        <v>40856</v>
      </c>
      <c r="AC23" s="24">
        <v>114004</v>
      </c>
      <c r="AD23" s="24">
        <v>109896</v>
      </c>
      <c r="AE23" s="24">
        <v>10251</v>
      </c>
      <c r="AF23" s="24">
        <v>10356</v>
      </c>
      <c r="AG23" s="17">
        <v>0</v>
      </c>
      <c r="AH23" s="16" t="s">
        <v>136</v>
      </c>
      <c r="AI23" s="16" t="s">
        <v>49</v>
      </c>
      <c r="AJ23" s="16" t="s">
        <v>76</v>
      </c>
      <c r="AK23" s="16" t="s">
        <v>51</v>
      </c>
      <c r="AL23" s="25">
        <v>241405</v>
      </c>
      <c r="AM23" s="43">
        <f t="shared" si="3"/>
        <v>86.0994456576516</v>
      </c>
      <c r="AN23" s="16" t="s">
        <v>168</v>
      </c>
      <c r="AO23" s="16" t="s">
        <v>60</v>
      </c>
    </row>
    <row r="24" spans="1:41" ht="14.5" x14ac:dyDescent="0.35">
      <c r="A24" s="27" t="s">
        <v>169</v>
      </c>
      <c r="B24" s="16" t="s">
        <v>105</v>
      </c>
      <c r="C24" s="16" t="s">
        <v>170</v>
      </c>
      <c r="D24" s="16" t="s">
        <v>171</v>
      </c>
      <c r="E24" s="16" t="s">
        <v>172</v>
      </c>
      <c r="F24" s="16">
        <v>4</v>
      </c>
      <c r="G24" s="30" t="s">
        <v>173</v>
      </c>
      <c r="H24" s="16" t="s">
        <v>174</v>
      </c>
      <c r="I24" s="16" t="s">
        <v>102</v>
      </c>
      <c r="J24" s="16">
        <v>125.27</v>
      </c>
      <c r="K24" s="16">
        <v>1922</v>
      </c>
      <c r="L24" s="16">
        <v>781</v>
      </c>
      <c r="M24" s="8">
        <v>56</v>
      </c>
      <c r="N24" s="21">
        <v>45590</v>
      </c>
      <c r="O24" s="7">
        <f t="shared" si="0"/>
        <v>25</v>
      </c>
      <c r="P24" s="22">
        <f t="shared" si="1"/>
        <v>7</v>
      </c>
      <c r="Q24" s="22">
        <f t="shared" si="2"/>
        <v>31</v>
      </c>
      <c r="R24" s="16">
        <v>23</v>
      </c>
      <c r="S24" s="40">
        <v>5.0493156629999998</v>
      </c>
      <c r="T24" s="40">
        <v>-75.479528009999996</v>
      </c>
      <c r="U24" s="22">
        <v>16621</v>
      </c>
      <c r="V24" s="22">
        <v>15438.166670000001</v>
      </c>
      <c r="W24" s="25">
        <v>14835</v>
      </c>
      <c r="X24" s="24">
        <v>14404</v>
      </c>
      <c r="Y24" s="24">
        <v>246566</v>
      </c>
      <c r="Z24" s="24">
        <v>222365</v>
      </c>
      <c r="AA24" s="24">
        <v>22954</v>
      </c>
      <c r="AB24" s="24">
        <v>28595</v>
      </c>
      <c r="AC24" s="24">
        <v>94562</v>
      </c>
      <c r="AD24" s="24">
        <v>88668</v>
      </c>
      <c r="AE24" s="24">
        <v>7695</v>
      </c>
      <c r="AF24" s="24">
        <v>7943</v>
      </c>
      <c r="AG24" s="17">
        <v>0</v>
      </c>
      <c r="AH24" s="16" t="s">
        <v>58</v>
      </c>
      <c r="AI24" s="16" t="s">
        <v>49</v>
      </c>
      <c r="AJ24" s="16" t="s">
        <v>50</v>
      </c>
      <c r="AK24" s="16" t="s">
        <v>51</v>
      </c>
      <c r="AL24" s="25">
        <v>232000</v>
      </c>
      <c r="AM24" s="43">
        <f t="shared" si="3"/>
        <v>61.427316995290177</v>
      </c>
      <c r="AN24" s="16" t="s">
        <v>175</v>
      </c>
      <c r="AO24" s="16" t="s">
        <v>60</v>
      </c>
    </row>
    <row r="25" spans="1:41" ht="14.5" x14ac:dyDescent="0.35">
      <c r="A25" s="27" t="s">
        <v>176</v>
      </c>
      <c r="B25" s="16" t="s">
        <v>105</v>
      </c>
      <c r="C25" s="16" t="s">
        <v>177</v>
      </c>
      <c r="D25" s="16" t="s">
        <v>178</v>
      </c>
      <c r="E25" s="16" t="s">
        <v>179</v>
      </c>
      <c r="F25" s="16">
        <v>3</v>
      </c>
      <c r="G25" s="30" t="s">
        <v>180</v>
      </c>
      <c r="H25" s="16">
        <v>0</v>
      </c>
      <c r="I25" s="16" t="s">
        <v>47</v>
      </c>
      <c r="J25" s="16">
        <v>97.07</v>
      </c>
      <c r="K25" s="16">
        <v>587</v>
      </c>
      <c r="L25" s="16">
        <v>3650</v>
      </c>
      <c r="M25" s="8">
        <v>56</v>
      </c>
      <c r="N25" s="21">
        <v>45377</v>
      </c>
      <c r="O25" s="7">
        <f t="shared" si="0"/>
        <v>26</v>
      </c>
      <c r="P25" s="22">
        <f t="shared" si="1"/>
        <v>6</v>
      </c>
      <c r="Q25" s="22">
        <f t="shared" si="2"/>
        <v>31</v>
      </c>
      <c r="R25" s="16">
        <v>30</v>
      </c>
      <c r="S25" s="40">
        <v>4.5326893310000003</v>
      </c>
      <c r="T25" s="40">
        <v>-75.672028670000003</v>
      </c>
      <c r="U25" s="22">
        <v>18888</v>
      </c>
      <c r="V25" s="22">
        <v>19783.833330000001</v>
      </c>
      <c r="W25" s="25">
        <v>10081</v>
      </c>
      <c r="X25" s="24">
        <v>10417</v>
      </c>
      <c r="Y25" s="24">
        <v>190407</v>
      </c>
      <c r="Z25" s="24">
        <v>206093</v>
      </c>
      <c r="AA25" s="24">
        <v>-6008</v>
      </c>
      <c r="AB25" s="24">
        <v>14772</v>
      </c>
      <c r="AC25" s="24">
        <v>74976</v>
      </c>
      <c r="AD25" s="24">
        <v>80157</v>
      </c>
      <c r="AE25" s="24">
        <v>9951</v>
      </c>
      <c r="AF25" s="24">
        <v>10053</v>
      </c>
      <c r="AG25" s="17">
        <v>0</v>
      </c>
      <c r="AH25" s="16" t="s">
        <v>82</v>
      </c>
      <c r="AI25" s="16" t="s">
        <v>49</v>
      </c>
      <c r="AJ25" s="16" t="s">
        <v>124</v>
      </c>
      <c r="AK25" s="16" t="s">
        <v>51</v>
      </c>
      <c r="AL25" s="25">
        <v>204160</v>
      </c>
      <c r="AM25" s="43">
        <f t="shared" si="3"/>
        <v>102.51364994333987</v>
      </c>
      <c r="AN25" s="16" t="s">
        <v>181</v>
      </c>
      <c r="AO25" s="16" t="s">
        <v>53</v>
      </c>
    </row>
    <row r="26" spans="1:41" ht="14.5" x14ac:dyDescent="0.35">
      <c r="A26" s="27" t="s">
        <v>182</v>
      </c>
      <c r="B26" s="16" t="s">
        <v>183</v>
      </c>
      <c r="C26" s="16" t="s">
        <v>184</v>
      </c>
      <c r="D26" s="16" t="s">
        <v>185</v>
      </c>
      <c r="E26" s="16" t="s">
        <v>186</v>
      </c>
      <c r="F26" s="16">
        <v>4</v>
      </c>
      <c r="G26" s="30" t="s">
        <v>187</v>
      </c>
      <c r="H26" s="16" t="s">
        <v>188</v>
      </c>
      <c r="I26" s="16" t="s">
        <v>47</v>
      </c>
      <c r="J26" s="16">
        <v>145.99</v>
      </c>
      <c r="K26" s="16">
        <v>1086</v>
      </c>
      <c r="L26" s="16">
        <v>1055</v>
      </c>
      <c r="M26" s="8">
        <v>38</v>
      </c>
      <c r="N26" s="21">
        <v>45590</v>
      </c>
      <c r="O26" s="7">
        <f t="shared" si="0"/>
        <v>25</v>
      </c>
      <c r="P26" s="22">
        <f t="shared" si="1"/>
        <v>7</v>
      </c>
      <c r="Q26" s="22">
        <f t="shared" si="2"/>
        <v>31</v>
      </c>
      <c r="R26" s="16">
        <v>23</v>
      </c>
      <c r="S26" s="40">
        <v>11.000575639999999</v>
      </c>
      <c r="T26" s="40">
        <v>-74.808288970000007</v>
      </c>
      <c r="U26" s="22">
        <v>17728</v>
      </c>
      <c r="V26" s="22">
        <v>16446.833330000001</v>
      </c>
      <c r="W26" s="25">
        <v>11409</v>
      </c>
      <c r="X26" s="24">
        <v>11312</v>
      </c>
      <c r="Y26" s="24">
        <v>202250</v>
      </c>
      <c r="Z26" s="24">
        <v>186053</v>
      </c>
      <c r="AA26" s="24">
        <v>10507</v>
      </c>
      <c r="AB26" s="24">
        <v>8558</v>
      </c>
      <c r="AC26" s="24">
        <v>76424</v>
      </c>
      <c r="AD26" s="24">
        <v>69786</v>
      </c>
      <c r="AE26" s="24">
        <v>9468</v>
      </c>
      <c r="AF26" s="24">
        <v>9566</v>
      </c>
      <c r="AG26" s="17">
        <v>0</v>
      </c>
      <c r="AH26" s="16" t="s">
        <v>82</v>
      </c>
      <c r="AI26" s="16" t="s">
        <v>49</v>
      </c>
      <c r="AJ26" s="16" t="s">
        <v>50</v>
      </c>
      <c r="AK26" s="16" t="s">
        <v>51</v>
      </c>
      <c r="AL26" s="25">
        <v>232000</v>
      </c>
      <c r="AM26" s="43">
        <f t="shared" si="3"/>
        <v>64.85375710665113</v>
      </c>
      <c r="AN26" s="16">
        <v>140</v>
      </c>
      <c r="AO26" s="16" t="s">
        <v>60</v>
      </c>
    </row>
    <row r="27" spans="1:41" ht="14.5" x14ac:dyDescent="0.35">
      <c r="A27" s="27" t="s">
        <v>189</v>
      </c>
      <c r="B27" s="16" t="s">
        <v>119</v>
      </c>
      <c r="C27" s="16" t="s">
        <v>120</v>
      </c>
      <c r="D27" s="16" t="s">
        <v>121</v>
      </c>
      <c r="E27" s="16" t="s">
        <v>190</v>
      </c>
      <c r="F27" s="16">
        <v>5</v>
      </c>
      <c r="G27" s="30" t="s">
        <v>191</v>
      </c>
      <c r="H27" s="16">
        <v>0</v>
      </c>
      <c r="I27" s="16" t="s">
        <v>47</v>
      </c>
      <c r="J27" s="16">
        <v>78.849999999999994</v>
      </c>
      <c r="K27" s="16">
        <v>1464</v>
      </c>
      <c r="L27" s="16">
        <v>2130</v>
      </c>
      <c r="M27" s="8">
        <v>187</v>
      </c>
      <c r="N27" s="21">
        <v>45350</v>
      </c>
      <c r="O27" s="7">
        <f t="shared" si="0"/>
        <v>28</v>
      </c>
      <c r="P27" s="22">
        <f t="shared" si="1"/>
        <v>2</v>
      </c>
      <c r="Q27" s="22">
        <f t="shared" si="2"/>
        <v>29</v>
      </c>
      <c r="R27" s="16">
        <v>31</v>
      </c>
      <c r="S27" s="40">
        <v>7.1212495469999997</v>
      </c>
      <c r="T27" s="40">
        <v>-73.110150660000002</v>
      </c>
      <c r="U27" s="22">
        <v>22770</v>
      </c>
      <c r="V27" s="22">
        <v>21353.666669999999</v>
      </c>
      <c r="W27" s="25">
        <v>10130</v>
      </c>
      <c r="X27" s="24">
        <v>10424</v>
      </c>
      <c r="Y27" s="24">
        <v>230663</v>
      </c>
      <c r="Z27" s="24">
        <v>222580</v>
      </c>
      <c r="AA27" s="24">
        <v>21652</v>
      </c>
      <c r="AB27" s="24">
        <v>22875</v>
      </c>
      <c r="AC27" s="24">
        <v>90718</v>
      </c>
      <c r="AD27" s="24">
        <v>86946</v>
      </c>
      <c r="AE27" s="24">
        <v>10504</v>
      </c>
      <c r="AF27" s="24">
        <v>10611</v>
      </c>
      <c r="AG27" s="17">
        <v>0</v>
      </c>
      <c r="AH27" s="16" t="s">
        <v>82</v>
      </c>
      <c r="AI27" s="16" t="s">
        <v>49</v>
      </c>
      <c r="AJ27" s="16" t="s">
        <v>50</v>
      </c>
      <c r="AK27" s="16" t="s">
        <v>51</v>
      </c>
      <c r="AL27" s="25">
        <v>232000</v>
      </c>
      <c r="AM27" s="43">
        <f t="shared" si="3"/>
        <v>133.21496512365252</v>
      </c>
      <c r="AN27" s="16" t="s">
        <v>192</v>
      </c>
      <c r="AO27" s="16" t="s">
        <v>53</v>
      </c>
    </row>
    <row r="28" spans="1:41" ht="14.5" x14ac:dyDescent="0.35">
      <c r="A28" s="27" t="s">
        <v>193</v>
      </c>
      <c r="B28" s="16" t="s">
        <v>55</v>
      </c>
      <c r="C28" s="16" t="s">
        <v>93</v>
      </c>
      <c r="D28" s="16" t="s">
        <v>194</v>
      </c>
      <c r="E28" s="16" t="s">
        <v>195</v>
      </c>
      <c r="F28" s="16">
        <v>3</v>
      </c>
      <c r="G28" s="30" t="s">
        <v>196</v>
      </c>
      <c r="H28" s="16" t="s">
        <v>197</v>
      </c>
      <c r="I28" s="16" t="s">
        <v>47</v>
      </c>
      <c r="J28" s="16">
        <v>127.82</v>
      </c>
      <c r="K28" s="16">
        <v>134</v>
      </c>
      <c r="L28" s="16">
        <v>1253</v>
      </c>
      <c r="M28" s="8">
        <v>115</v>
      </c>
      <c r="N28" s="21">
        <v>45510</v>
      </c>
      <c r="O28" s="7">
        <f t="shared" si="0"/>
        <v>6</v>
      </c>
      <c r="P28" s="22">
        <f t="shared" si="1"/>
        <v>26</v>
      </c>
      <c r="Q28" s="22">
        <f t="shared" si="2"/>
        <v>31</v>
      </c>
      <c r="R28" s="16">
        <v>25</v>
      </c>
      <c r="S28" s="40">
        <v>4.8154063889999996</v>
      </c>
      <c r="T28" s="40">
        <v>-74.222889280000004</v>
      </c>
      <c r="U28" s="22">
        <v>11410</v>
      </c>
      <c r="V28" s="22">
        <v>11328.5</v>
      </c>
      <c r="W28" s="25">
        <v>15005</v>
      </c>
      <c r="X28" s="24">
        <v>15380</v>
      </c>
      <c r="Y28" s="24">
        <v>171212</v>
      </c>
      <c r="Z28" s="24">
        <v>174235</v>
      </c>
      <c r="AA28" s="24">
        <v>11439</v>
      </c>
      <c r="AB28" s="24">
        <v>7479</v>
      </c>
      <c r="AC28" s="24">
        <v>65211</v>
      </c>
      <c r="AD28" s="24">
        <v>64739</v>
      </c>
      <c r="AE28" s="24">
        <v>6832</v>
      </c>
      <c r="AF28" s="24">
        <v>6723</v>
      </c>
      <c r="AG28" s="17">
        <v>0</v>
      </c>
      <c r="AH28" s="16" t="s">
        <v>198</v>
      </c>
      <c r="AI28" s="16" t="s">
        <v>49</v>
      </c>
      <c r="AJ28" s="16" t="s">
        <v>124</v>
      </c>
      <c r="AK28" s="16" t="s">
        <v>51</v>
      </c>
      <c r="AL28" s="25">
        <v>204160</v>
      </c>
      <c r="AM28" s="43">
        <f t="shared" si="3"/>
        <v>53.450164293537789</v>
      </c>
      <c r="AN28" s="16" t="s">
        <v>199</v>
      </c>
      <c r="AO28" s="16" t="s">
        <v>60</v>
      </c>
    </row>
    <row r="29" spans="1:41" ht="14.5" x14ac:dyDescent="0.35">
      <c r="A29" s="27" t="s">
        <v>200</v>
      </c>
      <c r="B29" s="16" t="s">
        <v>55</v>
      </c>
      <c r="C29" s="16" t="s">
        <v>43</v>
      </c>
      <c r="D29" s="16" t="s">
        <v>44</v>
      </c>
      <c r="E29" s="16" t="s">
        <v>201</v>
      </c>
      <c r="F29" s="16">
        <v>3</v>
      </c>
      <c r="G29" s="30" t="s">
        <v>202</v>
      </c>
      <c r="H29" s="16" t="s">
        <v>203</v>
      </c>
      <c r="I29" s="16" t="s">
        <v>102</v>
      </c>
      <c r="J29" s="16">
        <v>116.55</v>
      </c>
      <c r="K29" s="16">
        <v>622</v>
      </c>
      <c r="L29" s="16">
        <v>2103</v>
      </c>
      <c r="M29" s="8">
        <v>0</v>
      </c>
      <c r="N29" s="21">
        <v>43535</v>
      </c>
      <c r="O29" s="7">
        <f t="shared" si="0"/>
        <v>11</v>
      </c>
      <c r="P29" s="22">
        <f t="shared" si="1"/>
        <v>21</v>
      </c>
      <c r="Q29" s="22">
        <f t="shared" si="2"/>
        <v>31</v>
      </c>
      <c r="R29" s="16">
        <v>90</v>
      </c>
      <c r="S29" s="40">
        <v>4.618599788</v>
      </c>
      <c r="T29" s="40">
        <v>-74.138500429999993</v>
      </c>
      <c r="U29" s="22">
        <v>18695</v>
      </c>
      <c r="V29" s="22">
        <v>18560</v>
      </c>
      <c r="W29" s="25">
        <v>11297</v>
      </c>
      <c r="X29" s="24">
        <v>11157</v>
      </c>
      <c r="Y29" s="24">
        <v>211202</v>
      </c>
      <c r="Z29" s="24">
        <v>207068</v>
      </c>
      <c r="AA29" s="24">
        <v>9623</v>
      </c>
      <c r="AB29" s="24">
        <v>9837</v>
      </c>
      <c r="AC29" s="24">
        <v>69831</v>
      </c>
      <c r="AD29" s="24">
        <v>67793</v>
      </c>
      <c r="AE29" s="24">
        <v>12271</v>
      </c>
      <c r="AF29" s="24">
        <v>12393</v>
      </c>
      <c r="AG29" s="17">
        <v>0</v>
      </c>
      <c r="AH29" s="16" t="s">
        <v>58</v>
      </c>
      <c r="AI29" s="16" t="s">
        <v>49</v>
      </c>
      <c r="AJ29" s="16" t="s">
        <v>50</v>
      </c>
      <c r="AK29" s="16" t="s">
        <v>51</v>
      </c>
      <c r="AL29" s="25">
        <v>232000</v>
      </c>
      <c r="AM29" s="43">
        <f t="shared" si="3"/>
        <v>105.28528528528528</v>
      </c>
      <c r="AN29" s="16" t="s">
        <v>204</v>
      </c>
      <c r="AO29" s="16" t="s">
        <v>60</v>
      </c>
    </row>
    <row r="30" spans="1:41" ht="14.5" x14ac:dyDescent="0.35">
      <c r="A30" s="27" t="s">
        <v>205</v>
      </c>
      <c r="B30" s="16" t="s">
        <v>55</v>
      </c>
      <c r="C30" s="16" t="s">
        <v>43</v>
      </c>
      <c r="D30" s="16" t="s">
        <v>44</v>
      </c>
      <c r="E30" s="16" t="s">
        <v>206</v>
      </c>
      <c r="F30" s="16">
        <v>3</v>
      </c>
      <c r="G30" s="30" t="s">
        <v>207</v>
      </c>
      <c r="H30" s="16" t="s">
        <v>208</v>
      </c>
      <c r="I30" s="16" t="s">
        <v>102</v>
      </c>
      <c r="J30" s="16">
        <v>122.76</v>
      </c>
      <c r="K30" s="16">
        <v>0</v>
      </c>
      <c r="L30" s="16">
        <v>5900</v>
      </c>
      <c r="M30" s="8">
        <v>77</v>
      </c>
      <c r="N30" s="21">
        <v>45899</v>
      </c>
      <c r="O30" s="7">
        <f t="shared" si="0"/>
        <v>30</v>
      </c>
      <c r="P30" s="22">
        <f t="shared" si="1"/>
        <v>2</v>
      </c>
      <c r="Q30" s="22">
        <f t="shared" si="2"/>
        <v>31</v>
      </c>
      <c r="R30" s="16">
        <v>13</v>
      </c>
      <c r="S30" s="40">
        <v>4.62994562</v>
      </c>
      <c r="T30" s="40">
        <v>-74.110935499999997</v>
      </c>
      <c r="U30" s="22">
        <v>19234</v>
      </c>
      <c r="V30" s="22">
        <v>19762.833330000001</v>
      </c>
      <c r="W30" s="25">
        <v>10065</v>
      </c>
      <c r="X30" s="24">
        <v>10409</v>
      </c>
      <c r="Y30" s="24">
        <v>193588</v>
      </c>
      <c r="Z30" s="24">
        <v>205712</v>
      </c>
      <c r="AA30" s="24">
        <v>19847</v>
      </c>
      <c r="AB30" s="24">
        <v>22823</v>
      </c>
      <c r="AC30" s="24">
        <v>82103</v>
      </c>
      <c r="AD30" s="24">
        <v>83979</v>
      </c>
      <c r="AE30" s="24">
        <v>13052</v>
      </c>
      <c r="AF30" s="24">
        <v>12773</v>
      </c>
      <c r="AG30" s="17">
        <v>1.698</v>
      </c>
      <c r="AH30" s="16" t="s">
        <v>58</v>
      </c>
      <c r="AI30" s="16" t="s">
        <v>49</v>
      </c>
      <c r="AJ30" s="16" t="s">
        <v>50</v>
      </c>
      <c r="AK30" s="16" t="s">
        <v>71</v>
      </c>
      <c r="AL30" s="25">
        <v>232000</v>
      </c>
      <c r="AM30" s="43">
        <f t="shared" si="3"/>
        <v>106.32127728901922</v>
      </c>
      <c r="AN30" s="16" t="s">
        <v>209</v>
      </c>
      <c r="AO30" s="16" t="s">
        <v>60</v>
      </c>
    </row>
    <row r="31" spans="1:41" ht="14.5" x14ac:dyDescent="0.35">
      <c r="A31" s="27" t="s">
        <v>210</v>
      </c>
      <c r="B31" s="16" t="s">
        <v>55</v>
      </c>
      <c r="C31" s="16" t="s">
        <v>43</v>
      </c>
      <c r="D31" s="16" t="s">
        <v>44</v>
      </c>
      <c r="E31" s="16" t="s">
        <v>201</v>
      </c>
      <c r="F31" s="16">
        <v>3</v>
      </c>
      <c r="G31" s="30" t="s">
        <v>211</v>
      </c>
      <c r="H31" s="16" t="s">
        <v>212</v>
      </c>
      <c r="I31" s="16" t="s">
        <v>47</v>
      </c>
      <c r="J31" s="16">
        <v>167.49</v>
      </c>
      <c r="K31" s="16">
        <v>1717</v>
      </c>
      <c r="L31" s="16">
        <v>983</v>
      </c>
      <c r="M31" s="8">
        <v>315</v>
      </c>
      <c r="N31" s="21">
        <v>45595</v>
      </c>
      <c r="O31" s="7">
        <f t="shared" si="0"/>
        <v>30</v>
      </c>
      <c r="P31" s="22">
        <f t="shared" si="1"/>
        <v>2</v>
      </c>
      <c r="Q31" s="22">
        <f t="shared" si="2"/>
        <v>31</v>
      </c>
      <c r="R31" s="16">
        <v>23</v>
      </c>
      <c r="S31" s="40">
        <v>4.6256916920000002</v>
      </c>
      <c r="T31" s="40">
        <v>-74.138006500000003</v>
      </c>
      <c r="U31" s="22">
        <v>14069</v>
      </c>
      <c r="V31" s="22">
        <v>14060.833329999999</v>
      </c>
      <c r="W31" s="25">
        <v>12738</v>
      </c>
      <c r="X31" s="24">
        <v>12606</v>
      </c>
      <c r="Y31" s="24">
        <v>179204</v>
      </c>
      <c r="Z31" s="24">
        <v>177254</v>
      </c>
      <c r="AA31" s="24">
        <v>7304</v>
      </c>
      <c r="AB31" s="24">
        <v>6272</v>
      </c>
      <c r="AC31" s="24">
        <v>63036</v>
      </c>
      <c r="AD31" s="24">
        <v>61776</v>
      </c>
      <c r="AE31" s="24">
        <v>10494</v>
      </c>
      <c r="AF31" s="24">
        <v>10601</v>
      </c>
      <c r="AG31" s="17">
        <v>0</v>
      </c>
      <c r="AH31" s="16" t="s">
        <v>58</v>
      </c>
      <c r="AI31" s="16" t="s">
        <v>49</v>
      </c>
      <c r="AJ31" s="16" t="s">
        <v>124</v>
      </c>
      <c r="AK31" s="16" t="s">
        <v>51</v>
      </c>
      <c r="AL31" s="25">
        <v>204160</v>
      </c>
      <c r="AM31" s="43">
        <f t="shared" si="3"/>
        <v>62.654486835034923</v>
      </c>
      <c r="AN31" s="16" t="s">
        <v>213</v>
      </c>
      <c r="AO31" s="16" t="s">
        <v>60</v>
      </c>
    </row>
    <row r="32" spans="1:41" ht="14.5" x14ac:dyDescent="0.35">
      <c r="A32" s="27" t="s">
        <v>214</v>
      </c>
      <c r="B32" s="16" t="s">
        <v>55</v>
      </c>
      <c r="C32" s="16" t="s">
        <v>43</v>
      </c>
      <c r="D32" s="16" t="s">
        <v>44</v>
      </c>
      <c r="E32" s="16" t="s">
        <v>201</v>
      </c>
      <c r="F32" s="16">
        <v>3</v>
      </c>
      <c r="G32" s="30" t="s">
        <v>215</v>
      </c>
      <c r="H32" s="16" t="s">
        <v>216</v>
      </c>
      <c r="I32" s="16" t="s">
        <v>102</v>
      </c>
      <c r="J32" s="16">
        <v>142.56</v>
      </c>
      <c r="K32" s="16">
        <v>430</v>
      </c>
      <c r="L32" s="16">
        <v>1177</v>
      </c>
      <c r="M32" s="8">
        <v>190</v>
      </c>
      <c r="N32" s="21">
        <v>45866</v>
      </c>
      <c r="O32" s="7">
        <f t="shared" si="0"/>
        <v>28</v>
      </c>
      <c r="P32" s="22">
        <f t="shared" si="1"/>
        <v>4</v>
      </c>
      <c r="Q32" s="22">
        <f t="shared" si="2"/>
        <v>31</v>
      </c>
      <c r="R32" s="16">
        <v>14</v>
      </c>
      <c r="S32" s="40">
        <v>4.616696063</v>
      </c>
      <c r="T32" s="40">
        <v>-74.137252950000004</v>
      </c>
      <c r="U32" s="22">
        <v>18308</v>
      </c>
      <c r="V32" s="22">
        <v>17832.666669999999</v>
      </c>
      <c r="W32" s="25">
        <v>12084</v>
      </c>
      <c r="X32" s="24">
        <v>11920</v>
      </c>
      <c r="Y32" s="24">
        <v>221241</v>
      </c>
      <c r="Z32" s="24">
        <v>212562</v>
      </c>
      <c r="AA32" s="24">
        <v>13605</v>
      </c>
      <c r="AB32" s="24">
        <v>10391</v>
      </c>
      <c r="AC32" s="24">
        <v>72420</v>
      </c>
      <c r="AD32" s="24">
        <v>70429</v>
      </c>
      <c r="AE32" s="24">
        <v>14275</v>
      </c>
      <c r="AF32" s="24">
        <v>13949</v>
      </c>
      <c r="AG32" s="17">
        <v>1.4992000000000001</v>
      </c>
      <c r="AH32" s="16" t="s">
        <v>217</v>
      </c>
      <c r="AI32" s="16" t="s">
        <v>49</v>
      </c>
      <c r="AJ32" s="16" t="s">
        <v>124</v>
      </c>
      <c r="AK32" s="16" t="s">
        <v>71</v>
      </c>
      <c r="AL32" s="25">
        <v>204160</v>
      </c>
      <c r="AM32" s="43">
        <f t="shared" si="3"/>
        <v>100.13327721661055</v>
      </c>
      <c r="AN32" s="16" t="s">
        <v>218</v>
      </c>
      <c r="AO32" s="16" t="s">
        <v>60</v>
      </c>
    </row>
    <row r="33" spans="1:41" ht="14.5" x14ac:dyDescent="0.35">
      <c r="A33" s="27" t="s">
        <v>219</v>
      </c>
      <c r="B33" s="16" t="s">
        <v>119</v>
      </c>
      <c r="C33" s="16" t="s">
        <v>120</v>
      </c>
      <c r="D33" s="16" t="s">
        <v>220</v>
      </c>
      <c r="E33" s="16" t="s">
        <v>221</v>
      </c>
      <c r="F33" s="16">
        <v>4</v>
      </c>
      <c r="G33" s="30" t="s">
        <v>222</v>
      </c>
      <c r="H33" s="16">
        <v>0</v>
      </c>
      <c r="I33" s="16" t="s">
        <v>102</v>
      </c>
      <c r="J33" s="16">
        <v>120.52</v>
      </c>
      <c r="K33" s="16">
        <v>30</v>
      </c>
      <c r="L33" s="16">
        <v>170</v>
      </c>
      <c r="M33" s="8">
        <v>52</v>
      </c>
      <c r="N33" s="21">
        <v>45016</v>
      </c>
      <c r="O33" s="7">
        <f t="shared" si="0"/>
        <v>31</v>
      </c>
      <c r="P33" s="22">
        <f t="shared" si="1"/>
        <v>1</v>
      </c>
      <c r="Q33" s="22">
        <f t="shared" si="2"/>
        <v>31</v>
      </c>
      <c r="R33" s="16">
        <v>42</v>
      </c>
      <c r="S33" s="40">
        <v>7.0632185559999998</v>
      </c>
      <c r="T33" s="40">
        <v>-73.146089470000007</v>
      </c>
      <c r="U33" s="22">
        <v>16419</v>
      </c>
      <c r="V33" s="22">
        <v>15852.166670000001</v>
      </c>
      <c r="W33" s="25">
        <v>12780</v>
      </c>
      <c r="X33" s="24">
        <v>13725</v>
      </c>
      <c r="Y33" s="24">
        <v>209835</v>
      </c>
      <c r="Z33" s="24">
        <v>217577</v>
      </c>
      <c r="AA33" s="24">
        <v>15605</v>
      </c>
      <c r="AB33" s="24">
        <v>22112</v>
      </c>
      <c r="AC33" s="24">
        <v>82956</v>
      </c>
      <c r="AD33" s="24">
        <v>81957</v>
      </c>
      <c r="AE33" s="24">
        <v>8482</v>
      </c>
      <c r="AF33" s="24">
        <v>8584</v>
      </c>
      <c r="AG33" s="17">
        <v>0</v>
      </c>
      <c r="AH33" s="16" t="s">
        <v>136</v>
      </c>
      <c r="AI33" s="16" t="s">
        <v>49</v>
      </c>
      <c r="AJ33" s="16" t="s">
        <v>76</v>
      </c>
      <c r="AK33" s="16" t="s">
        <v>51</v>
      </c>
      <c r="AL33" s="25">
        <v>241405</v>
      </c>
      <c r="AM33" s="43">
        <f t="shared" si="3"/>
        <v>70.378360438101566</v>
      </c>
      <c r="AN33" s="16" t="s">
        <v>223</v>
      </c>
      <c r="AO33" s="16" t="s">
        <v>60</v>
      </c>
    </row>
    <row r="34" spans="1:41" ht="14.5" x14ac:dyDescent="0.35">
      <c r="A34" s="27" t="s">
        <v>224</v>
      </c>
      <c r="B34" s="16" t="s">
        <v>42</v>
      </c>
      <c r="C34" s="16" t="s">
        <v>43</v>
      </c>
      <c r="D34" s="16" t="s">
        <v>44</v>
      </c>
      <c r="E34" s="16" t="s">
        <v>45</v>
      </c>
      <c r="F34" s="16">
        <v>5</v>
      </c>
      <c r="G34" s="30" t="s">
        <v>225</v>
      </c>
      <c r="H34" s="16">
        <v>0</v>
      </c>
      <c r="I34" s="16" t="s">
        <v>47</v>
      </c>
      <c r="J34" s="16">
        <v>139.26</v>
      </c>
      <c r="K34" s="16">
        <v>2248</v>
      </c>
      <c r="L34" s="16">
        <v>263</v>
      </c>
      <c r="M34" s="8">
        <v>28</v>
      </c>
      <c r="N34" s="21">
        <v>45412</v>
      </c>
      <c r="O34" s="7">
        <f t="shared" si="0"/>
        <v>30</v>
      </c>
      <c r="P34" s="22">
        <f t="shared" si="1"/>
        <v>1</v>
      </c>
      <c r="Q34" s="22">
        <f t="shared" si="2"/>
        <v>30</v>
      </c>
      <c r="R34" s="16">
        <v>29</v>
      </c>
      <c r="S34" s="40">
        <v>4.7143477279999999</v>
      </c>
      <c r="T34" s="40">
        <v>-74.036839990000004</v>
      </c>
      <c r="U34" s="22">
        <v>15328</v>
      </c>
      <c r="V34" s="22">
        <v>14805.166670000001</v>
      </c>
      <c r="W34" s="25">
        <v>14328</v>
      </c>
      <c r="X34" s="24">
        <v>14476</v>
      </c>
      <c r="Y34" s="24">
        <v>219625</v>
      </c>
      <c r="Z34" s="24">
        <v>214315</v>
      </c>
      <c r="AA34" s="24">
        <v>16557</v>
      </c>
      <c r="AB34" s="24">
        <v>15445</v>
      </c>
      <c r="AC34" s="24">
        <v>79846</v>
      </c>
      <c r="AD34" s="24">
        <v>77595</v>
      </c>
      <c r="AE34" s="24">
        <v>11057</v>
      </c>
      <c r="AF34" s="24">
        <v>11074</v>
      </c>
      <c r="AG34" s="17">
        <v>0</v>
      </c>
      <c r="AH34" s="16" t="s">
        <v>136</v>
      </c>
      <c r="AI34" s="16" t="s">
        <v>49</v>
      </c>
      <c r="AJ34" s="16" t="s">
        <v>76</v>
      </c>
      <c r="AK34" s="16" t="s">
        <v>51</v>
      </c>
      <c r="AL34" s="25">
        <v>241405</v>
      </c>
      <c r="AM34" s="43">
        <f t="shared" si="3"/>
        <v>79.398247881660211</v>
      </c>
      <c r="AN34" s="16" t="s">
        <v>226</v>
      </c>
      <c r="AO34" s="16" t="s">
        <v>60</v>
      </c>
    </row>
    <row r="35" spans="1:41" ht="14.5" x14ac:dyDescent="0.35">
      <c r="A35" s="27" t="s">
        <v>227</v>
      </c>
      <c r="B35" s="16" t="s">
        <v>105</v>
      </c>
      <c r="C35" s="16" t="s">
        <v>177</v>
      </c>
      <c r="D35" s="16" t="s">
        <v>178</v>
      </c>
      <c r="E35" s="16" t="s">
        <v>228</v>
      </c>
      <c r="F35" s="16">
        <v>5</v>
      </c>
      <c r="G35" s="30" t="s">
        <v>229</v>
      </c>
      <c r="H35" s="16" t="s">
        <v>230</v>
      </c>
      <c r="I35" s="16" t="s">
        <v>47</v>
      </c>
      <c r="J35" s="16">
        <v>115.56</v>
      </c>
      <c r="K35" s="16">
        <v>3162</v>
      </c>
      <c r="L35" s="16">
        <v>0</v>
      </c>
      <c r="M35" s="8">
        <v>55</v>
      </c>
      <c r="N35" s="21">
        <v>45647</v>
      </c>
      <c r="O35" s="7">
        <f t="shared" si="0"/>
        <v>21</v>
      </c>
      <c r="P35" s="22">
        <f t="shared" si="1"/>
        <v>11</v>
      </c>
      <c r="Q35" s="22">
        <f t="shared" si="2"/>
        <v>31</v>
      </c>
      <c r="R35" s="16">
        <v>21</v>
      </c>
      <c r="S35" s="40">
        <v>4.5616802679999999</v>
      </c>
      <c r="T35" s="40">
        <v>-75.657847869999998</v>
      </c>
      <c r="U35" s="22">
        <v>12999</v>
      </c>
      <c r="V35" s="22">
        <v>12680</v>
      </c>
      <c r="W35" s="25">
        <v>13326</v>
      </c>
      <c r="X35" s="24">
        <v>13368</v>
      </c>
      <c r="Y35" s="24">
        <v>173225</v>
      </c>
      <c r="Z35" s="24">
        <v>169500</v>
      </c>
      <c r="AA35" s="24">
        <v>-3081</v>
      </c>
      <c r="AB35" s="24">
        <v>6869</v>
      </c>
      <c r="AC35" s="24">
        <v>65921</v>
      </c>
      <c r="AD35" s="24">
        <v>62171</v>
      </c>
      <c r="AE35" s="24">
        <v>8942</v>
      </c>
      <c r="AF35" s="24">
        <v>9036</v>
      </c>
      <c r="AG35" s="17">
        <v>0</v>
      </c>
      <c r="AH35" s="16" t="s">
        <v>58</v>
      </c>
      <c r="AI35" s="16" t="s">
        <v>49</v>
      </c>
      <c r="AJ35" s="16" t="s">
        <v>50</v>
      </c>
      <c r="AK35" s="16" t="s">
        <v>51</v>
      </c>
      <c r="AL35" s="25">
        <v>232000</v>
      </c>
      <c r="AM35" s="43">
        <f t="shared" si="3"/>
        <v>77.379716164762897</v>
      </c>
      <c r="AN35" s="16" t="s">
        <v>150</v>
      </c>
      <c r="AO35" s="16" t="s">
        <v>53</v>
      </c>
    </row>
    <row r="36" spans="1:41" ht="14.5" x14ac:dyDescent="0.35">
      <c r="A36" s="27" t="s">
        <v>231</v>
      </c>
      <c r="B36" s="16" t="s">
        <v>105</v>
      </c>
      <c r="C36" s="16" t="s">
        <v>112</v>
      </c>
      <c r="D36" s="16" t="s">
        <v>113</v>
      </c>
      <c r="E36" s="16" t="s">
        <v>232</v>
      </c>
      <c r="F36" s="16">
        <v>4</v>
      </c>
      <c r="G36" s="30" t="s">
        <v>233</v>
      </c>
      <c r="H36" s="16">
        <v>0</v>
      </c>
      <c r="I36" s="16" t="s">
        <v>47</v>
      </c>
      <c r="J36" s="16">
        <v>98.65</v>
      </c>
      <c r="K36" s="16">
        <v>2200</v>
      </c>
      <c r="L36" s="16">
        <v>320</v>
      </c>
      <c r="M36" s="8">
        <v>63</v>
      </c>
      <c r="N36" s="21">
        <v>45435</v>
      </c>
      <c r="O36" s="7">
        <f t="shared" si="0"/>
        <v>23</v>
      </c>
      <c r="P36" s="22">
        <f t="shared" si="1"/>
        <v>9</v>
      </c>
      <c r="Q36" s="22">
        <f t="shared" si="2"/>
        <v>31</v>
      </c>
      <c r="R36" s="16">
        <v>28</v>
      </c>
      <c r="S36" s="40">
        <v>3.3603253350000002</v>
      </c>
      <c r="T36" s="40">
        <v>-76.515519249999997</v>
      </c>
      <c r="U36" s="22">
        <v>19624</v>
      </c>
      <c r="V36" s="22">
        <v>17401.5</v>
      </c>
      <c r="W36" s="25">
        <v>14526</v>
      </c>
      <c r="X36" s="24">
        <v>14281</v>
      </c>
      <c r="Y36" s="24">
        <v>285060</v>
      </c>
      <c r="Z36" s="24">
        <v>248514</v>
      </c>
      <c r="AA36" s="24">
        <v>31153</v>
      </c>
      <c r="AB36" s="24">
        <v>25320</v>
      </c>
      <c r="AC36" s="24">
        <v>110129</v>
      </c>
      <c r="AD36" s="24">
        <v>94196</v>
      </c>
      <c r="AE36" s="24">
        <v>12162</v>
      </c>
      <c r="AF36" s="24">
        <v>12123</v>
      </c>
      <c r="AG36" s="17">
        <v>0</v>
      </c>
      <c r="AH36" s="16" t="s">
        <v>136</v>
      </c>
      <c r="AI36" s="16" t="s">
        <v>49</v>
      </c>
      <c r="AJ36" s="16" t="s">
        <v>76</v>
      </c>
      <c r="AK36" s="16" t="s">
        <v>51</v>
      </c>
      <c r="AL36" s="25">
        <v>241405</v>
      </c>
      <c r="AM36" s="43">
        <f t="shared" si="3"/>
        <v>123.28433857070451</v>
      </c>
      <c r="AN36" s="16" t="s">
        <v>234</v>
      </c>
      <c r="AO36" s="16" t="s">
        <v>60</v>
      </c>
    </row>
    <row r="37" spans="1:41" ht="14.5" x14ac:dyDescent="0.35">
      <c r="A37" s="27" t="s">
        <v>235</v>
      </c>
      <c r="B37" s="16" t="s">
        <v>55</v>
      </c>
      <c r="C37" s="16" t="s">
        <v>43</v>
      </c>
      <c r="D37" s="16" t="s">
        <v>44</v>
      </c>
      <c r="E37" s="16" t="s">
        <v>236</v>
      </c>
      <c r="F37" s="16">
        <v>3</v>
      </c>
      <c r="G37" s="30" t="s">
        <v>237</v>
      </c>
      <c r="H37" s="16">
        <v>0</v>
      </c>
      <c r="I37" s="16" t="s">
        <v>47</v>
      </c>
      <c r="J37" s="16">
        <v>106.29</v>
      </c>
      <c r="K37" s="16">
        <v>2615</v>
      </c>
      <c r="L37" s="16">
        <v>335</v>
      </c>
      <c r="M37" s="8">
        <v>155</v>
      </c>
      <c r="N37" s="21">
        <v>45169</v>
      </c>
      <c r="O37" s="7">
        <f t="shared" si="0"/>
        <v>31</v>
      </c>
      <c r="P37" s="22">
        <f t="shared" si="1"/>
        <v>1</v>
      </c>
      <c r="Q37" s="22">
        <f t="shared" si="2"/>
        <v>31</v>
      </c>
      <c r="R37" s="16">
        <v>37</v>
      </c>
      <c r="S37" s="40">
        <v>4.68076223</v>
      </c>
      <c r="T37" s="40">
        <v>-74.113837559999993</v>
      </c>
      <c r="U37" s="22">
        <v>14520</v>
      </c>
      <c r="V37" s="22">
        <v>14616.166670000001</v>
      </c>
      <c r="W37" s="25">
        <v>13144</v>
      </c>
      <c r="X37" s="24">
        <v>12954</v>
      </c>
      <c r="Y37" s="24">
        <v>190845</v>
      </c>
      <c r="Z37" s="24">
        <v>189333</v>
      </c>
      <c r="AA37" s="24">
        <v>11576</v>
      </c>
      <c r="AB37" s="24">
        <v>9742</v>
      </c>
      <c r="AC37" s="24">
        <v>62655</v>
      </c>
      <c r="AD37" s="24">
        <v>61034</v>
      </c>
      <c r="AE37" s="24">
        <v>6766</v>
      </c>
      <c r="AF37" s="24">
        <v>6591</v>
      </c>
      <c r="AG37" s="17">
        <v>0</v>
      </c>
      <c r="AH37" s="16" t="s">
        <v>82</v>
      </c>
      <c r="AI37" s="16" t="s">
        <v>49</v>
      </c>
      <c r="AJ37" s="16" t="s">
        <v>124</v>
      </c>
      <c r="AK37" s="16" t="s">
        <v>51</v>
      </c>
      <c r="AL37" s="25">
        <v>204160</v>
      </c>
      <c r="AM37" s="43">
        <f t="shared" si="3"/>
        <v>63.656035374917671</v>
      </c>
      <c r="AN37" s="16" t="s">
        <v>238</v>
      </c>
      <c r="AO37" s="16" t="s">
        <v>60</v>
      </c>
    </row>
    <row r="38" spans="1:41" ht="14.5" x14ac:dyDescent="0.35">
      <c r="A38" s="27" t="s">
        <v>239</v>
      </c>
      <c r="B38" s="16" t="s">
        <v>55</v>
      </c>
      <c r="C38" s="16" t="s">
        <v>43</v>
      </c>
      <c r="D38" s="16" t="s">
        <v>44</v>
      </c>
      <c r="E38" s="16" t="s">
        <v>240</v>
      </c>
      <c r="F38" s="16">
        <v>4</v>
      </c>
      <c r="G38" s="30" t="s">
        <v>241</v>
      </c>
      <c r="H38" s="16" t="s">
        <v>242</v>
      </c>
      <c r="I38" s="16" t="s">
        <v>47</v>
      </c>
      <c r="J38" s="16">
        <v>144.1</v>
      </c>
      <c r="K38" s="16">
        <v>395</v>
      </c>
      <c r="L38" s="16">
        <v>4660</v>
      </c>
      <c r="M38" s="8">
        <v>0</v>
      </c>
      <c r="N38" s="21">
        <v>45771</v>
      </c>
      <c r="O38" s="7">
        <f t="shared" si="0"/>
        <v>24</v>
      </c>
      <c r="P38" s="22">
        <f t="shared" si="1"/>
        <v>7</v>
      </c>
      <c r="Q38" s="22">
        <f t="shared" si="2"/>
        <v>30</v>
      </c>
      <c r="R38" s="16">
        <v>17</v>
      </c>
      <c r="S38" s="40">
        <v>4.6482314389999999</v>
      </c>
      <c r="T38" s="40">
        <v>-74.101442809999995</v>
      </c>
      <c r="U38" s="22">
        <v>13277</v>
      </c>
      <c r="V38" s="22">
        <v>13416.5</v>
      </c>
      <c r="W38" s="25">
        <v>8997</v>
      </c>
      <c r="X38" s="24">
        <v>9427</v>
      </c>
      <c r="Y38" s="24">
        <v>119454</v>
      </c>
      <c r="Z38" s="24">
        <v>126480</v>
      </c>
      <c r="AA38" s="24">
        <v>4112</v>
      </c>
      <c r="AB38" s="24">
        <v>7128</v>
      </c>
      <c r="AC38" s="24">
        <v>51467</v>
      </c>
      <c r="AD38" s="24">
        <v>52591</v>
      </c>
      <c r="AE38" s="24">
        <v>6832</v>
      </c>
      <c r="AF38" s="24">
        <v>6862</v>
      </c>
      <c r="AG38" s="17">
        <v>1.1943999999999999</v>
      </c>
      <c r="AH38" s="16" t="s">
        <v>58</v>
      </c>
      <c r="AI38" s="16" t="s">
        <v>49</v>
      </c>
      <c r="AJ38" s="16" t="s">
        <v>50</v>
      </c>
      <c r="AK38" s="16" t="s">
        <v>51</v>
      </c>
      <c r="AL38" s="25">
        <v>232000</v>
      </c>
      <c r="AM38" s="43">
        <f t="shared" si="3"/>
        <v>47.411519777931993</v>
      </c>
      <c r="AN38" s="16" t="s">
        <v>103</v>
      </c>
      <c r="AO38" s="16" t="s">
        <v>60</v>
      </c>
    </row>
    <row r="39" spans="1:41" ht="14.5" x14ac:dyDescent="0.35">
      <c r="A39" s="27" t="s">
        <v>243</v>
      </c>
      <c r="B39" s="16" t="s">
        <v>119</v>
      </c>
      <c r="C39" s="16" t="s">
        <v>120</v>
      </c>
      <c r="D39" s="16" t="s">
        <v>121</v>
      </c>
      <c r="E39" s="16" t="s">
        <v>244</v>
      </c>
      <c r="F39" s="16">
        <v>3</v>
      </c>
      <c r="G39" s="30" t="s">
        <v>245</v>
      </c>
      <c r="H39" s="16">
        <v>0</v>
      </c>
      <c r="I39" s="16" t="s">
        <v>47</v>
      </c>
      <c r="J39" s="16">
        <v>100.67</v>
      </c>
      <c r="K39" s="16">
        <v>770</v>
      </c>
      <c r="L39" s="16">
        <v>510</v>
      </c>
      <c r="M39" s="8">
        <v>46</v>
      </c>
      <c r="N39" s="21">
        <v>44890</v>
      </c>
      <c r="O39" s="7">
        <f t="shared" si="0"/>
        <v>25</v>
      </c>
      <c r="P39" s="22">
        <f t="shared" si="1"/>
        <v>6</v>
      </c>
      <c r="Q39" s="22">
        <f t="shared" si="2"/>
        <v>30</v>
      </c>
      <c r="R39" s="16">
        <v>46</v>
      </c>
      <c r="S39" s="40">
        <v>7.0895364409999999</v>
      </c>
      <c r="T39" s="40">
        <v>-73.107466590000001</v>
      </c>
      <c r="U39" s="22">
        <v>16512</v>
      </c>
      <c r="V39" s="22">
        <v>16162</v>
      </c>
      <c r="W39" s="25">
        <v>10595</v>
      </c>
      <c r="X39" s="24">
        <v>10791</v>
      </c>
      <c r="Y39" s="24">
        <v>174950</v>
      </c>
      <c r="Z39" s="24">
        <v>174408</v>
      </c>
      <c r="AA39" s="24">
        <v>4646</v>
      </c>
      <c r="AB39" s="24">
        <v>6599</v>
      </c>
      <c r="AC39" s="24">
        <v>61332</v>
      </c>
      <c r="AD39" s="24">
        <v>60600</v>
      </c>
      <c r="AE39" s="24">
        <v>5852</v>
      </c>
      <c r="AF39" s="24">
        <v>5920</v>
      </c>
      <c r="AG39" s="17">
        <v>0</v>
      </c>
      <c r="AH39" s="16" t="s">
        <v>82</v>
      </c>
      <c r="AI39" s="16" t="s">
        <v>49</v>
      </c>
      <c r="AJ39" s="16" t="s">
        <v>50</v>
      </c>
      <c r="AK39" s="16" t="s">
        <v>51</v>
      </c>
      <c r="AL39" s="25">
        <v>232000</v>
      </c>
      <c r="AM39" s="43">
        <f t="shared" si="3"/>
        <v>58.130525479288764</v>
      </c>
      <c r="AN39" s="16" t="s">
        <v>52</v>
      </c>
      <c r="AO39" s="16" t="s">
        <v>53</v>
      </c>
    </row>
    <row r="40" spans="1:41" ht="14.5" x14ac:dyDescent="0.35">
      <c r="A40" s="27" t="s">
        <v>246</v>
      </c>
      <c r="B40" s="16" t="s">
        <v>42</v>
      </c>
      <c r="C40" s="16" t="s">
        <v>43</v>
      </c>
      <c r="D40" s="16" t="s">
        <v>44</v>
      </c>
      <c r="E40" s="16" t="s">
        <v>143</v>
      </c>
      <c r="F40" s="16">
        <v>4</v>
      </c>
      <c r="G40" s="30" t="s">
        <v>247</v>
      </c>
      <c r="H40" s="16">
        <v>0</v>
      </c>
      <c r="I40" s="16" t="s">
        <v>47</v>
      </c>
      <c r="J40" s="16">
        <v>150</v>
      </c>
      <c r="K40" s="16">
        <v>3207</v>
      </c>
      <c r="L40" s="16">
        <v>1461</v>
      </c>
      <c r="M40" s="8">
        <v>0</v>
      </c>
      <c r="N40" s="21">
        <v>43453</v>
      </c>
      <c r="O40" s="7">
        <f t="shared" si="0"/>
        <v>19</v>
      </c>
      <c r="P40" s="22">
        <f t="shared" si="1"/>
        <v>13</v>
      </c>
      <c r="Q40" s="22">
        <f t="shared" si="2"/>
        <v>31</v>
      </c>
      <c r="R40" s="16">
        <v>93</v>
      </c>
      <c r="S40" s="40">
        <v>4.7094003359999999</v>
      </c>
      <c r="T40" s="40">
        <v>-74.061699779999998</v>
      </c>
      <c r="U40" s="22">
        <v>31142</v>
      </c>
      <c r="V40" s="22">
        <v>32653.5</v>
      </c>
      <c r="W40" s="25">
        <v>12640</v>
      </c>
      <c r="X40" s="24">
        <v>12853</v>
      </c>
      <c r="Y40" s="24">
        <v>393626</v>
      </c>
      <c r="Z40" s="24">
        <v>419705</v>
      </c>
      <c r="AA40" s="24">
        <v>62055</v>
      </c>
      <c r="AB40" s="24">
        <v>64562</v>
      </c>
      <c r="AC40" s="24">
        <v>148038</v>
      </c>
      <c r="AD40" s="24">
        <v>156035</v>
      </c>
      <c r="AE40" s="24">
        <v>19335</v>
      </c>
      <c r="AF40" s="24">
        <v>19605</v>
      </c>
      <c r="AG40" s="17">
        <v>0</v>
      </c>
      <c r="AH40" s="16" t="s">
        <v>130</v>
      </c>
      <c r="AI40" s="16" t="s">
        <v>49</v>
      </c>
      <c r="AJ40" s="16" t="s">
        <v>50</v>
      </c>
      <c r="AK40" s="16" t="s">
        <v>51</v>
      </c>
      <c r="AL40" s="25">
        <v>232000</v>
      </c>
      <c r="AM40" s="43">
        <f t="shared" si="3"/>
        <v>128.9</v>
      </c>
      <c r="AN40" s="16" t="s">
        <v>248</v>
      </c>
      <c r="AO40" s="16" t="s">
        <v>53</v>
      </c>
    </row>
    <row r="41" spans="1:41" ht="14.5" x14ac:dyDescent="0.35">
      <c r="A41" s="27" t="s">
        <v>249</v>
      </c>
      <c r="B41" s="16" t="s">
        <v>119</v>
      </c>
      <c r="C41" s="16" t="s">
        <v>120</v>
      </c>
      <c r="D41" s="16" t="s">
        <v>121</v>
      </c>
      <c r="E41" s="16" t="s">
        <v>122</v>
      </c>
      <c r="F41" s="16">
        <v>4</v>
      </c>
      <c r="G41" s="30" t="s">
        <v>250</v>
      </c>
      <c r="H41" s="16">
        <v>0</v>
      </c>
      <c r="I41" s="16" t="s">
        <v>102</v>
      </c>
      <c r="J41" s="16">
        <v>122.92</v>
      </c>
      <c r="K41" s="16">
        <v>2469</v>
      </c>
      <c r="L41" s="16">
        <v>624</v>
      </c>
      <c r="M41" s="8">
        <v>94</v>
      </c>
      <c r="N41" s="21">
        <v>45198</v>
      </c>
      <c r="O41" s="7">
        <f t="shared" si="0"/>
        <v>29</v>
      </c>
      <c r="P41" s="22">
        <f t="shared" si="1"/>
        <v>2</v>
      </c>
      <c r="Q41" s="22">
        <f t="shared" si="2"/>
        <v>30</v>
      </c>
      <c r="R41" s="16">
        <v>36</v>
      </c>
      <c r="S41" s="40">
        <v>7.1242955099999996</v>
      </c>
      <c r="T41" s="40">
        <v>-73.116785059999998</v>
      </c>
      <c r="U41" s="22">
        <v>18690</v>
      </c>
      <c r="V41" s="22">
        <v>18421</v>
      </c>
      <c r="W41" s="25">
        <v>10243</v>
      </c>
      <c r="X41" s="24">
        <v>10554</v>
      </c>
      <c r="Y41" s="24">
        <v>191444</v>
      </c>
      <c r="Z41" s="24">
        <v>194418</v>
      </c>
      <c r="AA41" s="24">
        <v>10703</v>
      </c>
      <c r="AB41" s="24">
        <v>16334</v>
      </c>
      <c r="AC41" s="24">
        <v>75931</v>
      </c>
      <c r="AD41" s="24">
        <v>76860</v>
      </c>
      <c r="AE41" s="24">
        <v>8157</v>
      </c>
      <c r="AF41" s="24">
        <v>8152</v>
      </c>
      <c r="AG41" s="17">
        <v>0</v>
      </c>
      <c r="AH41" s="16" t="s">
        <v>82</v>
      </c>
      <c r="AI41" s="16" t="s">
        <v>49</v>
      </c>
      <c r="AJ41" s="16" t="s">
        <v>50</v>
      </c>
      <c r="AK41" s="16" t="s">
        <v>51</v>
      </c>
      <c r="AL41" s="25">
        <v>232000</v>
      </c>
      <c r="AM41" s="43">
        <f t="shared" si="3"/>
        <v>66.360234298730887</v>
      </c>
      <c r="AN41" s="16" t="s">
        <v>52</v>
      </c>
      <c r="AO41" s="16" t="s">
        <v>53</v>
      </c>
    </row>
    <row r="42" spans="1:41" ht="14.5" x14ac:dyDescent="0.35">
      <c r="A42" s="27" t="s">
        <v>251</v>
      </c>
      <c r="B42" s="16" t="s">
        <v>42</v>
      </c>
      <c r="C42" s="16" t="s">
        <v>43</v>
      </c>
      <c r="D42" s="16" t="s">
        <v>44</v>
      </c>
      <c r="E42" s="16" t="s">
        <v>68</v>
      </c>
      <c r="F42" s="16">
        <v>6</v>
      </c>
      <c r="G42" s="30" t="s">
        <v>252</v>
      </c>
      <c r="H42" s="16">
        <v>0</v>
      </c>
      <c r="I42" s="16" t="s">
        <v>47</v>
      </c>
      <c r="J42" s="16">
        <v>188.98</v>
      </c>
      <c r="K42" s="16">
        <v>18</v>
      </c>
      <c r="L42" s="16">
        <v>1914</v>
      </c>
      <c r="M42" s="8">
        <v>0</v>
      </c>
      <c r="N42" s="21">
        <v>42684</v>
      </c>
      <c r="O42" s="7">
        <f t="shared" si="0"/>
        <v>10</v>
      </c>
      <c r="P42" s="22">
        <f t="shared" si="1"/>
        <v>21</v>
      </c>
      <c r="Q42" s="22">
        <f t="shared" si="2"/>
        <v>30</v>
      </c>
      <c r="R42" s="16">
        <v>116</v>
      </c>
      <c r="S42" s="40">
        <v>4.6858733490000004</v>
      </c>
      <c r="T42" s="40">
        <v>-74.05582192</v>
      </c>
      <c r="U42" s="22">
        <v>31821</v>
      </c>
      <c r="V42" s="22">
        <v>32327</v>
      </c>
      <c r="W42" s="25">
        <v>11430</v>
      </c>
      <c r="X42" s="24">
        <v>11487</v>
      </c>
      <c r="Y42" s="24">
        <v>363697</v>
      </c>
      <c r="Z42" s="24">
        <v>371350</v>
      </c>
      <c r="AA42" s="24">
        <v>44599</v>
      </c>
      <c r="AB42" s="24">
        <v>47536</v>
      </c>
      <c r="AC42" s="24">
        <v>138564</v>
      </c>
      <c r="AD42" s="24">
        <v>139915</v>
      </c>
      <c r="AE42" s="24">
        <v>24916</v>
      </c>
      <c r="AF42" s="24">
        <v>24553</v>
      </c>
      <c r="AG42" s="17">
        <v>0</v>
      </c>
      <c r="AH42" s="16" t="s">
        <v>58</v>
      </c>
      <c r="AI42" s="16" t="s">
        <v>49</v>
      </c>
      <c r="AJ42" s="16" t="s">
        <v>50</v>
      </c>
      <c r="AK42" s="16" t="s">
        <v>51</v>
      </c>
      <c r="AL42" s="25">
        <v>232000</v>
      </c>
      <c r="AM42" s="43">
        <f t="shared" si="3"/>
        <v>131.84463964440681</v>
      </c>
      <c r="AN42" s="16" t="s">
        <v>162</v>
      </c>
      <c r="AO42" s="16" t="s">
        <v>53</v>
      </c>
    </row>
    <row r="43" spans="1:41" ht="14.5" x14ac:dyDescent="0.35">
      <c r="A43" s="27" t="s">
        <v>253</v>
      </c>
      <c r="B43" s="16" t="s">
        <v>42</v>
      </c>
      <c r="C43" s="16" t="s">
        <v>43</v>
      </c>
      <c r="D43" s="16" t="s">
        <v>44</v>
      </c>
      <c r="E43" s="16" t="s">
        <v>254</v>
      </c>
      <c r="F43" s="16">
        <v>5</v>
      </c>
      <c r="G43" s="30" t="s">
        <v>255</v>
      </c>
      <c r="H43" s="16">
        <v>0</v>
      </c>
      <c r="I43" s="16" t="s">
        <v>47</v>
      </c>
      <c r="J43" s="16">
        <v>107</v>
      </c>
      <c r="K43" s="16">
        <v>798</v>
      </c>
      <c r="L43" s="16">
        <v>2110</v>
      </c>
      <c r="M43" s="8">
        <v>98</v>
      </c>
      <c r="N43" s="21">
        <v>44824</v>
      </c>
      <c r="O43" s="7">
        <f t="shared" si="0"/>
        <v>20</v>
      </c>
      <c r="P43" s="22">
        <f t="shared" si="1"/>
        <v>11</v>
      </c>
      <c r="Q43" s="22">
        <f t="shared" si="2"/>
        <v>30</v>
      </c>
      <c r="R43" s="16">
        <v>48</v>
      </c>
      <c r="S43" s="40">
        <v>4.6874146640000003</v>
      </c>
      <c r="T43" s="40">
        <v>-74.056677199999996</v>
      </c>
      <c r="U43" s="22">
        <v>11796</v>
      </c>
      <c r="V43" s="22">
        <v>11065.166670000001</v>
      </c>
      <c r="W43" s="25">
        <v>9905</v>
      </c>
      <c r="X43" s="24">
        <v>10366</v>
      </c>
      <c r="Y43" s="24">
        <v>116844</v>
      </c>
      <c r="Z43" s="24">
        <v>114703</v>
      </c>
      <c r="AA43" s="24">
        <v>3725</v>
      </c>
      <c r="AB43" s="24">
        <v>10</v>
      </c>
      <c r="AC43" s="24">
        <v>48413</v>
      </c>
      <c r="AD43" s="24">
        <v>47607</v>
      </c>
      <c r="AE43" s="24">
        <v>8201</v>
      </c>
      <c r="AF43" s="24">
        <v>7998</v>
      </c>
      <c r="AG43" s="17">
        <v>0</v>
      </c>
      <c r="AH43" s="16" t="s">
        <v>58</v>
      </c>
      <c r="AI43" s="16" t="s">
        <v>49</v>
      </c>
      <c r="AJ43" s="16" t="s">
        <v>50</v>
      </c>
      <c r="AK43" s="16" t="s">
        <v>51</v>
      </c>
      <c r="AL43" s="25">
        <v>232000</v>
      </c>
      <c r="AM43" s="43">
        <f t="shared" si="3"/>
        <v>76.644859813084111</v>
      </c>
      <c r="AN43" s="16" t="s">
        <v>52</v>
      </c>
      <c r="AO43" s="16" t="s">
        <v>60</v>
      </c>
    </row>
    <row r="44" spans="1:41" ht="14.5" x14ac:dyDescent="0.35">
      <c r="A44" s="27" t="s">
        <v>256</v>
      </c>
      <c r="B44" s="16" t="s">
        <v>42</v>
      </c>
      <c r="C44" s="16" t="s">
        <v>43</v>
      </c>
      <c r="D44" s="16" t="s">
        <v>44</v>
      </c>
      <c r="E44" s="16" t="s">
        <v>143</v>
      </c>
      <c r="F44" s="16">
        <v>3</v>
      </c>
      <c r="G44" s="30" t="s">
        <v>257</v>
      </c>
      <c r="H44" s="16">
        <v>0</v>
      </c>
      <c r="I44" s="16" t="s">
        <v>47</v>
      </c>
      <c r="J44" s="16">
        <v>98.93</v>
      </c>
      <c r="K44" s="16">
        <v>524</v>
      </c>
      <c r="L44" s="16">
        <v>1999</v>
      </c>
      <c r="M44" s="8">
        <v>0</v>
      </c>
      <c r="N44" s="21">
        <v>40171</v>
      </c>
      <c r="O44" s="7">
        <f t="shared" si="0"/>
        <v>24</v>
      </c>
      <c r="P44" s="22">
        <f t="shared" si="1"/>
        <v>8</v>
      </c>
      <c r="Q44" s="22">
        <f t="shared" si="2"/>
        <v>31</v>
      </c>
      <c r="R44" s="16">
        <v>116</v>
      </c>
      <c r="S44" s="40">
        <v>4.7138223679999998</v>
      </c>
      <c r="T44" s="40">
        <v>-74.053676100000004</v>
      </c>
      <c r="U44" s="22">
        <v>23974</v>
      </c>
      <c r="V44" s="22">
        <v>24843.666669999999</v>
      </c>
      <c r="W44" s="25">
        <v>9773</v>
      </c>
      <c r="X44" s="24">
        <v>9627</v>
      </c>
      <c r="Y44" s="24">
        <v>234303</v>
      </c>
      <c r="Z44" s="24">
        <v>239161</v>
      </c>
      <c r="AA44" s="24">
        <v>21097</v>
      </c>
      <c r="AB44" s="24">
        <v>17380</v>
      </c>
      <c r="AC44" s="24">
        <v>84377</v>
      </c>
      <c r="AD44" s="24">
        <v>85589</v>
      </c>
      <c r="AE44" s="24">
        <v>17464</v>
      </c>
      <c r="AF44" s="24">
        <v>17703</v>
      </c>
      <c r="AG44" s="17">
        <v>0</v>
      </c>
      <c r="AH44" s="16" t="s">
        <v>82</v>
      </c>
      <c r="AI44" s="16" t="s">
        <v>49</v>
      </c>
      <c r="AJ44" s="16" t="s">
        <v>124</v>
      </c>
      <c r="AK44" s="16" t="s">
        <v>51</v>
      </c>
      <c r="AL44" s="25">
        <v>204160</v>
      </c>
      <c r="AM44" s="43">
        <f t="shared" si="3"/>
        <v>176.52885878904274</v>
      </c>
      <c r="AN44" s="16" t="s">
        <v>258</v>
      </c>
      <c r="AO44" s="16" t="s">
        <v>53</v>
      </c>
    </row>
    <row r="45" spans="1:41" ht="14.5" x14ac:dyDescent="0.35">
      <c r="A45" s="27" t="s">
        <v>259</v>
      </c>
      <c r="B45" s="16" t="s">
        <v>42</v>
      </c>
      <c r="C45" s="16" t="s">
        <v>43</v>
      </c>
      <c r="D45" s="16" t="s">
        <v>44</v>
      </c>
      <c r="E45" s="16" t="s">
        <v>68</v>
      </c>
      <c r="F45" s="16">
        <v>5</v>
      </c>
      <c r="G45" s="30" t="s">
        <v>260</v>
      </c>
      <c r="H45" s="16">
        <v>0</v>
      </c>
      <c r="I45" s="16" t="s">
        <v>102</v>
      </c>
      <c r="J45" s="16">
        <v>103.56</v>
      </c>
      <c r="K45" s="16">
        <v>1180</v>
      </c>
      <c r="L45" s="16">
        <v>4100</v>
      </c>
      <c r="M45" s="8">
        <v>98</v>
      </c>
      <c r="N45" s="21">
        <v>45520</v>
      </c>
      <c r="O45" s="7">
        <f t="shared" si="0"/>
        <v>16</v>
      </c>
      <c r="P45" s="22">
        <f t="shared" si="1"/>
        <v>16</v>
      </c>
      <c r="Q45" s="22">
        <f t="shared" si="2"/>
        <v>31</v>
      </c>
      <c r="R45" s="16">
        <v>25</v>
      </c>
      <c r="S45" s="40">
        <v>4.685802915</v>
      </c>
      <c r="T45" s="40">
        <v>-74.056911979999995</v>
      </c>
      <c r="U45" s="22">
        <v>30705</v>
      </c>
      <c r="V45" s="22">
        <v>31124.333330000001</v>
      </c>
      <c r="W45" s="25">
        <v>10668</v>
      </c>
      <c r="X45" s="24">
        <v>9955</v>
      </c>
      <c r="Y45" s="24">
        <v>327564</v>
      </c>
      <c r="Z45" s="24">
        <v>309837</v>
      </c>
      <c r="AA45" s="24">
        <v>43047</v>
      </c>
      <c r="AB45" s="24">
        <v>43881</v>
      </c>
      <c r="AC45" s="24">
        <v>127828</v>
      </c>
      <c r="AD45" s="24">
        <v>122233</v>
      </c>
      <c r="AE45" s="24">
        <v>16584</v>
      </c>
      <c r="AF45" s="24">
        <v>16160</v>
      </c>
      <c r="AG45" s="17">
        <v>0</v>
      </c>
      <c r="AH45" s="16" t="s">
        <v>64</v>
      </c>
      <c r="AI45" s="16" t="s">
        <v>49</v>
      </c>
      <c r="AJ45" s="16" t="s">
        <v>50</v>
      </c>
      <c r="AK45" s="16" t="s">
        <v>51</v>
      </c>
      <c r="AL45" s="25">
        <v>232000</v>
      </c>
      <c r="AM45" s="43">
        <f t="shared" si="3"/>
        <v>160.13904982618772</v>
      </c>
      <c r="AN45" s="16" t="s">
        <v>261</v>
      </c>
      <c r="AO45" s="16" t="s">
        <v>60</v>
      </c>
    </row>
    <row r="46" spans="1:41" ht="14.5" x14ac:dyDescent="0.35">
      <c r="A46" s="27" t="s">
        <v>262</v>
      </c>
      <c r="B46" s="16" t="s">
        <v>105</v>
      </c>
      <c r="C46" s="16" t="s">
        <v>157</v>
      </c>
      <c r="D46" s="16" t="s">
        <v>158</v>
      </c>
      <c r="E46" s="16" t="s">
        <v>263</v>
      </c>
      <c r="F46" s="16">
        <v>2</v>
      </c>
      <c r="G46" s="30" t="s">
        <v>264</v>
      </c>
      <c r="H46" s="16" t="s">
        <v>265</v>
      </c>
      <c r="I46" s="16" t="s">
        <v>47</v>
      </c>
      <c r="J46" s="16">
        <v>120.46</v>
      </c>
      <c r="K46" s="16">
        <v>2399</v>
      </c>
      <c r="L46" s="16">
        <v>345</v>
      </c>
      <c r="M46" s="8">
        <v>124</v>
      </c>
      <c r="N46" s="21">
        <v>46172</v>
      </c>
      <c r="O46" s="7">
        <f t="shared" si="0"/>
        <v>30</v>
      </c>
      <c r="P46" s="22">
        <f t="shared" si="1"/>
        <v>2</v>
      </c>
      <c r="Q46" s="22">
        <f t="shared" si="2"/>
        <v>31</v>
      </c>
      <c r="R46" s="16">
        <v>4</v>
      </c>
      <c r="S46" s="40">
        <v>6.2451319380000001</v>
      </c>
      <c r="T46" s="40">
        <v>-75.583769059999995</v>
      </c>
      <c r="U46" s="22">
        <v>13175</v>
      </c>
      <c r="V46" s="22">
        <v>8747.25</v>
      </c>
      <c r="W46" s="25">
        <v>14213</v>
      </c>
      <c r="X46" s="24">
        <v>14226</v>
      </c>
      <c r="Y46" s="24">
        <v>187250</v>
      </c>
      <c r="Z46" s="24">
        <v>124440</v>
      </c>
      <c r="AA46" s="24">
        <v>-7020</v>
      </c>
      <c r="AB46" s="24">
        <v>-221</v>
      </c>
      <c r="AC46" s="24">
        <v>69787</v>
      </c>
      <c r="AD46" s="24">
        <v>47443</v>
      </c>
      <c r="AE46" s="24">
        <v>29900</v>
      </c>
      <c r="AF46" s="24">
        <v>9780</v>
      </c>
      <c r="AG46" s="17">
        <v>1.9365000000000001</v>
      </c>
      <c r="AH46" s="16" t="s">
        <v>58</v>
      </c>
      <c r="AI46" s="16" t="s">
        <v>49</v>
      </c>
      <c r="AJ46" s="16" t="s">
        <v>50</v>
      </c>
      <c r="AK46" s="16" t="s">
        <v>65</v>
      </c>
      <c r="AL46" s="25">
        <v>204160</v>
      </c>
      <c r="AM46" s="43">
        <f t="shared" si="3"/>
        <v>248.21517516187947</v>
      </c>
      <c r="AN46" s="16" t="s">
        <v>266</v>
      </c>
      <c r="AO46" s="16" t="s">
        <v>53</v>
      </c>
    </row>
    <row r="47" spans="1:41" ht="14.5" x14ac:dyDescent="0.35">
      <c r="A47" s="27" t="s">
        <v>267</v>
      </c>
      <c r="B47" s="16" t="s">
        <v>105</v>
      </c>
      <c r="C47" s="16" t="s">
        <v>112</v>
      </c>
      <c r="D47" s="16" t="s">
        <v>113</v>
      </c>
      <c r="E47" s="16" t="s">
        <v>268</v>
      </c>
      <c r="F47" s="16">
        <v>4</v>
      </c>
      <c r="G47" s="30" t="s">
        <v>269</v>
      </c>
      <c r="H47" s="16">
        <v>0</v>
      </c>
      <c r="I47" s="16" t="s">
        <v>47</v>
      </c>
      <c r="J47" s="16">
        <v>83.51</v>
      </c>
      <c r="K47" s="16">
        <v>651</v>
      </c>
      <c r="L47" s="16">
        <v>1051</v>
      </c>
      <c r="M47" s="8">
        <v>187</v>
      </c>
      <c r="N47" s="21">
        <v>45322</v>
      </c>
      <c r="O47" s="7">
        <f t="shared" si="0"/>
        <v>31</v>
      </c>
      <c r="P47" s="22">
        <f t="shared" si="1"/>
        <v>1</v>
      </c>
      <c r="Q47" s="22">
        <f t="shared" si="2"/>
        <v>31</v>
      </c>
      <c r="R47" s="16">
        <v>32</v>
      </c>
      <c r="S47" s="40">
        <v>3.4521369580000001</v>
      </c>
      <c r="T47" s="40">
        <v>-76.536845560000003</v>
      </c>
      <c r="U47" s="22">
        <v>16530</v>
      </c>
      <c r="V47" s="22">
        <v>17163.5</v>
      </c>
      <c r="W47" s="25">
        <v>14700</v>
      </c>
      <c r="X47" s="24">
        <v>14399</v>
      </c>
      <c r="Y47" s="24">
        <v>242992</v>
      </c>
      <c r="Z47" s="24">
        <v>247139</v>
      </c>
      <c r="AA47" s="24">
        <v>18990</v>
      </c>
      <c r="AB47" s="24">
        <v>22463</v>
      </c>
      <c r="AC47" s="24">
        <v>90160</v>
      </c>
      <c r="AD47" s="24">
        <v>87761</v>
      </c>
      <c r="AE47" s="24">
        <v>10921</v>
      </c>
      <c r="AF47" s="24">
        <v>11032</v>
      </c>
      <c r="AG47" s="17">
        <v>0</v>
      </c>
      <c r="AH47" s="16" t="s">
        <v>58</v>
      </c>
      <c r="AI47" s="16" t="s">
        <v>49</v>
      </c>
      <c r="AJ47" s="16" t="s">
        <v>50</v>
      </c>
      <c r="AK47" s="16" t="s">
        <v>51</v>
      </c>
      <c r="AL47" s="25">
        <v>232000</v>
      </c>
      <c r="AM47" s="43">
        <f t="shared" si="3"/>
        <v>130.77475751407016</v>
      </c>
      <c r="AN47" s="16" t="s">
        <v>270</v>
      </c>
      <c r="AO47" s="16" t="s">
        <v>60</v>
      </c>
    </row>
    <row r="48" spans="1:41" ht="14.5" x14ac:dyDescent="0.35">
      <c r="A48" s="27" t="s">
        <v>271</v>
      </c>
      <c r="B48" s="16" t="s">
        <v>42</v>
      </c>
      <c r="C48" s="16" t="s">
        <v>43</v>
      </c>
      <c r="D48" s="16" t="s">
        <v>44</v>
      </c>
      <c r="E48" s="16" t="s">
        <v>272</v>
      </c>
      <c r="F48" s="16">
        <v>3</v>
      </c>
      <c r="G48" s="30" t="s">
        <v>273</v>
      </c>
      <c r="H48" s="16">
        <v>0</v>
      </c>
      <c r="I48" s="16" t="s">
        <v>47</v>
      </c>
      <c r="J48" s="16">
        <v>110.35</v>
      </c>
      <c r="K48" s="16">
        <v>950</v>
      </c>
      <c r="L48" s="16">
        <v>1600</v>
      </c>
      <c r="M48" s="8">
        <v>78</v>
      </c>
      <c r="N48" s="21">
        <v>45322</v>
      </c>
      <c r="O48" s="7">
        <f t="shared" si="0"/>
        <v>31</v>
      </c>
      <c r="P48" s="22">
        <f t="shared" si="1"/>
        <v>1</v>
      </c>
      <c r="Q48" s="22">
        <f t="shared" si="2"/>
        <v>31</v>
      </c>
      <c r="R48" s="16">
        <v>32</v>
      </c>
      <c r="S48" s="40">
        <v>4.6926339779999999</v>
      </c>
      <c r="T48" s="40">
        <v>-74.077258389999997</v>
      </c>
      <c r="U48" s="22">
        <v>16303</v>
      </c>
      <c r="V48" s="22">
        <v>16354.333329999999</v>
      </c>
      <c r="W48" s="25">
        <v>11962</v>
      </c>
      <c r="X48" s="24">
        <v>12603</v>
      </c>
      <c r="Y48" s="24">
        <v>195018</v>
      </c>
      <c r="Z48" s="24">
        <v>206119</v>
      </c>
      <c r="AA48" s="24">
        <v>16489</v>
      </c>
      <c r="AB48" s="24">
        <v>16911</v>
      </c>
      <c r="AC48" s="24">
        <v>71292</v>
      </c>
      <c r="AD48" s="24">
        <v>72829</v>
      </c>
      <c r="AE48" s="24">
        <v>10796</v>
      </c>
      <c r="AF48" s="24">
        <v>10906</v>
      </c>
      <c r="AG48" s="17">
        <v>0</v>
      </c>
      <c r="AH48" s="16" t="s">
        <v>48</v>
      </c>
      <c r="AI48" s="16" t="s">
        <v>49</v>
      </c>
      <c r="AJ48" s="16" t="s">
        <v>76</v>
      </c>
      <c r="AK48" s="16" t="s">
        <v>51</v>
      </c>
      <c r="AL48" s="25">
        <v>241405</v>
      </c>
      <c r="AM48" s="43">
        <f t="shared" si="3"/>
        <v>97.834164023561399</v>
      </c>
      <c r="AN48" s="16" t="s">
        <v>274</v>
      </c>
      <c r="AO48" s="16" t="s">
        <v>60</v>
      </c>
    </row>
    <row r="49" spans="1:41" ht="14.5" x14ac:dyDescent="0.35">
      <c r="A49" s="27" t="s">
        <v>275</v>
      </c>
      <c r="B49" s="16" t="s">
        <v>105</v>
      </c>
      <c r="C49" s="16" t="s">
        <v>170</v>
      </c>
      <c r="D49" s="16" t="s">
        <v>171</v>
      </c>
      <c r="E49" s="16" t="s">
        <v>276</v>
      </c>
      <c r="F49" s="16">
        <v>6</v>
      </c>
      <c r="G49" s="30" t="s">
        <v>277</v>
      </c>
      <c r="H49" s="16" t="s">
        <v>278</v>
      </c>
      <c r="I49" s="16" t="s">
        <v>47</v>
      </c>
      <c r="J49" s="16">
        <v>128.83000000000001</v>
      </c>
      <c r="K49" s="16">
        <v>3330</v>
      </c>
      <c r="L49" s="16">
        <v>773</v>
      </c>
      <c r="M49" s="8">
        <v>46</v>
      </c>
      <c r="N49" s="21">
        <v>45747</v>
      </c>
      <c r="O49" s="7">
        <f t="shared" si="0"/>
        <v>31</v>
      </c>
      <c r="P49" s="22">
        <f t="shared" si="1"/>
        <v>1</v>
      </c>
      <c r="Q49" s="22">
        <f t="shared" si="2"/>
        <v>31</v>
      </c>
      <c r="R49" s="16">
        <v>18</v>
      </c>
      <c r="S49" s="40">
        <v>5.0521409930000001</v>
      </c>
      <c r="T49" s="40">
        <v>-75.487963620000002</v>
      </c>
      <c r="U49" s="22">
        <v>9237</v>
      </c>
      <c r="V49" s="22">
        <v>12990.666670000001</v>
      </c>
      <c r="W49" s="25">
        <v>13463</v>
      </c>
      <c r="X49" s="24">
        <v>13097</v>
      </c>
      <c r="Y49" s="24">
        <v>124357</v>
      </c>
      <c r="Z49" s="24">
        <v>170139</v>
      </c>
      <c r="AA49" s="24">
        <v>-39076</v>
      </c>
      <c r="AB49" s="24">
        <v>5689</v>
      </c>
      <c r="AC49" s="24">
        <v>48140</v>
      </c>
      <c r="AD49" s="24">
        <v>65115</v>
      </c>
      <c r="AE49" s="24">
        <v>10300</v>
      </c>
      <c r="AF49" s="24">
        <v>10405</v>
      </c>
      <c r="AG49" s="17">
        <v>1.1523000000000001</v>
      </c>
      <c r="AH49" s="16" t="s">
        <v>82</v>
      </c>
      <c r="AI49" s="16" t="s">
        <v>49</v>
      </c>
      <c r="AJ49" s="16" t="s">
        <v>124</v>
      </c>
      <c r="AK49" s="16" t="s">
        <v>51</v>
      </c>
      <c r="AL49" s="25">
        <v>204160</v>
      </c>
      <c r="AM49" s="43">
        <f t="shared" si="3"/>
        <v>79.950322129938669</v>
      </c>
      <c r="AN49" s="16" t="s">
        <v>279</v>
      </c>
      <c r="AO49" s="16" t="s">
        <v>60</v>
      </c>
    </row>
    <row r="50" spans="1:41" ht="14.5" x14ac:dyDescent="0.35">
      <c r="A50" s="27" t="s">
        <v>280</v>
      </c>
      <c r="B50" s="16" t="s">
        <v>42</v>
      </c>
      <c r="C50" s="16" t="s">
        <v>93</v>
      </c>
      <c r="D50" s="16" t="s">
        <v>281</v>
      </c>
      <c r="E50" s="16" t="s">
        <v>282</v>
      </c>
      <c r="F50" s="16">
        <v>3</v>
      </c>
      <c r="G50" s="30" t="s">
        <v>283</v>
      </c>
      <c r="H50" s="16">
        <v>0</v>
      </c>
      <c r="I50" s="16" t="s">
        <v>47</v>
      </c>
      <c r="J50" s="16">
        <v>133.72</v>
      </c>
      <c r="K50" s="16">
        <v>189</v>
      </c>
      <c r="L50" s="16">
        <v>696</v>
      </c>
      <c r="M50" s="8">
        <v>0</v>
      </c>
      <c r="N50" s="21">
        <v>44688</v>
      </c>
      <c r="O50" s="7">
        <f t="shared" si="0"/>
        <v>7</v>
      </c>
      <c r="P50" s="22">
        <f t="shared" si="1"/>
        <v>25</v>
      </c>
      <c r="Q50" s="22">
        <f t="shared" si="2"/>
        <v>31</v>
      </c>
      <c r="R50" s="16">
        <v>52</v>
      </c>
      <c r="S50" s="40">
        <v>4.8624681589999996</v>
      </c>
      <c r="T50" s="40">
        <v>-74.057385199999999</v>
      </c>
      <c r="U50" s="22">
        <v>17874</v>
      </c>
      <c r="V50" s="22">
        <v>18629.5</v>
      </c>
      <c r="W50" s="25">
        <v>13194</v>
      </c>
      <c r="X50" s="24">
        <v>13260</v>
      </c>
      <c r="Y50" s="24">
        <v>235823</v>
      </c>
      <c r="Z50" s="24">
        <v>247026</v>
      </c>
      <c r="AA50" s="24">
        <v>13809</v>
      </c>
      <c r="AB50" s="24">
        <v>18066</v>
      </c>
      <c r="AC50" s="24">
        <v>80768</v>
      </c>
      <c r="AD50" s="24">
        <v>85485</v>
      </c>
      <c r="AE50" s="24">
        <v>12301</v>
      </c>
      <c r="AF50" s="24">
        <v>12345</v>
      </c>
      <c r="AG50" s="17">
        <v>0</v>
      </c>
      <c r="AH50" s="16" t="s">
        <v>58</v>
      </c>
      <c r="AI50" s="16" t="s">
        <v>49</v>
      </c>
      <c r="AJ50" s="16" t="s">
        <v>50</v>
      </c>
      <c r="AK50" s="16" t="s">
        <v>51</v>
      </c>
      <c r="AL50" s="25">
        <v>232000</v>
      </c>
      <c r="AM50" s="43">
        <f t="shared" si="3"/>
        <v>91.990726892013157</v>
      </c>
      <c r="AN50" s="16" t="s">
        <v>284</v>
      </c>
      <c r="AO50" s="16" t="s">
        <v>60</v>
      </c>
    </row>
    <row r="51" spans="1:41" ht="14.5" x14ac:dyDescent="0.35">
      <c r="A51" s="27" t="s">
        <v>285</v>
      </c>
      <c r="B51" s="16" t="s">
        <v>55</v>
      </c>
      <c r="C51" s="16" t="s">
        <v>43</v>
      </c>
      <c r="D51" s="16" t="s">
        <v>44</v>
      </c>
      <c r="E51" s="16" t="s">
        <v>286</v>
      </c>
      <c r="F51" s="16">
        <v>3</v>
      </c>
      <c r="G51" s="30" t="s">
        <v>287</v>
      </c>
      <c r="H51" s="16">
        <v>0</v>
      </c>
      <c r="I51" s="16" t="s">
        <v>102</v>
      </c>
      <c r="J51" s="16">
        <v>114.76</v>
      </c>
      <c r="K51" s="16">
        <v>1529</v>
      </c>
      <c r="L51" s="16">
        <v>300</v>
      </c>
      <c r="M51" s="8">
        <v>71</v>
      </c>
      <c r="N51" s="21">
        <v>45260</v>
      </c>
      <c r="O51" s="7">
        <f t="shared" si="0"/>
        <v>30</v>
      </c>
      <c r="P51" s="22">
        <f t="shared" si="1"/>
        <v>1</v>
      </c>
      <c r="Q51" s="22">
        <f t="shared" si="2"/>
        <v>30</v>
      </c>
      <c r="R51" s="16">
        <v>34</v>
      </c>
      <c r="S51" s="40">
        <v>4.6080050000000004</v>
      </c>
      <c r="T51" s="40">
        <v>-74.146589000000006</v>
      </c>
      <c r="U51" s="22">
        <v>13640</v>
      </c>
      <c r="V51" s="22">
        <v>13610.333329999999</v>
      </c>
      <c r="W51" s="25">
        <v>14039</v>
      </c>
      <c r="X51" s="24">
        <v>15322</v>
      </c>
      <c r="Y51" s="24">
        <v>191485</v>
      </c>
      <c r="Z51" s="24">
        <v>208535</v>
      </c>
      <c r="AA51" s="24">
        <v>8285</v>
      </c>
      <c r="AB51" s="24">
        <v>13195</v>
      </c>
      <c r="AC51" s="24">
        <v>60140</v>
      </c>
      <c r="AD51" s="24">
        <v>64853</v>
      </c>
      <c r="AE51" s="24">
        <v>6898</v>
      </c>
      <c r="AF51" s="24">
        <v>6975</v>
      </c>
      <c r="AG51" s="17">
        <v>0</v>
      </c>
      <c r="AH51" s="16" t="s">
        <v>58</v>
      </c>
      <c r="AI51" s="16" t="s">
        <v>49</v>
      </c>
      <c r="AJ51" s="16" t="s">
        <v>50</v>
      </c>
      <c r="AK51" s="16" t="s">
        <v>51</v>
      </c>
      <c r="AL51" s="25">
        <v>232000</v>
      </c>
      <c r="AM51" s="43">
        <f t="shared" si="3"/>
        <v>60.108051585918439</v>
      </c>
      <c r="AN51" s="16" t="s">
        <v>91</v>
      </c>
      <c r="AO51" s="16" t="s">
        <v>60</v>
      </c>
    </row>
    <row r="52" spans="1:41" ht="14.5" x14ac:dyDescent="0.35">
      <c r="A52" s="27" t="s">
        <v>288</v>
      </c>
      <c r="B52" s="16" t="s">
        <v>105</v>
      </c>
      <c r="C52" s="16" t="s">
        <v>112</v>
      </c>
      <c r="D52" s="16" t="s">
        <v>113</v>
      </c>
      <c r="E52" s="16" t="s">
        <v>114</v>
      </c>
      <c r="F52" s="16">
        <v>4</v>
      </c>
      <c r="G52" s="30" t="s">
        <v>289</v>
      </c>
      <c r="H52" s="16">
        <v>0</v>
      </c>
      <c r="I52" s="16" t="s">
        <v>47</v>
      </c>
      <c r="J52" s="16">
        <v>118.14</v>
      </c>
      <c r="K52" s="16">
        <v>582</v>
      </c>
      <c r="L52" s="16">
        <v>1800</v>
      </c>
      <c r="M52" s="8">
        <v>42</v>
      </c>
      <c r="N52" s="21">
        <v>45259</v>
      </c>
      <c r="O52" s="7">
        <f t="shared" si="0"/>
        <v>29</v>
      </c>
      <c r="P52" s="22">
        <f t="shared" si="1"/>
        <v>2</v>
      </c>
      <c r="Q52" s="22">
        <f t="shared" si="2"/>
        <v>30</v>
      </c>
      <c r="R52" s="16">
        <v>34</v>
      </c>
      <c r="S52" s="40">
        <v>3.4250720000000001</v>
      </c>
      <c r="T52" s="40">
        <v>-76.540296999999995</v>
      </c>
      <c r="U52" s="22">
        <v>10935</v>
      </c>
      <c r="V52" s="22">
        <v>12507.166670000001</v>
      </c>
      <c r="W52" s="25">
        <v>11557</v>
      </c>
      <c r="X52" s="24">
        <v>12297</v>
      </c>
      <c r="Y52" s="24">
        <v>126376</v>
      </c>
      <c r="Z52" s="24">
        <v>153804</v>
      </c>
      <c r="AA52" s="24">
        <v>-40185</v>
      </c>
      <c r="AB52" s="24">
        <v>-4970</v>
      </c>
      <c r="AC52" s="24">
        <v>42050</v>
      </c>
      <c r="AD52" s="24">
        <v>56263</v>
      </c>
      <c r="AE52" s="24">
        <v>8047</v>
      </c>
      <c r="AF52" s="24">
        <v>8134</v>
      </c>
      <c r="AG52" s="17">
        <v>0</v>
      </c>
      <c r="AH52" s="16" t="s">
        <v>48</v>
      </c>
      <c r="AI52" s="16" t="s">
        <v>49</v>
      </c>
      <c r="AJ52" s="16" t="s">
        <v>76</v>
      </c>
      <c r="AK52" s="16" t="s">
        <v>51</v>
      </c>
      <c r="AL52" s="25">
        <v>241405</v>
      </c>
      <c r="AM52" s="43">
        <f t="shared" si="3"/>
        <v>68.114101912984594</v>
      </c>
      <c r="AN52" s="16" t="s">
        <v>52</v>
      </c>
      <c r="AO52" s="16" t="s">
        <v>60</v>
      </c>
    </row>
    <row r="53" spans="1:41" ht="14.5" x14ac:dyDescent="0.35">
      <c r="A53" s="27" t="s">
        <v>290</v>
      </c>
      <c r="B53" s="16" t="s">
        <v>105</v>
      </c>
      <c r="C53" s="16" t="s">
        <v>106</v>
      </c>
      <c r="D53" s="16" t="s">
        <v>107</v>
      </c>
      <c r="E53" s="16" t="s">
        <v>291</v>
      </c>
      <c r="F53" s="16">
        <v>4</v>
      </c>
      <c r="G53" s="30" t="s">
        <v>292</v>
      </c>
      <c r="H53" s="16">
        <v>0</v>
      </c>
      <c r="I53" s="16" t="s">
        <v>47</v>
      </c>
      <c r="J53" s="16">
        <v>128</v>
      </c>
      <c r="K53" s="16">
        <v>1124</v>
      </c>
      <c r="L53" s="16">
        <v>828</v>
      </c>
      <c r="M53" s="8">
        <v>52</v>
      </c>
      <c r="N53" s="21">
        <v>45220</v>
      </c>
      <c r="O53" s="7">
        <f t="shared" si="0"/>
        <v>21</v>
      </c>
      <c r="P53" s="22">
        <f t="shared" si="1"/>
        <v>11</v>
      </c>
      <c r="Q53" s="22">
        <f t="shared" si="2"/>
        <v>31</v>
      </c>
      <c r="R53" s="16">
        <v>35</v>
      </c>
      <c r="S53" s="40">
        <v>4.8255751120000001</v>
      </c>
      <c r="T53" s="40">
        <v>-75.68049293</v>
      </c>
      <c r="U53" s="22">
        <v>16259</v>
      </c>
      <c r="V53" s="22">
        <v>15878.5</v>
      </c>
      <c r="W53" s="25">
        <v>14320</v>
      </c>
      <c r="X53" s="24">
        <v>13401</v>
      </c>
      <c r="Y53" s="24">
        <v>232827</v>
      </c>
      <c r="Z53" s="24">
        <v>212786</v>
      </c>
      <c r="AA53" s="24">
        <v>13936</v>
      </c>
      <c r="AB53" s="24">
        <v>17170</v>
      </c>
      <c r="AC53" s="24">
        <v>88094</v>
      </c>
      <c r="AD53" s="24">
        <v>79282</v>
      </c>
      <c r="AE53" s="24">
        <v>7473</v>
      </c>
      <c r="AF53" s="24">
        <v>7554</v>
      </c>
      <c r="AG53" s="17">
        <v>0</v>
      </c>
      <c r="AH53" s="16" t="s">
        <v>58</v>
      </c>
      <c r="AI53" s="16" t="s">
        <v>49</v>
      </c>
      <c r="AJ53" s="16" t="s">
        <v>50</v>
      </c>
      <c r="AK53" s="16" t="s">
        <v>51</v>
      </c>
      <c r="AL53" s="25">
        <v>232000</v>
      </c>
      <c r="AM53" s="43">
        <f t="shared" si="3"/>
        <v>58.3828125</v>
      </c>
      <c r="AN53" s="16" t="s">
        <v>293</v>
      </c>
      <c r="AO53" s="16" t="s">
        <v>60</v>
      </c>
    </row>
    <row r="54" spans="1:41" ht="14.5" x14ac:dyDescent="0.35">
      <c r="A54" s="27" t="s">
        <v>294</v>
      </c>
      <c r="B54" s="16" t="s">
        <v>105</v>
      </c>
      <c r="C54" s="16" t="s">
        <v>112</v>
      </c>
      <c r="D54" s="16" t="s">
        <v>113</v>
      </c>
      <c r="E54" s="16" t="s">
        <v>268</v>
      </c>
      <c r="F54" s="16">
        <v>4</v>
      </c>
      <c r="G54" s="30" t="s">
        <v>295</v>
      </c>
      <c r="H54" s="16">
        <v>0</v>
      </c>
      <c r="I54" s="16" t="s">
        <v>47</v>
      </c>
      <c r="J54" s="16">
        <v>158.06</v>
      </c>
      <c r="K54" s="16">
        <v>512</v>
      </c>
      <c r="L54" s="16">
        <v>1400</v>
      </c>
      <c r="M54" s="8">
        <v>93</v>
      </c>
      <c r="N54" s="21">
        <v>45198</v>
      </c>
      <c r="O54" s="7">
        <f t="shared" si="0"/>
        <v>29</v>
      </c>
      <c r="P54" s="22">
        <f t="shared" si="1"/>
        <v>2</v>
      </c>
      <c r="Q54" s="22">
        <f t="shared" si="2"/>
        <v>30</v>
      </c>
      <c r="R54" s="16">
        <v>36</v>
      </c>
      <c r="S54" s="40">
        <v>3.4714683200000001</v>
      </c>
      <c r="T54" s="40">
        <v>-76.526850929999995</v>
      </c>
      <c r="U54" s="22">
        <v>17819</v>
      </c>
      <c r="V54" s="22">
        <v>17384.166669999999</v>
      </c>
      <c r="W54" s="25">
        <v>12404</v>
      </c>
      <c r="X54" s="24">
        <v>12648</v>
      </c>
      <c r="Y54" s="24">
        <v>221032</v>
      </c>
      <c r="Z54" s="24">
        <v>219880</v>
      </c>
      <c r="AA54" s="24">
        <v>6327</v>
      </c>
      <c r="AB54" s="24">
        <v>11805</v>
      </c>
      <c r="AC54" s="24">
        <v>81892</v>
      </c>
      <c r="AD54" s="24">
        <v>80015</v>
      </c>
      <c r="AE54" s="24">
        <v>11672</v>
      </c>
      <c r="AF54" s="24">
        <v>11641</v>
      </c>
      <c r="AG54" s="17">
        <v>0</v>
      </c>
      <c r="AH54" s="16" t="s">
        <v>58</v>
      </c>
      <c r="AI54" s="16" t="s">
        <v>49</v>
      </c>
      <c r="AJ54" s="16" t="s">
        <v>50</v>
      </c>
      <c r="AK54" s="16" t="s">
        <v>51</v>
      </c>
      <c r="AL54" s="25">
        <v>241405</v>
      </c>
      <c r="AM54" s="43">
        <f t="shared" si="3"/>
        <v>73.845375173984564</v>
      </c>
      <c r="AN54" s="16" t="s">
        <v>296</v>
      </c>
      <c r="AO54" s="16" t="s">
        <v>60</v>
      </c>
    </row>
    <row r="55" spans="1:41" ht="14.5" x14ac:dyDescent="0.35">
      <c r="A55" s="27" t="s">
        <v>297</v>
      </c>
      <c r="B55" s="16" t="s">
        <v>105</v>
      </c>
      <c r="C55" s="16" t="s">
        <v>106</v>
      </c>
      <c r="D55" s="16" t="s">
        <v>298</v>
      </c>
      <c r="E55" s="16" t="s">
        <v>299</v>
      </c>
      <c r="F55" s="16">
        <v>4</v>
      </c>
      <c r="G55" s="30" t="s">
        <v>300</v>
      </c>
      <c r="H55" s="16">
        <v>0</v>
      </c>
      <c r="I55" s="16" t="s">
        <v>47</v>
      </c>
      <c r="J55" s="16">
        <v>93</v>
      </c>
      <c r="K55" s="16">
        <v>1006</v>
      </c>
      <c r="L55" s="16">
        <v>120</v>
      </c>
      <c r="M55" s="8">
        <v>60</v>
      </c>
      <c r="N55" s="21">
        <v>45138</v>
      </c>
      <c r="O55" s="7">
        <f t="shared" si="0"/>
        <v>31</v>
      </c>
      <c r="P55" s="22">
        <f t="shared" si="1"/>
        <v>1</v>
      </c>
      <c r="Q55" s="22">
        <f t="shared" si="2"/>
        <v>31</v>
      </c>
      <c r="R55" s="16">
        <v>38</v>
      </c>
      <c r="S55" s="40">
        <v>4.8081760249999999</v>
      </c>
      <c r="T55" s="40">
        <v>-75.710187480000002</v>
      </c>
      <c r="U55" s="22">
        <v>16417</v>
      </c>
      <c r="V55" s="22">
        <v>14685.5</v>
      </c>
      <c r="W55" s="25">
        <v>16444</v>
      </c>
      <c r="X55" s="24">
        <v>15579</v>
      </c>
      <c r="Y55" s="24">
        <v>269956</v>
      </c>
      <c r="Z55" s="24">
        <v>228791</v>
      </c>
      <c r="AA55" s="24">
        <v>25465</v>
      </c>
      <c r="AB55" s="24">
        <v>18022</v>
      </c>
      <c r="AC55" s="24">
        <v>98822</v>
      </c>
      <c r="AD55" s="24">
        <v>81211</v>
      </c>
      <c r="AE55" s="24">
        <v>7854</v>
      </c>
      <c r="AF55" s="24">
        <v>7692</v>
      </c>
      <c r="AG55" s="17">
        <v>0</v>
      </c>
      <c r="AH55" s="16" t="s">
        <v>58</v>
      </c>
      <c r="AI55" s="16" t="s">
        <v>49</v>
      </c>
      <c r="AJ55" s="16" t="s">
        <v>50</v>
      </c>
      <c r="AK55" s="16" t="s">
        <v>51</v>
      </c>
      <c r="AL55" s="25">
        <v>232000</v>
      </c>
      <c r="AM55" s="43">
        <f t="shared" si="3"/>
        <v>84.451612903225808</v>
      </c>
      <c r="AN55" s="16" t="s">
        <v>301</v>
      </c>
      <c r="AO55" s="16" t="s">
        <v>53</v>
      </c>
    </row>
    <row r="56" spans="1:41" ht="14.5" x14ac:dyDescent="0.35">
      <c r="A56" s="27" t="s">
        <v>302</v>
      </c>
      <c r="B56" s="16" t="s">
        <v>105</v>
      </c>
      <c r="C56" s="16" t="s">
        <v>157</v>
      </c>
      <c r="D56" s="16" t="s">
        <v>303</v>
      </c>
      <c r="E56" s="16" t="s">
        <v>304</v>
      </c>
      <c r="F56" s="16">
        <v>4</v>
      </c>
      <c r="G56" s="30" t="s">
        <v>305</v>
      </c>
      <c r="H56" s="16" t="s">
        <v>306</v>
      </c>
      <c r="I56" s="16" t="s">
        <v>47</v>
      </c>
      <c r="J56" s="16">
        <v>144.55000000000001</v>
      </c>
      <c r="K56" s="16">
        <v>3989</v>
      </c>
      <c r="L56" s="16">
        <v>260</v>
      </c>
      <c r="M56" s="8">
        <v>80</v>
      </c>
      <c r="N56" s="21">
        <v>45535</v>
      </c>
      <c r="O56" s="7">
        <f t="shared" si="0"/>
        <v>31</v>
      </c>
      <c r="P56" s="22">
        <f t="shared" si="1"/>
        <v>1</v>
      </c>
      <c r="Q56" s="22">
        <f t="shared" si="2"/>
        <v>31</v>
      </c>
      <c r="R56" s="16">
        <v>25</v>
      </c>
      <c r="S56" s="40">
        <v>6.1474794309999998</v>
      </c>
      <c r="T56" s="40">
        <v>-75.616317469999998</v>
      </c>
      <c r="U56" s="22">
        <v>16157</v>
      </c>
      <c r="V56" s="22">
        <v>15650.5</v>
      </c>
      <c r="W56" s="25">
        <v>13543</v>
      </c>
      <c r="X56" s="24">
        <v>13700</v>
      </c>
      <c r="Y56" s="24">
        <v>218810</v>
      </c>
      <c r="Z56" s="28">
        <v>214418</v>
      </c>
      <c r="AA56" s="24">
        <v>7450</v>
      </c>
      <c r="AB56" s="24">
        <v>9066</v>
      </c>
      <c r="AC56" s="24">
        <v>83142</v>
      </c>
      <c r="AD56" s="24">
        <v>80493</v>
      </c>
      <c r="AE56" s="24">
        <v>13042</v>
      </c>
      <c r="AF56" s="24">
        <v>12655</v>
      </c>
      <c r="AG56" s="17">
        <v>0</v>
      </c>
      <c r="AH56" s="16" t="s">
        <v>58</v>
      </c>
      <c r="AI56" s="16" t="s">
        <v>49</v>
      </c>
      <c r="AJ56" s="16" t="s">
        <v>50</v>
      </c>
      <c r="AK56" s="16" t="s">
        <v>51</v>
      </c>
      <c r="AL56" s="25">
        <v>232000</v>
      </c>
      <c r="AM56" s="43">
        <f t="shared" si="3"/>
        <v>90.224835696990652</v>
      </c>
      <c r="AN56" s="16" t="s">
        <v>52</v>
      </c>
      <c r="AO56" s="16" t="s">
        <v>60</v>
      </c>
    </row>
    <row r="57" spans="1:41" ht="14.5" x14ac:dyDescent="0.35">
      <c r="A57" s="27" t="s">
        <v>307</v>
      </c>
      <c r="B57" s="16" t="s">
        <v>42</v>
      </c>
      <c r="C57" s="16" t="s">
        <v>43</v>
      </c>
      <c r="D57" s="16" t="s">
        <v>44</v>
      </c>
      <c r="E57" s="16" t="s">
        <v>308</v>
      </c>
      <c r="F57" s="16">
        <v>4</v>
      </c>
      <c r="G57" s="30" t="s">
        <v>309</v>
      </c>
      <c r="H57" s="16">
        <v>0</v>
      </c>
      <c r="I57" s="16" t="s">
        <v>102</v>
      </c>
      <c r="J57" s="16">
        <v>103.31</v>
      </c>
      <c r="K57" s="16">
        <v>3124</v>
      </c>
      <c r="L57" s="16">
        <v>309</v>
      </c>
      <c r="M57" s="8">
        <v>0</v>
      </c>
      <c r="N57" s="21">
        <v>44659</v>
      </c>
      <c r="O57" s="7">
        <f t="shared" si="0"/>
        <v>8</v>
      </c>
      <c r="P57" s="22">
        <f t="shared" si="1"/>
        <v>23</v>
      </c>
      <c r="Q57" s="22">
        <f t="shared" si="2"/>
        <v>30</v>
      </c>
      <c r="R57" s="16">
        <v>53</v>
      </c>
      <c r="S57" s="40">
        <v>4.7495652289999999</v>
      </c>
      <c r="T57" s="40">
        <v>-74.067825170000006</v>
      </c>
      <c r="U57" s="22">
        <v>17576</v>
      </c>
      <c r="V57" s="22">
        <v>18327.166669999999</v>
      </c>
      <c r="W57" s="25">
        <v>15297</v>
      </c>
      <c r="X57" s="24">
        <v>15474</v>
      </c>
      <c r="Y57" s="24">
        <v>268867</v>
      </c>
      <c r="Z57" s="24">
        <v>283601</v>
      </c>
      <c r="AA57" s="24">
        <v>22454</v>
      </c>
      <c r="AB57" s="24">
        <v>27291</v>
      </c>
      <c r="AC57" s="24">
        <v>91670</v>
      </c>
      <c r="AD57" s="24">
        <v>95738</v>
      </c>
      <c r="AE57" s="24">
        <v>9411</v>
      </c>
      <c r="AF57" s="24">
        <v>9509</v>
      </c>
      <c r="AG57" s="17">
        <v>0</v>
      </c>
      <c r="AH57" s="16" t="s">
        <v>58</v>
      </c>
      <c r="AI57" s="16" t="s">
        <v>49</v>
      </c>
      <c r="AJ57" s="16" t="s">
        <v>50</v>
      </c>
      <c r="AK57" s="16" t="s">
        <v>51</v>
      </c>
      <c r="AL57" s="25">
        <v>232000</v>
      </c>
      <c r="AM57" s="43">
        <f t="shared" si="3"/>
        <v>91.09476333365599</v>
      </c>
      <c r="AN57" s="16" t="s">
        <v>52</v>
      </c>
      <c r="AO57" s="16" t="s">
        <v>60</v>
      </c>
    </row>
    <row r="58" spans="1:41" ht="14.5" x14ac:dyDescent="0.35">
      <c r="A58" s="27" t="s">
        <v>310</v>
      </c>
      <c r="B58" s="16" t="s">
        <v>55</v>
      </c>
      <c r="C58" s="16" t="s">
        <v>43</v>
      </c>
      <c r="D58" s="16" t="s">
        <v>44</v>
      </c>
      <c r="E58" s="16" t="s">
        <v>311</v>
      </c>
      <c r="F58" s="16">
        <v>4</v>
      </c>
      <c r="G58" s="30" t="s">
        <v>312</v>
      </c>
      <c r="H58" s="16">
        <v>0</v>
      </c>
      <c r="I58" s="16" t="s">
        <v>47</v>
      </c>
      <c r="J58" s="16">
        <v>94.07</v>
      </c>
      <c r="K58" s="16">
        <v>803</v>
      </c>
      <c r="L58" s="16">
        <v>186</v>
      </c>
      <c r="M58" s="8">
        <v>52</v>
      </c>
      <c r="N58" s="21">
        <v>44645</v>
      </c>
      <c r="O58" s="7">
        <f t="shared" si="0"/>
        <v>25</v>
      </c>
      <c r="P58" s="22">
        <f t="shared" si="1"/>
        <v>7</v>
      </c>
      <c r="Q58" s="22">
        <f t="shared" si="2"/>
        <v>31</v>
      </c>
      <c r="R58" s="16">
        <v>54</v>
      </c>
      <c r="S58" s="40">
        <v>4.6652991269999999</v>
      </c>
      <c r="T58" s="40">
        <v>-74.126900969999994</v>
      </c>
      <c r="U58" s="22">
        <v>18711</v>
      </c>
      <c r="V58" s="22">
        <v>17786.666669999999</v>
      </c>
      <c r="W58" s="25">
        <v>12002</v>
      </c>
      <c r="X58" s="24">
        <v>12843</v>
      </c>
      <c r="Y58" s="24">
        <v>224572</v>
      </c>
      <c r="Z58" s="24">
        <v>228440</v>
      </c>
      <c r="AA58" s="24">
        <v>25040</v>
      </c>
      <c r="AB58" s="24">
        <v>20585</v>
      </c>
      <c r="AC58" s="24">
        <v>78934</v>
      </c>
      <c r="AD58" s="24">
        <v>77961</v>
      </c>
      <c r="AE58" s="24">
        <v>9977</v>
      </c>
      <c r="AF58" s="24">
        <v>10080</v>
      </c>
      <c r="AG58" s="17">
        <v>0</v>
      </c>
      <c r="AH58" s="16" t="s">
        <v>58</v>
      </c>
      <c r="AI58" s="16" t="s">
        <v>49</v>
      </c>
      <c r="AJ58" s="16" t="s">
        <v>124</v>
      </c>
      <c r="AK58" s="16" t="s">
        <v>51</v>
      </c>
      <c r="AL58" s="25">
        <v>204160</v>
      </c>
      <c r="AM58" s="43">
        <f t="shared" si="3"/>
        <v>106.05931752949931</v>
      </c>
      <c r="AN58" s="16" t="s">
        <v>313</v>
      </c>
      <c r="AO58" s="16" t="s">
        <v>53</v>
      </c>
    </row>
    <row r="59" spans="1:41" ht="14.5" x14ac:dyDescent="0.35">
      <c r="A59" s="27" t="s">
        <v>314</v>
      </c>
      <c r="B59" s="16" t="s">
        <v>105</v>
      </c>
      <c r="C59" s="16" t="s">
        <v>177</v>
      </c>
      <c r="D59" s="16" t="s">
        <v>178</v>
      </c>
      <c r="E59" s="16" t="s">
        <v>179</v>
      </c>
      <c r="F59" s="16">
        <v>4</v>
      </c>
      <c r="G59" s="30" t="s">
        <v>315</v>
      </c>
      <c r="H59" s="16">
        <v>0</v>
      </c>
      <c r="I59" s="16" t="s">
        <v>47</v>
      </c>
      <c r="J59" s="16">
        <v>95.32</v>
      </c>
      <c r="K59" s="16">
        <v>445</v>
      </c>
      <c r="L59" s="16">
        <v>1705</v>
      </c>
      <c r="M59" s="8">
        <v>35</v>
      </c>
      <c r="N59" s="21">
        <v>45422</v>
      </c>
      <c r="O59" s="7">
        <f t="shared" si="0"/>
        <v>10</v>
      </c>
      <c r="P59" s="22">
        <f t="shared" si="1"/>
        <v>22</v>
      </c>
      <c r="Q59" s="22">
        <f t="shared" si="2"/>
        <v>31</v>
      </c>
      <c r="R59" s="16">
        <v>28</v>
      </c>
      <c r="S59" s="40">
        <v>4.5381846680000004</v>
      </c>
      <c r="T59" s="40">
        <v>-75.667464050000007</v>
      </c>
      <c r="U59" s="22">
        <v>21781</v>
      </c>
      <c r="V59" s="22">
        <v>20536.833330000001</v>
      </c>
      <c r="W59" s="25">
        <v>10152</v>
      </c>
      <c r="X59" s="24">
        <v>10137</v>
      </c>
      <c r="Y59" s="24">
        <v>221130</v>
      </c>
      <c r="Z59" s="24">
        <v>208181</v>
      </c>
      <c r="AA59" s="24">
        <v>8561</v>
      </c>
      <c r="AB59" s="24">
        <v>12304</v>
      </c>
      <c r="AC59" s="24">
        <v>88207</v>
      </c>
      <c r="AD59" s="24">
        <v>81203</v>
      </c>
      <c r="AE59" s="24">
        <v>12162</v>
      </c>
      <c r="AF59" s="24">
        <v>12169</v>
      </c>
      <c r="AG59" s="17">
        <v>0</v>
      </c>
      <c r="AH59" s="16" t="s">
        <v>130</v>
      </c>
      <c r="AI59" s="16" t="s">
        <v>49</v>
      </c>
      <c r="AJ59" s="16" t="s">
        <v>50</v>
      </c>
      <c r="AK59" s="16" t="s">
        <v>51</v>
      </c>
      <c r="AL59" s="25">
        <v>232000</v>
      </c>
      <c r="AM59" s="43">
        <f t="shared" si="3"/>
        <v>127.59127150650441</v>
      </c>
      <c r="AN59" s="16" t="s">
        <v>52</v>
      </c>
      <c r="AO59" s="16" t="s">
        <v>60</v>
      </c>
    </row>
    <row r="60" spans="1:41" ht="14.5" x14ac:dyDescent="0.35">
      <c r="A60" s="27" t="s">
        <v>316</v>
      </c>
      <c r="B60" s="16" t="s">
        <v>42</v>
      </c>
      <c r="C60" s="16" t="s">
        <v>93</v>
      </c>
      <c r="D60" s="16" t="s">
        <v>281</v>
      </c>
      <c r="E60" s="16" t="s">
        <v>282</v>
      </c>
      <c r="F60" s="16">
        <v>4</v>
      </c>
      <c r="G60" s="30" t="s">
        <v>317</v>
      </c>
      <c r="H60" s="16">
        <v>0</v>
      </c>
      <c r="I60" s="16" t="s">
        <v>47</v>
      </c>
      <c r="J60" s="16">
        <v>119.01</v>
      </c>
      <c r="K60" s="16">
        <v>162</v>
      </c>
      <c r="L60" s="16">
        <v>278</v>
      </c>
      <c r="M60" s="8">
        <v>0</v>
      </c>
      <c r="N60" s="21">
        <v>44617</v>
      </c>
      <c r="O60" s="7">
        <f t="shared" si="0"/>
        <v>25</v>
      </c>
      <c r="P60" s="22">
        <f t="shared" si="1"/>
        <v>4</v>
      </c>
      <c r="Q60" s="22">
        <f t="shared" si="2"/>
        <v>28</v>
      </c>
      <c r="R60" s="16">
        <v>55</v>
      </c>
      <c r="S60" s="40">
        <v>4.8653731240000004</v>
      </c>
      <c r="T60" s="40">
        <v>-74.038899830000005</v>
      </c>
      <c r="U60" s="22">
        <v>17946</v>
      </c>
      <c r="V60" s="22">
        <v>17504</v>
      </c>
      <c r="W60" s="25">
        <v>12265</v>
      </c>
      <c r="X60" s="24">
        <v>11808</v>
      </c>
      <c r="Y60" s="24">
        <v>220113</v>
      </c>
      <c r="Z60" s="24">
        <v>206683</v>
      </c>
      <c r="AA60" s="24">
        <v>23566</v>
      </c>
      <c r="AB60" s="24">
        <v>19946</v>
      </c>
      <c r="AC60" s="24">
        <v>85064</v>
      </c>
      <c r="AD60" s="24">
        <v>79723</v>
      </c>
      <c r="AE60" s="24">
        <v>11054</v>
      </c>
      <c r="AF60" s="24">
        <v>10992</v>
      </c>
      <c r="AG60" s="17">
        <v>0</v>
      </c>
      <c r="AH60" s="16" t="s">
        <v>58</v>
      </c>
      <c r="AI60" s="16" t="s">
        <v>49</v>
      </c>
      <c r="AJ60" s="16" t="s">
        <v>50</v>
      </c>
      <c r="AK60" s="16" t="s">
        <v>51</v>
      </c>
      <c r="AL60" s="25">
        <v>232000</v>
      </c>
      <c r="AM60" s="43">
        <f t="shared" si="3"/>
        <v>92.882951012519953</v>
      </c>
      <c r="AN60" s="16" t="s">
        <v>204</v>
      </c>
      <c r="AO60" s="16" t="s">
        <v>60</v>
      </c>
    </row>
    <row r="61" spans="1:41" ht="14.5" x14ac:dyDescent="0.35">
      <c r="A61" s="27" t="s">
        <v>318</v>
      </c>
      <c r="B61" s="16" t="s">
        <v>55</v>
      </c>
      <c r="C61" s="16" t="s">
        <v>43</v>
      </c>
      <c r="D61" s="16" t="s">
        <v>44</v>
      </c>
      <c r="E61" s="16" t="s">
        <v>74</v>
      </c>
      <c r="F61" s="16">
        <v>3</v>
      </c>
      <c r="G61" s="30" t="s">
        <v>319</v>
      </c>
      <c r="H61" s="16">
        <v>0</v>
      </c>
      <c r="I61" s="16" t="s">
        <v>47</v>
      </c>
      <c r="J61" s="16">
        <v>103.73</v>
      </c>
      <c r="K61" s="16">
        <v>1533</v>
      </c>
      <c r="L61" s="16">
        <v>600</v>
      </c>
      <c r="M61" s="8">
        <v>75</v>
      </c>
      <c r="N61" s="21">
        <v>44757</v>
      </c>
      <c r="O61" s="7">
        <f t="shared" si="0"/>
        <v>15</v>
      </c>
      <c r="P61" s="22">
        <f t="shared" si="1"/>
        <v>17</v>
      </c>
      <c r="Q61" s="22">
        <f t="shared" si="2"/>
        <v>31</v>
      </c>
      <c r="R61" s="16">
        <v>50</v>
      </c>
      <c r="S61" s="40">
        <v>4.6416209420000003</v>
      </c>
      <c r="T61" s="40">
        <v>-74.140104339999993</v>
      </c>
      <c r="U61" s="22">
        <v>15822</v>
      </c>
      <c r="V61" s="22">
        <v>16703</v>
      </c>
      <c r="W61" s="25">
        <v>14310</v>
      </c>
      <c r="X61" s="24">
        <v>14033</v>
      </c>
      <c r="Y61" s="24">
        <v>226414</v>
      </c>
      <c r="Z61" s="24">
        <v>234390</v>
      </c>
      <c r="AA61" s="24">
        <v>12459</v>
      </c>
      <c r="AB61" s="24">
        <v>15129</v>
      </c>
      <c r="AC61" s="24">
        <v>69363</v>
      </c>
      <c r="AD61" s="24">
        <v>74531</v>
      </c>
      <c r="AE61" s="24">
        <v>11754</v>
      </c>
      <c r="AF61" s="24">
        <v>11679</v>
      </c>
      <c r="AG61" s="17">
        <v>0</v>
      </c>
      <c r="AH61" s="16" t="s">
        <v>58</v>
      </c>
      <c r="AI61" s="16" t="s">
        <v>49</v>
      </c>
      <c r="AJ61" s="16" t="s">
        <v>50</v>
      </c>
      <c r="AK61" s="16" t="s">
        <v>51</v>
      </c>
      <c r="AL61" s="25">
        <v>232000</v>
      </c>
      <c r="AM61" s="43">
        <f t="shared" si="3"/>
        <v>113.31340981394003</v>
      </c>
      <c r="AN61" s="16" t="s">
        <v>199</v>
      </c>
      <c r="AO61" s="16" t="s">
        <v>60</v>
      </c>
    </row>
    <row r="62" spans="1:41" ht="14.5" x14ac:dyDescent="0.35">
      <c r="A62" s="27" t="s">
        <v>320</v>
      </c>
      <c r="B62" s="16" t="s">
        <v>55</v>
      </c>
      <c r="C62" s="16" t="s">
        <v>93</v>
      </c>
      <c r="D62" s="16" t="s">
        <v>321</v>
      </c>
      <c r="E62" s="16" t="s">
        <v>322</v>
      </c>
      <c r="F62" s="16">
        <v>3</v>
      </c>
      <c r="G62" s="30" t="s">
        <v>323</v>
      </c>
      <c r="H62" s="16">
        <v>0</v>
      </c>
      <c r="I62" s="16" t="s">
        <v>47</v>
      </c>
      <c r="J62" s="16">
        <v>71.790000000000006</v>
      </c>
      <c r="K62" s="16">
        <v>1134</v>
      </c>
      <c r="L62" s="16">
        <v>400</v>
      </c>
      <c r="M62" s="8">
        <v>33</v>
      </c>
      <c r="N62" s="21">
        <v>45377</v>
      </c>
      <c r="O62" s="7">
        <f t="shared" si="0"/>
        <v>26</v>
      </c>
      <c r="P62" s="22">
        <f t="shared" si="1"/>
        <v>6</v>
      </c>
      <c r="Q62" s="22">
        <f t="shared" si="2"/>
        <v>31</v>
      </c>
      <c r="R62" s="16">
        <v>30</v>
      </c>
      <c r="S62" s="40">
        <v>4.2101729949999998</v>
      </c>
      <c r="T62" s="40">
        <v>-74.634124020000002</v>
      </c>
      <c r="U62" s="22">
        <v>20206</v>
      </c>
      <c r="V62" s="22">
        <v>18578.333330000001</v>
      </c>
      <c r="W62" s="25">
        <v>16703</v>
      </c>
      <c r="X62" s="24">
        <v>17024</v>
      </c>
      <c r="Y62" s="24">
        <v>337508</v>
      </c>
      <c r="Z62" s="24">
        <v>316285</v>
      </c>
      <c r="AA62" s="24">
        <v>48153</v>
      </c>
      <c r="AB62" s="24">
        <v>39894</v>
      </c>
      <c r="AC62" s="24">
        <v>116630</v>
      </c>
      <c r="AD62" s="24">
        <v>105530</v>
      </c>
      <c r="AE62" s="24">
        <v>4423</v>
      </c>
      <c r="AF62" s="24">
        <v>4479</v>
      </c>
      <c r="AG62" s="17">
        <v>0</v>
      </c>
      <c r="AH62" s="16" t="s">
        <v>48</v>
      </c>
      <c r="AI62" s="16" t="s">
        <v>49</v>
      </c>
      <c r="AJ62" s="16" t="s">
        <v>76</v>
      </c>
      <c r="AK62" s="16" t="s">
        <v>51</v>
      </c>
      <c r="AL62" s="25">
        <v>241405</v>
      </c>
      <c r="AM62" s="43">
        <f t="shared" si="3"/>
        <v>61.610252124251282</v>
      </c>
      <c r="AN62" s="16" t="s">
        <v>324</v>
      </c>
      <c r="AO62" s="16" t="s">
        <v>60</v>
      </c>
    </row>
    <row r="63" spans="1:41" ht="14.5" x14ac:dyDescent="0.35">
      <c r="A63" s="27" t="s">
        <v>325</v>
      </c>
      <c r="B63" s="16" t="s">
        <v>183</v>
      </c>
      <c r="C63" s="16" t="s">
        <v>184</v>
      </c>
      <c r="D63" s="16" t="s">
        <v>185</v>
      </c>
      <c r="E63" s="16" t="s">
        <v>186</v>
      </c>
      <c r="F63" s="16">
        <v>4</v>
      </c>
      <c r="G63" s="30" t="s">
        <v>326</v>
      </c>
      <c r="H63" s="16" t="s">
        <v>327</v>
      </c>
      <c r="I63" s="16" t="s">
        <v>47</v>
      </c>
      <c r="J63" s="16">
        <v>129.47</v>
      </c>
      <c r="K63" s="16">
        <v>1712</v>
      </c>
      <c r="L63" s="16">
        <v>370</v>
      </c>
      <c r="M63" s="8">
        <v>90</v>
      </c>
      <c r="N63" s="21">
        <v>45743</v>
      </c>
      <c r="O63" s="7">
        <f t="shared" si="0"/>
        <v>27</v>
      </c>
      <c r="P63" s="22">
        <f t="shared" si="1"/>
        <v>5</v>
      </c>
      <c r="Q63" s="22">
        <f t="shared" si="2"/>
        <v>31</v>
      </c>
      <c r="R63" s="16">
        <v>18</v>
      </c>
      <c r="S63" s="40">
        <v>11.01380629</v>
      </c>
      <c r="T63" s="40">
        <v>-74.805782570000005</v>
      </c>
      <c r="U63" s="22">
        <v>14633</v>
      </c>
      <c r="V63" s="22">
        <v>14070.833329999999</v>
      </c>
      <c r="W63" s="25">
        <v>13030</v>
      </c>
      <c r="X63" s="24">
        <v>13023</v>
      </c>
      <c r="Y63" s="24">
        <v>190667</v>
      </c>
      <c r="Z63" s="24">
        <v>183240</v>
      </c>
      <c r="AA63" s="24">
        <v>6646</v>
      </c>
      <c r="AB63" s="24">
        <v>8450</v>
      </c>
      <c r="AC63" s="24">
        <v>70255</v>
      </c>
      <c r="AD63" s="24">
        <v>65026</v>
      </c>
      <c r="AE63" s="24">
        <v>8934</v>
      </c>
      <c r="AF63" s="24">
        <v>9027</v>
      </c>
      <c r="AG63" s="17">
        <v>1.3207</v>
      </c>
      <c r="AH63" s="16" t="s">
        <v>58</v>
      </c>
      <c r="AI63" s="16" t="s">
        <v>49</v>
      </c>
      <c r="AJ63" s="16" t="s">
        <v>50</v>
      </c>
      <c r="AK63" s="16" t="s">
        <v>51</v>
      </c>
      <c r="AL63" s="25">
        <v>232000</v>
      </c>
      <c r="AM63" s="43">
        <f t="shared" si="3"/>
        <v>69.004402564300605</v>
      </c>
      <c r="AN63" s="16" t="s">
        <v>328</v>
      </c>
      <c r="AO63" s="16" t="s">
        <v>60</v>
      </c>
    </row>
    <row r="64" spans="1:41" ht="14.5" x14ac:dyDescent="0.35">
      <c r="A64" s="27" t="s">
        <v>329</v>
      </c>
      <c r="B64" s="16" t="s">
        <v>42</v>
      </c>
      <c r="C64" s="16" t="s">
        <v>43</v>
      </c>
      <c r="D64" s="16" t="s">
        <v>44</v>
      </c>
      <c r="E64" s="16" t="s">
        <v>330</v>
      </c>
      <c r="F64" s="16">
        <v>3</v>
      </c>
      <c r="G64" s="30" t="s">
        <v>331</v>
      </c>
      <c r="H64" s="16">
        <v>0</v>
      </c>
      <c r="I64" s="16" t="s">
        <v>47</v>
      </c>
      <c r="J64" s="16">
        <v>120.55</v>
      </c>
      <c r="K64" s="16">
        <v>66</v>
      </c>
      <c r="L64" s="16">
        <v>2207</v>
      </c>
      <c r="M64" s="8">
        <v>125</v>
      </c>
      <c r="N64" s="21">
        <v>43763</v>
      </c>
      <c r="O64" s="7">
        <f t="shared" si="0"/>
        <v>25</v>
      </c>
      <c r="P64" s="22">
        <f t="shared" si="1"/>
        <v>7</v>
      </c>
      <c r="Q64" s="22">
        <f t="shared" si="2"/>
        <v>31</v>
      </c>
      <c r="R64" s="16">
        <v>83</v>
      </c>
      <c r="S64" s="40">
        <v>4.7053610260000003</v>
      </c>
      <c r="T64" s="40">
        <v>-74.055264440000002</v>
      </c>
      <c r="U64" s="22">
        <v>24868</v>
      </c>
      <c r="V64" s="22">
        <v>25398.333330000001</v>
      </c>
      <c r="W64" s="25">
        <v>11383</v>
      </c>
      <c r="X64" s="24">
        <v>11465</v>
      </c>
      <c r="Y64" s="24">
        <v>283062</v>
      </c>
      <c r="Z64" s="24">
        <v>291190</v>
      </c>
      <c r="AA64" s="24">
        <v>31788</v>
      </c>
      <c r="AB64" s="24">
        <v>33874</v>
      </c>
      <c r="AC64" s="24">
        <v>99728</v>
      </c>
      <c r="AD64" s="24">
        <v>103195</v>
      </c>
      <c r="AE64" s="24">
        <v>12561</v>
      </c>
      <c r="AF64" s="24">
        <v>12685</v>
      </c>
      <c r="AG64" s="17">
        <v>0</v>
      </c>
      <c r="AH64" s="16" t="s">
        <v>82</v>
      </c>
      <c r="AI64" s="16" t="s">
        <v>49</v>
      </c>
      <c r="AJ64" s="16" t="s">
        <v>50</v>
      </c>
      <c r="AK64" s="16" t="s">
        <v>51</v>
      </c>
      <c r="AL64" s="25">
        <v>204160</v>
      </c>
      <c r="AM64" s="43">
        <f t="shared" si="3"/>
        <v>104.1974284529241</v>
      </c>
      <c r="AN64" s="16" t="s">
        <v>162</v>
      </c>
      <c r="AO64" s="16" t="s">
        <v>60</v>
      </c>
    </row>
    <row r="65" spans="1:41" ht="14.5" x14ac:dyDescent="0.35">
      <c r="A65" s="27" t="s">
        <v>332</v>
      </c>
      <c r="B65" s="16" t="s">
        <v>42</v>
      </c>
      <c r="C65" s="16" t="s">
        <v>126</v>
      </c>
      <c r="D65" s="16" t="s">
        <v>127</v>
      </c>
      <c r="E65" s="16" t="s">
        <v>333</v>
      </c>
      <c r="F65" s="16">
        <v>4</v>
      </c>
      <c r="G65" s="30" t="s">
        <v>334</v>
      </c>
      <c r="H65" s="16" t="s">
        <v>335</v>
      </c>
      <c r="I65" s="16" t="s">
        <v>47</v>
      </c>
      <c r="J65" s="16">
        <v>123.95</v>
      </c>
      <c r="K65" s="16">
        <v>658</v>
      </c>
      <c r="L65" s="16">
        <v>1804</v>
      </c>
      <c r="M65" s="8">
        <v>33</v>
      </c>
      <c r="N65" s="21">
        <v>45611</v>
      </c>
      <c r="O65" s="7">
        <f t="shared" si="0"/>
        <v>15</v>
      </c>
      <c r="P65" s="22">
        <f t="shared" si="1"/>
        <v>16</v>
      </c>
      <c r="Q65" s="22">
        <f t="shared" si="2"/>
        <v>30</v>
      </c>
      <c r="R65" s="16">
        <v>22</v>
      </c>
      <c r="S65" s="40">
        <v>5.5515004780000003</v>
      </c>
      <c r="T65" s="40">
        <v>-73.346650479999994</v>
      </c>
      <c r="U65" s="22">
        <v>16318</v>
      </c>
      <c r="V65" s="22">
        <v>14634.166670000001</v>
      </c>
      <c r="W65" s="25">
        <v>14293</v>
      </c>
      <c r="X65" s="24">
        <v>14677</v>
      </c>
      <c r="Y65" s="24">
        <v>233229</v>
      </c>
      <c r="Z65" s="24">
        <v>214782</v>
      </c>
      <c r="AA65" s="24">
        <v>32115</v>
      </c>
      <c r="AB65" s="24">
        <v>24428</v>
      </c>
      <c r="AC65" s="24">
        <v>86960</v>
      </c>
      <c r="AD65" s="24">
        <v>80071</v>
      </c>
      <c r="AE65" s="24">
        <v>7890</v>
      </c>
      <c r="AF65" s="24">
        <v>7975</v>
      </c>
      <c r="AG65" s="17">
        <v>0</v>
      </c>
      <c r="AH65" s="16" t="s">
        <v>136</v>
      </c>
      <c r="AI65" s="16" t="s">
        <v>49</v>
      </c>
      <c r="AJ65" s="16" t="s">
        <v>76</v>
      </c>
      <c r="AK65" s="16" t="s">
        <v>51</v>
      </c>
      <c r="AL65" s="25">
        <v>241405</v>
      </c>
      <c r="AM65" s="43">
        <f t="shared" si="3"/>
        <v>63.654699475594995</v>
      </c>
      <c r="AN65" s="16" t="s">
        <v>117</v>
      </c>
      <c r="AO65" s="16" t="s">
        <v>60</v>
      </c>
    </row>
    <row r="66" spans="1:41" ht="14.5" x14ac:dyDescent="0.35">
      <c r="A66" s="27" t="s">
        <v>336</v>
      </c>
      <c r="B66" s="16" t="s">
        <v>42</v>
      </c>
      <c r="C66" s="16" t="s">
        <v>43</v>
      </c>
      <c r="D66" s="16" t="s">
        <v>44</v>
      </c>
      <c r="E66" s="16" t="s">
        <v>337</v>
      </c>
      <c r="F66" s="16">
        <v>4</v>
      </c>
      <c r="G66" s="30" t="s">
        <v>338</v>
      </c>
      <c r="H66" s="16">
        <v>0</v>
      </c>
      <c r="I66" s="16" t="s">
        <v>47</v>
      </c>
      <c r="J66" s="16">
        <v>200.68</v>
      </c>
      <c r="K66" s="16">
        <v>2300</v>
      </c>
      <c r="L66" s="16">
        <v>550</v>
      </c>
      <c r="M66" s="8">
        <v>56</v>
      </c>
      <c r="N66" s="21">
        <v>44740</v>
      </c>
      <c r="O66" s="7">
        <f t="shared" ref="O66:O129" si="4">DAY(N66)</f>
        <v>28</v>
      </c>
      <c r="P66" s="22">
        <f t="shared" ref="P66:P129" si="5">Q66-O66+1</f>
        <v>3</v>
      </c>
      <c r="Q66" s="22">
        <f t="shared" ref="Q66:Q129" si="6">DAY(EOMONTH(N66,0))</f>
        <v>30</v>
      </c>
      <c r="R66" s="16">
        <v>51</v>
      </c>
      <c r="S66" s="40">
        <v>4.7557635979999997</v>
      </c>
      <c r="T66" s="40">
        <v>-74.050161500000002</v>
      </c>
      <c r="U66" s="22">
        <v>15745</v>
      </c>
      <c r="V66" s="22">
        <v>15852.166670000001</v>
      </c>
      <c r="W66" s="25">
        <v>14855</v>
      </c>
      <c r="X66" s="24">
        <v>14860</v>
      </c>
      <c r="Y66" s="24">
        <v>233893</v>
      </c>
      <c r="Z66" s="24">
        <v>235560</v>
      </c>
      <c r="AA66" s="24">
        <v>17758</v>
      </c>
      <c r="AB66" s="24">
        <v>15107</v>
      </c>
      <c r="AC66" s="24">
        <v>79474</v>
      </c>
      <c r="AD66" s="24">
        <v>78737</v>
      </c>
      <c r="AE66" s="24">
        <v>12666</v>
      </c>
      <c r="AF66" s="24">
        <v>12594</v>
      </c>
      <c r="AG66" s="17">
        <v>0</v>
      </c>
      <c r="AH66" s="16" t="s">
        <v>58</v>
      </c>
      <c r="AI66" s="16" t="s">
        <v>49</v>
      </c>
      <c r="AJ66" s="16" t="s">
        <v>50</v>
      </c>
      <c r="AK66" s="16" t="s">
        <v>51</v>
      </c>
      <c r="AL66" s="25">
        <v>232000</v>
      </c>
      <c r="AM66" s="43">
        <f t="shared" ref="AM66:AM129" si="7">AE66/J66</f>
        <v>63.115407614112016</v>
      </c>
      <c r="AN66" s="16" t="s">
        <v>270</v>
      </c>
      <c r="AO66" s="16" t="s">
        <v>53</v>
      </c>
    </row>
    <row r="67" spans="1:41" ht="14.5" x14ac:dyDescent="0.35">
      <c r="A67" s="27" t="s">
        <v>339</v>
      </c>
      <c r="B67" s="16" t="s">
        <v>42</v>
      </c>
      <c r="C67" s="16" t="s">
        <v>43</v>
      </c>
      <c r="D67" s="16" t="s">
        <v>44</v>
      </c>
      <c r="E67" s="16" t="s">
        <v>340</v>
      </c>
      <c r="F67" s="16">
        <v>5</v>
      </c>
      <c r="G67" s="30" t="s">
        <v>341</v>
      </c>
      <c r="H67" s="16" t="s">
        <v>342</v>
      </c>
      <c r="I67" s="16" t="s">
        <v>47</v>
      </c>
      <c r="J67" s="16">
        <v>123.03</v>
      </c>
      <c r="K67" s="16">
        <v>1921</v>
      </c>
      <c r="L67" s="16">
        <v>2180</v>
      </c>
      <c r="M67" s="8">
        <v>48</v>
      </c>
      <c r="N67" s="21">
        <v>45777</v>
      </c>
      <c r="O67" s="7">
        <f t="shared" si="4"/>
        <v>30</v>
      </c>
      <c r="P67" s="22">
        <f t="shared" si="5"/>
        <v>1</v>
      </c>
      <c r="Q67" s="22">
        <f t="shared" si="6"/>
        <v>30</v>
      </c>
      <c r="R67" s="16">
        <v>17</v>
      </c>
      <c r="S67" s="40">
        <v>4.7027450750000002</v>
      </c>
      <c r="T67" s="40">
        <v>-74.029799769999997</v>
      </c>
      <c r="U67" s="22">
        <v>19346</v>
      </c>
      <c r="V67" s="22">
        <v>18680.5</v>
      </c>
      <c r="W67" s="25">
        <v>12080</v>
      </c>
      <c r="X67" s="24">
        <v>12450</v>
      </c>
      <c r="Y67" s="24">
        <v>233700</v>
      </c>
      <c r="Z67" s="24">
        <v>232564</v>
      </c>
      <c r="AA67" s="24">
        <v>30235</v>
      </c>
      <c r="AB67" s="24">
        <v>27566</v>
      </c>
      <c r="AC67" s="24">
        <v>90840</v>
      </c>
      <c r="AD67" s="24">
        <v>89747</v>
      </c>
      <c r="AE67" s="24">
        <v>11771</v>
      </c>
      <c r="AF67" s="24">
        <v>11772</v>
      </c>
      <c r="AG67" s="17">
        <v>1.5368999999999999</v>
      </c>
      <c r="AH67" s="16" t="s">
        <v>136</v>
      </c>
      <c r="AI67" s="16" t="s">
        <v>49</v>
      </c>
      <c r="AJ67" s="16" t="s">
        <v>76</v>
      </c>
      <c r="AK67" s="16" t="s">
        <v>51</v>
      </c>
      <c r="AL67" s="25">
        <v>241405</v>
      </c>
      <c r="AM67" s="43">
        <f t="shared" si="7"/>
        <v>95.675851418353247</v>
      </c>
      <c r="AN67" s="16" t="s">
        <v>274</v>
      </c>
      <c r="AO67" s="16" t="s">
        <v>98</v>
      </c>
    </row>
    <row r="68" spans="1:41" ht="14.5" x14ac:dyDescent="0.35">
      <c r="A68" s="27" t="s">
        <v>343</v>
      </c>
      <c r="B68" s="16" t="s">
        <v>42</v>
      </c>
      <c r="C68" s="16" t="s">
        <v>43</v>
      </c>
      <c r="D68" s="16" t="s">
        <v>44</v>
      </c>
      <c r="E68" s="16" t="s">
        <v>344</v>
      </c>
      <c r="F68" s="16">
        <v>3</v>
      </c>
      <c r="G68" s="30" t="s">
        <v>345</v>
      </c>
      <c r="H68" s="16">
        <v>0</v>
      </c>
      <c r="I68" s="16" t="s">
        <v>47</v>
      </c>
      <c r="J68" s="16">
        <v>84.32</v>
      </c>
      <c r="K68" s="16">
        <v>3977</v>
      </c>
      <c r="L68" s="16">
        <v>359</v>
      </c>
      <c r="M68" s="8">
        <v>0</v>
      </c>
      <c r="N68" s="21">
        <v>45341</v>
      </c>
      <c r="O68" s="7">
        <f t="shared" si="4"/>
        <v>19</v>
      </c>
      <c r="P68" s="22">
        <f t="shared" si="5"/>
        <v>11</v>
      </c>
      <c r="Q68" s="22">
        <f t="shared" si="6"/>
        <v>29</v>
      </c>
      <c r="R68" s="16">
        <v>31</v>
      </c>
      <c r="S68" s="40">
        <v>4.7034935300000003</v>
      </c>
      <c r="T68" s="40">
        <v>-74.092132930000005</v>
      </c>
      <c r="U68" s="22">
        <v>13372</v>
      </c>
      <c r="V68" s="22">
        <v>13485.666670000001</v>
      </c>
      <c r="W68" s="25">
        <v>13390</v>
      </c>
      <c r="X68" s="24">
        <v>13204</v>
      </c>
      <c r="Y68" s="24">
        <v>179047</v>
      </c>
      <c r="Z68" s="24">
        <v>178068</v>
      </c>
      <c r="AA68" s="42">
        <v>3131</v>
      </c>
      <c r="AB68" s="42">
        <v>2644</v>
      </c>
      <c r="AC68" s="24">
        <v>57841</v>
      </c>
      <c r="AD68" s="24">
        <v>56908</v>
      </c>
      <c r="AE68" s="24">
        <v>8845</v>
      </c>
      <c r="AF68" s="24">
        <v>8938</v>
      </c>
      <c r="AG68" s="17">
        <v>0</v>
      </c>
      <c r="AH68" s="16" t="s">
        <v>58</v>
      </c>
      <c r="AI68" s="16" t="s">
        <v>49</v>
      </c>
      <c r="AJ68" s="16" t="s">
        <v>124</v>
      </c>
      <c r="AK68" s="16" t="s">
        <v>51</v>
      </c>
      <c r="AL68" s="25">
        <v>204160</v>
      </c>
      <c r="AM68" s="43">
        <f t="shared" si="7"/>
        <v>104.89800759013283</v>
      </c>
      <c r="AN68" s="16" t="s">
        <v>238</v>
      </c>
      <c r="AO68" s="16" t="s">
        <v>53</v>
      </c>
    </row>
    <row r="69" spans="1:41" ht="14.5" x14ac:dyDescent="0.35">
      <c r="A69" s="27" t="s">
        <v>346</v>
      </c>
      <c r="B69" s="16" t="s">
        <v>183</v>
      </c>
      <c r="C69" s="16" t="s">
        <v>184</v>
      </c>
      <c r="D69" s="16" t="s">
        <v>185</v>
      </c>
      <c r="E69" s="16" t="s">
        <v>347</v>
      </c>
      <c r="F69" s="16">
        <v>6</v>
      </c>
      <c r="G69" s="30" t="s">
        <v>348</v>
      </c>
      <c r="H69" s="16" t="s">
        <v>349</v>
      </c>
      <c r="I69" s="16" t="s">
        <v>102</v>
      </c>
      <c r="J69" s="16">
        <v>160.24</v>
      </c>
      <c r="K69" s="16">
        <v>128</v>
      </c>
      <c r="L69" s="16">
        <v>3920</v>
      </c>
      <c r="M69" s="8">
        <v>71</v>
      </c>
      <c r="N69" s="21">
        <v>45621</v>
      </c>
      <c r="O69" s="7">
        <f t="shared" si="4"/>
        <v>25</v>
      </c>
      <c r="P69" s="22">
        <f t="shared" si="5"/>
        <v>6</v>
      </c>
      <c r="Q69" s="22">
        <f t="shared" si="6"/>
        <v>30</v>
      </c>
      <c r="R69" s="16">
        <v>22</v>
      </c>
      <c r="S69" s="40">
        <v>11.01616065</v>
      </c>
      <c r="T69" s="40">
        <v>-74.831157680000004</v>
      </c>
      <c r="U69" s="22">
        <v>19778</v>
      </c>
      <c r="V69" s="22">
        <v>19017</v>
      </c>
      <c r="W69" s="25">
        <v>11960</v>
      </c>
      <c r="X69" s="24">
        <v>12001</v>
      </c>
      <c r="Y69" s="24">
        <v>236537</v>
      </c>
      <c r="Z69" s="24">
        <v>228226</v>
      </c>
      <c r="AA69" s="24">
        <v>11308</v>
      </c>
      <c r="AB69" s="24">
        <v>13241</v>
      </c>
      <c r="AC69" s="24">
        <v>91444</v>
      </c>
      <c r="AD69" s="24">
        <v>87294</v>
      </c>
      <c r="AE69" s="24">
        <v>10223</v>
      </c>
      <c r="AF69" s="24">
        <v>10328</v>
      </c>
      <c r="AG69" s="17">
        <v>0</v>
      </c>
      <c r="AH69" s="16" t="s">
        <v>82</v>
      </c>
      <c r="AI69" s="16" t="s">
        <v>49</v>
      </c>
      <c r="AJ69" s="16" t="s">
        <v>124</v>
      </c>
      <c r="AK69" s="16" t="s">
        <v>51</v>
      </c>
      <c r="AL69" s="25">
        <v>204160</v>
      </c>
      <c r="AM69" s="43">
        <f t="shared" si="7"/>
        <v>63.798052920619071</v>
      </c>
      <c r="AN69" s="16" t="s">
        <v>350</v>
      </c>
      <c r="AO69" s="16" t="s">
        <v>53</v>
      </c>
    </row>
    <row r="70" spans="1:41" ht="14.5" x14ac:dyDescent="0.35">
      <c r="A70" s="27" t="s">
        <v>351</v>
      </c>
      <c r="B70" s="16" t="s">
        <v>55</v>
      </c>
      <c r="C70" s="16" t="s">
        <v>43</v>
      </c>
      <c r="D70" s="16" t="s">
        <v>44</v>
      </c>
      <c r="E70" s="16" t="s">
        <v>352</v>
      </c>
      <c r="F70" s="16">
        <v>3</v>
      </c>
      <c r="G70" s="30" t="s">
        <v>353</v>
      </c>
      <c r="H70" s="16">
        <v>0</v>
      </c>
      <c r="I70" s="16" t="s">
        <v>47</v>
      </c>
      <c r="J70" s="16">
        <v>154.59</v>
      </c>
      <c r="K70" s="16">
        <v>1231</v>
      </c>
      <c r="L70" s="16">
        <v>1280</v>
      </c>
      <c r="M70" s="8">
        <v>79</v>
      </c>
      <c r="N70" s="21">
        <v>44831</v>
      </c>
      <c r="O70" s="7">
        <f t="shared" si="4"/>
        <v>27</v>
      </c>
      <c r="P70" s="22">
        <f t="shared" si="5"/>
        <v>4</v>
      </c>
      <c r="Q70" s="22">
        <f t="shared" si="6"/>
        <v>30</v>
      </c>
      <c r="R70" s="16">
        <v>48</v>
      </c>
      <c r="S70" s="40">
        <v>4.6845160799999999</v>
      </c>
      <c r="T70" s="40">
        <v>-74.091865080000005</v>
      </c>
      <c r="U70" s="22">
        <v>15134</v>
      </c>
      <c r="V70" s="22">
        <v>14891.833329999999</v>
      </c>
      <c r="W70" s="25">
        <v>11695</v>
      </c>
      <c r="X70" s="24">
        <v>11535</v>
      </c>
      <c r="Y70" s="24">
        <v>176986</v>
      </c>
      <c r="Z70" s="24">
        <v>171778</v>
      </c>
      <c r="AA70" s="24">
        <v>-146</v>
      </c>
      <c r="AB70" s="24">
        <v>3730</v>
      </c>
      <c r="AC70" s="24">
        <v>56285</v>
      </c>
      <c r="AD70" s="24">
        <v>55512</v>
      </c>
      <c r="AE70" s="24">
        <v>10135</v>
      </c>
      <c r="AF70" s="24">
        <v>9918</v>
      </c>
      <c r="AG70" s="17">
        <v>0</v>
      </c>
      <c r="AH70" s="16" t="s">
        <v>58</v>
      </c>
      <c r="AI70" s="16" t="s">
        <v>49</v>
      </c>
      <c r="AJ70" s="16" t="s">
        <v>50</v>
      </c>
      <c r="AK70" s="16" t="s">
        <v>51</v>
      </c>
      <c r="AL70" s="25">
        <v>232000</v>
      </c>
      <c r="AM70" s="43">
        <f t="shared" si="7"/>
        <v>65.560514910408173</v>
      </c>
      <c r="AN70" s="16" t="s">
        <v>204</v>
      </c>
      <c r="AO70" s="16" t="s">
        <v>98</v>
      </c>
    </row>
    <row r="71" spans="1:41" ht="14.5" x14ac:dyDescent="0.35">
      <c r="A71" s="27" t="s">
        <v>354</v>
      </c>
      <c r="B71" s="16" t="s">
        <v>55</v>
      </c>
      <c r="C71" s="16" t="s">
        <v>43</v>
      </c>
      <c r="D71" s="16" t="s">
        <v>44</v>
      </c>
      <c r="E71" s="16" t="s">
        <v>355</v>
      </c>
      <c r="F71" s="16">
        <v>2</v>
      </c>
      <c r="G71" s="30" t="s">
        <v>356</v>
      </c>
      <c r="H71" s="16">
        <v>0</v>
      </c>
      <c r="I71" s="16" t="s">
        <v>47</v>
      </c>
      <c r="J71" s="16">
        <v>181.13</v>
      </c>
      <c r="K71" s="16">
        <v>3390</v>
      </c>
      <c r="L71" s="16">
        <v>141</v>
      </c>
      <c r="M71" s="8">
        <v>0</v>
      </c>
      <c r="N71" s="21">
        <v>42492</v>
      </c>
      <c r="O71" s="7">
        <f t="shared" si="4"/>
        <v>2</v>
      </c>
      <c r="P71" s="22">
        <f t="shared" si="5"/>
        <v>30</v>
      </c>
      <c r="Q71" s="22">
        <f t="shared" si="6"/>
        <v>31</v>
      </c>
      <c r="R71" s="16">
        <v>115</v>
      </c>
      <c r="S71" s="40">
        <v>4.5890962130000004</v>
      </c>
      <c r="T71" s="40">
        <v>-74.162377930000005</v>
      </c>
      <c r="U71" s="22">
        <v>25656</v>
      </c>
      <c r="V71" s="22">
        <v>26600.833330000001</v>
      </c>
      <c r="W71" s="25">
        <v>16256</v>
      </c>
      <c r="X71" s="24">
        <v>18223</v>
      </c>
      <c r="Y71" s="24">
        <v>417066</v>
      </c>
      <c r="Z71" s="24">
        <v>484743</v>
      </c>
      <c r="AA71" s="24">
        <v>45968</v>
      </c>
      <c r="AB71" s="24">
        <v>65924</v>
      </c>
      <c r="AC71" s="24">
        <v>130647</v>
      </c>
      <c r="AD71" s="24">
        <v>153306</v>
      </c>
      <c r="AE71" s="24">
        <v>11377</v>
      </c>
      <c r="AF71" s="24">
        <v>11116</v>
      </c>
      <c r="AG71" s="17">
        <v>0</v>
      </c>
      <c r="AH71" s="16" t="s">
        <v>58</v>
      </c>
      <c r="AI71" s="16" t="s">
        <v>49</v>
      </c>
      <c r="AJ71" s="16" t="s">
        <v>50</v>
      </c>
      <c r="AK71" s="16" t="s">
        <v>51</v>
      </c>
      <c r="AL71" s="25">
        <v>232000</v>
      </c>
      <c r="AM71" s="43">
        <f t="shared" si="7"/>
        <v>62.811240545464585</v>
      </c>
      <c r="AN71" s="16" t="s">
        <v>52</v>
      </c>
      <c r="AO71" s="16" t="s">
        <v>60</v>
      </c>
    </row>
    <row r="72" spans="1:41" ht="14.5" x14ac:dyDescent="0.35">
      <c r="A72" s="27" t="s">
        <v>357</v>
      </c>
      <c r="B72" s="16" t="s">
        <v>55</v>
      </c>
      <c r="C72" s="16" t="s">
        <v>43</v>
      </c>
      <c r="D72" s="16" t="s">
        <v>44</v>
      </c>
      <c r="E72" s="16" t="s">
        <v>358</v>
      </c>
      <c r="F72" s="16">
        <v>3</v>
      </c>
      <c r="G72" s="30" t="s">
        <v>359</v>
      </c>
      <c r="H72" s="16">
        <v>0</v>
      </c>
      <c r="I72" s="16" t="s">
        <v>47</v>
      </c>
      <c r="J72" s="16">
        <v>109.28</v>
      </c>
      <c r="K72" s="16">
        <v>1242</v>
      </c>
      <c r="L72" s="16">
        <v>884</v>
      </c>
      <c r="M72" s="8">
        <v>62</v>
      </c>
      <c r="N72" s="21">
        <v>45094</v>
      </c>
      <c r="O72" s="7">
        <f t="shared" si="4"/>
        <v>17</v>
      </c>
      <c r="P72" s="22">
        <f t="shared" si="5"/>
        <v>14</v>
      </c>
      <c r="Q72" s="22">
        <f t="shared" si="6"/>
        <v>30</v>
      </c>
      <c r="R72" s="16">
        <v>39</v>
      </c>
      <c r="S72" s="40">
        <v>4.6048265429999997</v>
      </c>
      <c r="T72" s="40">
        <v>-74.196243089999996</v>
      </c>
      <c r="U72" s="22">
        <v>20398</v>
      </c>
      <c r="V72" s="22">
        <v>18488.5</v>
      </c>
      <c r="W72" s="25">
        <v>13771</v>
      </c>
      <c r="X72" s="24">
        <v>15292</v>
      </c>
      <c r="Y72" s="24">
        <v>280890</v>
      </c>
      <c r="Z72" s="24">
        <v>282726</v>
      </c>
      <c r="AA72" s="24">
        <v>40537</v>
      </c>
      <c r="AB72" s="24">
        <v>33047</v>
      </c>
      <c r="AC72" s="24">
        <v>90977</v>
      </c>
      <c r="AD72" s="24">
        <v>90521</v>
      </c>
      <c r="AE72" s="24">
        <v>6074</v>
      </c>
      <c r="AF72" s="24">
        <v>6043</v>
      </c>
      <c r="AG72" s="17">
        <v>0</v>
      </c>
      <c r="AH72" s="16" t="s">
        <v>58</v>
      </c>
      <c r="AI72" s="16" t="s">
        <v>49</v>
      </c>
      <c r="AJ72" s="16" t="s">
        <v>50</v>
      </c>
      <c r="AK72" s="16" t="s">
        <v>51</v>
      </c>
      <c r="AL72" s="25">
        <v>232000</v>
      </c>
      <c r="AM72" s="43">
        <f t="shared" si="7"/>
        <v>55.581991215226942</v>
      </c>
      <c r="AN72" s="16" t="s">
        <v>360</v>
      </c>
      <c r="AO72" s="16" t="s">
        <v>98</v>
      </c>
    </row>
    <row r="73" spans="1:41" ht="14.5" x14ac:dyDescent="0.35">
      <c r="A73" s="27" t="s">
        <v>361</v>
      </c>
      <c r="B73" s="16" t="s">
        <v>55</v>
      </c>
      <c r="C73" s="16" t="s">
        <v>43</v>
      </c>
      <c r="D73" s="16" t="s">
        <v>44</v>
      </c>
      <c r="E73" s="16" t="s">
        <v>362</v>
      </c>
      <c r="F73" s="16">
        <v>2</v>
      </c>
      <c r="G73" s="30" t="s">
        <v>363</v>
      </c>
      <c r="H73" s="16" t="s">
        <v>364</v>
      </c>
      <c r="I73" s="16" t="s">
        <v>47</v>
      </c>
      <c r="J73" s="16">
        <v>129.16999999999999</v>
      </c>
      <c r="K73" s="16">
        <v>1790</v>
      </c>
      <c r="L73" s="16">
        <v>800</v>
      </c>
      <c r="M73" s="8">
        <v>132</v>
      </c>
      <c r="N73" s="21">
        <v>45596</v>
      </c>
      <c r="O73" s="7">
        <f t="shared" si="4"/>
        <v>31</v>
      </c>
      <c r="P73" s="22">
        <f t="shared" si="5"/>
        <v>1</v>
      </c>
      <c r="Q73" s="22">
        <f t="shared" si="6"/>
        <v>31</v>
      </c>
      <c r="R73" s="16">
        <v>23</v>
      </c>
      <c r="S73" s="40">
        <v>4.6121747260000001</v>
      </c>
      <c r="T73" s="40">
        <v>-74.201317509999996</v>
      </c>
      <c r="U73" s="22">
        <v>15705</v>
      </c>
      <c r="V73" s="22">
        <v>14857.166670000001</v>
      </c>
      <c r="W73" s="25">
        <v>12514</v>
      </c>
      <c r="X73" s="24">
        <v>12402</v>
      </c>
      <c r="Y73" s="24">
        <v>196531</v>
      </c>
      <c r="Z73" s="24">
        <v>184252</v>
      </c>
      <c r="AA73" s="24">
        <v>746</v>
      </c>
      <c r="AB73" s="42">
        <v>2882</v>
      </c>
      <c r="AC73" s="24">
        <v>60197</v>
      </c>
      <c r="AD73" s="24">
        <v>56735</v>
      </c>
      <c r="AE73" s="24">
        <v>9731</v>
      </c>
      <c r="AF73" s="24">
        <v>9832</v>
      </c>
      <c r="AG73" s="17">
        <v>0</v>
      </c>
      <c r="AH73" s="16" t="s">
        <v>58</v>
      </c>
      <c r="AI73" s="16" t="s">
        <v>49</v>
      </c>
      <c r="AJ73" s="16" t="s">
        <v>50</v>
      </c>
      <c r="AK73" s="16" t="s">
        <v>51</v>
      </c>
      <c r="AL73" s="25">
        <v>232000</v>
      </c>
      <c r="AM73" s="43">
        <f t="shared" si="7"/>
        <v>75.334830068901454</v>
      </c>
      <c r="AN73" s="16" t="s">
        <v>365</v>
      </c>
      <c r="AO73" s="16" t="s">
        <v>98</v>
      </c>
    </row>
    <row r="74" spans="1:41" ht="14.5" x14ac:dyDescent="0.35">
      <c r="A74" s="27" t="s">
        <v>366</v>
      </c>
      <c r="B74" s="16" t="s">
        <v>55</v>
      </c>
      <c r="C74" s="16" t="s">
        <v>43</v>
      </c>
      <c r="D74" s="16" t="s">
        <v>44</v>
      </c>
      <c r="E74" s="16" t="s">
        <v>358</v>
      </c>
      <c r="F74" s="16">
        <v>3</v>
      </c>
      <c r="G74" s="30" t="s">
        <v>367</v>
      </c>
      <c r="H74" s="16">
        <v>0</v>
      </c>
      <c r="I74" s="16" t="s">
        <v>102</v>
      </c>
      <c r="J74" s="16">
        <v>127.96</v>
      </c>
      <c r="K74" s="16">
        <v>576</v>
      </c>
      <c r="L74" s="16">
        <v>2691</v>
      </c>
      <c r="M74" s="8">
        <v>0</v>
      </c>
      <c r="N74" s="21">
        <v>43377</v>
      </c>
      <c r="O74" s="7">
        <f t="shared" si="4"/>
        <v>4</v>
      </c>
      <c r="P74" s="22">
        <f t="shared" si="5"/>
        <v>28</v>
      </c>
      <c r="Q74" s="22">
        <f t="shared" si="6"/>
        <v>31</v>
      </c>
      <c r="R74" s="16">
        <v>95</v>
      </c>
      <c r="S74" s="40">
        <v>4.6060502379999999</v>
      </c>
      <c r="T74" s="40">
        <v>-74.184311230000006</v>
      </c>
      <c r="U74" s="22">
        <v>23779</v>
      </c>
      <c r="V74" s="22">
        <v>24769.833330000001</v>
      </c>
      <c r="W74" s="25">
        <v>13651</v>
      </c>
      <c r="X74" s="24">
        <v>13709</v>
      </c>
      <c r="Y74" s="24">
        <v>324608</v>
      </c>
      <c r="Z74" s="24">
        <v>339563</v>
      </c>
      <c r="AA74" s="24">
        <v>24140</v>
      </c>
      <c r="AB74" s="24">
        <v>31337</v>
      </c>
      <c r="AC74" s="24">
        <v>103716</v>
      </c>
      <c r="AD74" s="24">
        <v>109119</v>
      </c>
      <c r="AE74" s="24">
        <v>20187</v>
      </c>
      <c r="AF74" s="24">
        <v>19551</v>
      </c>
      <c r="AG74" s="17">
        <v>0</v>
      </c>
      <c r="AH74" s="16" t="s">
        <v>58</v>
      </c>
      <c r="AI74" s="16" t="s">
        <v>49</v>
      </c>
      <c r="AJ74" s="16" t="s">
        <v>50</v>
      </c>
      <c r="AK74" s="16" t="s">
        <v>51</v>
      </c>
      <c r="AL74" s="25">
        <v>232000</v>
      </c>
      <c r="AM74" s="43">
        <f t="shared" si="7"/>
        <v>157.76023757424196</v>
      </c>
      <c r="AN74" s="16" t="s">
        <v>52</v>
      </c>
      <c r="AO74" s="16" t="s">
        <v>60</v>
      </c>
    </row>
    <row r="75" spans="1:41" ht="14.5" x14ac:dyDescent="0.35">
      <c r="A75" s="27" t="s">
        <v>368</v>
      </c>
      <c r="B75" s="16" t="s">
        <v>55</v>
      </c>
      <c r="C75" s="16" t="s">
        <v>43</v>
      </c>
      <c r="D75" s="16" t="s">
        <v>44</v>
      </c>
      <c r="E75" s="16" t="s">
        <v>79</v>
      </c>
      <c r="F75" s="16">
        <v>3</v>
      </c>
      <c r="G75" s="30" t="s">
        <v>369</v>
      </c>
      <c r="H75" s="16">
        <v>0</v>
      </c>
      <c r="I75" s="16" t="s">
        <v>47</v>
      </c>
      <c r="J75" s="16">
        <v>114.47</v>
      </c>
      <c r="K75" s="16">
        <v>2722</v>
      </c>
      <c r="L75" s="16">
        <v>5014</v>
      </c>
      <c r="M75" s="8">
        <v>145</v>
      </c>
      <c r="N75" s="21">
        <v>45044</v>
      </c>
      <c r="O75" s="7">
        <f t="shared" si="4"/>
        <v>28</v>
      </c>
      <c r="P75" s="22">
        <f t="shared" si="5"/>
        <v>3</v>
      </c>
      <c r="Q75" s="22">
        <f t="shared" si="6"/>
        <v>30</v>
      </c>
      <c r="R75" s="16">
        <v>41</v>
      </c>
      <c r="S75" s="40">
        <v>4.6063961200000003</v>
      </c>
      <c r="T75" s="40">
        <v>-74.069270720000006</v>
      </c>
      <c r="U75" s="22">
        <v>27871</v>
      </c>
      <c r="V75" s="22">
        <v>23708.166669999999</v>
      </c>
      <c r="W75" s="25">
        <v>10698</v>
      </c>
      <c r="X75" s="24">
        <v>10967</v>
      </c>
      <c r="Y75" s="24">
        <v>298173</v>
      </c>
      <c r="Z75" s="24">
        <v>259995</v>
      </c>
      <c r="AA75" s="24">
        <v>45927</v>
      </c>
      <c r="AB75" s="24">
        <v>25857</v>
      </c>
      <c r="AC75" s="24">
        <v>117246</v>
      </c>
      <c r="AD75" s="24">
        <v>99341</v>
      </c>
      <c r="AE75" s="24">
        <v>11478</v>
      </c>
      <c r="AF75" s="24">
        <v>11556</v>
      </c>
      <c r="AG75" s="17">
        <v>0</v>
      </c>
      <c r="AH75" s="16" t="s">
        <v>130</v>
      </c>
      <c r="AI75" s="16" t="s">
        <v>49</v>
      </c>
      <c r="AJ75" s="16" t="s">
        <v>50</v>
      </c>
      <c r="AK75" s="16" t="s">
        <v>51</v>
      </c>
      <c r="AL75" s="25">
        <v>232000</v>
      </c>
      <c r="AM75" s="43">
        <f t="shared" si="7"/>
        <v>100.27081331353193</v>
      </c>
      <c r="AN75" s="16" t="s">
        <v>370</v>
      </c>
      <c r="AO75" s="16" t="s">
        <v>53</v>
      </c>
    </row>
    <row r="76" spans="1:41" ht="14.5" x14ac:dyDescent="0.35">
      <c r="A76" s="27" t="s">
        <v>371</v>
      </c>
      <c r="B76" s="16" t="s">
        <v>55</v>
      </c>
      <c r="C76" s="16" t="s">
        <v>43</v>
      </c>
      <c r="D76" s="16" t="s">
        <v>44</v>
      </c>
      <c r="E76" s="16" t="s">
        <v>372</v>
      </c>
      <c r="F76" s="16">
        <v>3</v>
      </c>
      <c r="G76" s="30" t="s">
        <v>373</v>
      </c>
      <c r="H76" s="16">
        <v>0</v>
      </c>
      <c r="I76" s="16" t="s">
        <v>47</v>
      </c>
      <c r="J76" s="16">
        <v>123</v>
      </c>
      <c r="K76" s="16">
        <v>1920</v>
      </c>
      <c r="L76" s="16">
        <v>450</v>
      </c>
      <c r="M76" s="8">
        <v>117</v>
      </c>
      <c r="N76" s="21">
        <v>45276</v>
      </c>
      <c r="O76" s="7">
        <f t="shared" si="4"/>
        <v>16</v>
      </c>
      <c r="P76" s="22">
        <f t="shared" si="5"/>
        <v>16</v>
      </c>
      <c r="Q76" s="22">
        <f t="shared" si="6"/>
        <v>31</v>
      </c>
      <c r="R76" s="16">
        <v>33</v>
      </c>
      <c r="S76" s="40">
        <v>4.6801505419999998</v>
      </c>
      <c r="T76" s="40">
        <v>-74.142956760000004</v>
      </c>
      <c r="U76" s="22">
        <v>13304</v>
      </c>
      <c r="V76" s="22">
        <v>13752.5</v>
      </c>
      <c r="W76" s="25">
        <v>12660</v>
      </c>
      <c r="X76" s="24">
        <v>12951</v>
      </c>
      <c r="Y76" s="24">
        <v>168427</v>
      </c>
      <c r="Z76" s="24">
        <v>178106</v>
      </c>
      <c r="AA76" s="24">
        <v>852</v>
      </c>
      <c r="AB76" s="24">
        <v>5255</v>
      </c>
      <c r="AC76" s="24">
        <v>53136</v>
      </c>
      <c r="AD76" s="24">
        <v>55139</v>
      </c>
      <c r="AE76" s="24">
        <v>8047</v>
      </c>
      <c r="AF76" s="24">
        <v>8134</v>
      </c>
      <c r="AG76" s="17">
        <v>0</v>
      </c>
      <c r="AH76" s="16" t="s">
        <v>48</v>
      </c>
      <c r="AI76" s="16" t="s">
        <v>49</v>
      </c>
      <c r="AJ76" s="16" t="s">
        <v>76</v>
      </c>
      <c r="AK76" s="16" t="s">
        <v>51</v>
      </c>
      <c r="AL76" s="25">
        <v>241405</v>
      </c>
      <c r="AM76" s="43">
        <f t="shared" si="7"/>
        <v>65.422764227642276</v>
      </c>
      <c r="AN76" s="16" t="s">
        <v>374</v>
      </c>
      <c r="AO76" s="16" t="s">
        <v>98</v>
      </c>
    </row>
    <row r="77" spans="1:41" ht="14.5" x14ac:dyDescent="0.35">
      <c r="A77" s="27" t="s">
        <v>375</v>
      </c>
      <c r="B77" s="16" t="s">
        <v>183</v>
      </c>
      <c r="C77" s="16" t="s">
        <v>184</v>
      </c>
      <c r="D77" s="16" t="s">
        <v>185</v>
      </c>
      <c r="E77" s="16" t="s">
        <v>347</v>
      </c>
      <c r="F77" s="16">
        <v>4</v>
      </c>
      <c r="G77" s="30" t="s">
        <v>376</v>
      </c>
      <c r="H77" s="16" t="s">
        <v>64</v>
      </c>
      <c r="I77" s="16" t="s">
        <v>47</v>
      </c>
      <c r="J77" s="16">
        <v>85.56</v>
      </c>
      <c r="K77" s="16">
        <v>1361</v>
      </c>
      <c r="L77" s="16">
        <v>980</v>
      </c>
      <c r="M77" s="8">
        <v>96</v>
      </c>
      <c r="N77" s="21">
        <v>46252</v>
      </c>
      <c r="O77" s="7">
        <f t="shared" si="4"/>
        <v>18</v>
      </c>
      <c r="P77" s="22">
        <f t="shared" si="5"/>
        <v>14</v>
      </c>
      <c r="Q77" s="22">
        <f t="shared" si="6"/>
        <v>31</v>
      </c>
      <c r="R77" s="16">
        <v>1</v>
      </c>
      <c r="S77" s="40">
        <v>11.01434602</v>
      </c>
      <c r="T77" s="40">
        <v>-74.836237850000003</v>
      </c>
      <c r="U77" s="22">
        <v>5262</v>
      </c>
      <c r="V77" s="22">
        <v>5262</v>
      </c>
      <c r="W77" s="25">
        <v>13128</v>
      </c>
      <c r="X77" s="24">
        <v>13128</v>
      </c>
      <c r="Y77" s="24">
        <v>69079</v>
      </c>
      <c r="Z77" s="24">
        <v>69079</v>
      </c>
      <c r="AA77" s="24">
        <v>-5233</v>
      </c>
      <c r="AB77" s="24">
        <v>-6223</v>
      </c>
      <c r="AC77" s="24">
        <v>30948</v>
      </c>
      <c r="AD77" s="24">
        <v>30948</v>
      </c>
      <c r="AE77" s="24">
        <v>4304</v>
      </c>
      <c r="AF77" s="24">
        <v>4304</v>
      </c>
      <c r="AG77" s="17">
        <v>0</v>
      </c>
      <c r="AH77" s="16" t="s">
        <v>58</v>
      </c>
      <c r="AI77" s="16" t="s">
        <v>49</v>
      </c>
      <c r="AJ77" s="16" t="s">
        <v>50</v>
      </c>
      <c r="AK77" s="16" t="s">
        <v>65</v>
      </c>
      <c r="AL77" s="25">
        <v>232000</v>
      </c>
      <c r="AM77" s="43">
        <f t="shared" si="7"/>
        <v>50.303880317905559</v>
      </c>
      <c r="AN77" s="16" t="s">
        <v>52</v>
      </c>
      <c r="AO77" s="16" t="s">
        <v>60</v>
      </c>
    </row>
    <row r="78" spans="1:41" ht="14.5" x14ac:dyDescent="0.35">
      <c r="A78" s="27" t="s">
        <v>377</v>
      </c>
      <c r="B78" s="16" t="s">
        <v>55</v>
      </c>
      <c r="C78" s="16" t="s">
        <v>43</v>
      </c>
      <c r="D78" s="16" t="s">
        <v>44</v>
      </c>
      <c r="E78" s="16" t="s">
        <v>236</v>
      </c>
      <c r="F78" s="16">
        <v>4</v>
      </c>
      <c r="G78" s="30" t="s">
        <v>378</v>
      </c>
      <c r="H78" s="16">
        <v>0</v>
      </c>
      <c r="I78" s="16" t="s">
        <v>47</v>
      </c>
      <c r="J78" s="16">
        <v>104.72</v>
      </c>
      <c r="K78" s="16">
        <v>1343</v>
      </c>
      <c r="L78" s="16">
        <v>1029</v>
      </c>
      <c r="M78" s="8">
        <v>118</v>
      </c>
      <c r="N78" s="21">
        <v>45226</v>
      </c>
      <c r="O78" s="7">
        <f t="shared" si="4"/>
        <v>27</v>
      </c>
      <c r="P78" s="22">
        <f t="shared" si="5"/>
        <v>5</v>
      </c>
      <c r="Q78" s="22">
        <f t="shared" si="6"/>
        <v>31</v>
      </c>
      <c r="R78" s="16">
        <v>35</v>
      </c>
      <c r="S78" s="40">
        <v>4.6716547799999999</v>
      </c>
      <c r="T78" s="40">
        <v>-74.106887080000007</v>
      </c>
      <c r="U78" s="22">
        <v>16939</v>
      </c>
      <c r="V78" s="22">
        <v>15717.5</v>
      </c>
      <c r="W78" s="25">
        <v>10770</v>
      </c>
      <c r="X78" s="24">
        <v>11073</v>
      </c>
      <c r="Y78" s="24">
        <v>182439</v>
      </c>
      <c r="Z78" s="24">
        <v>174032</v>
      </c>
      <c r="AA78" s="42">
        <v>7167</v>
      </c>
      <c r="AB78" s="42">
        <v>216</v>
      </c>
      <c r="AC78" s="24">
        <v>64997</v>
      </c>
      <c r="AD78" s="24">
        <v>56879</v>
      </c>
      <c r="AE78" s="24">
        <v>12622</v>
      </c>
      <c r="AF78" s="24">
        <v>12747</v>
      </c>
      <c r="AG78" s="17">
        <v>0</v>
      </c>
      <c r="AH78" s="16" t="s">
        <v>58</v>
      </c>
      <c r="AI78" s="16" t="s">
        <v>49</v>
      </c>
      <c r="AJ78" s="16" t="s">
        <v>50</v>
      </c>
      <c r="AK78" s="16" t="s">
        <v>51</v>
      </c>
      <c r="AL78" s="25">
        <v>232000</v>
      </c>
      <c r="AM78" s="43">
        <f t="shared" si="7"/>
        <v>120.53093964858671</v>
      </c>
      <c r="AN78" s="16" t="s">
        <v>379</v>
      </c>
      <c r="AO78" s="16" t="s">
        <v>60</v>
      </c>
    </row>
    <row r="79" spans="1:41" ht="14.5" x14ac:dyDescent="0.35">
      <c r="A79" s="27" t="s">
        <v>380</v>
      </c>
      <c r="B79" s="16" t="s">
        <v>55</v>
      </c>
      <c r="C79" s="16" t="s">
        <v>43</v>
      </c>
      <c r="D79" s="16" t="s">
        <v>44</v>
      </c>
      <c r="E79" s="16" t="s">
        <v>133</v>
      </c>
      <c r="F79" s="16">
        <v>3</v>
      </c>
      <c r="G79" s="30" t="s">
        <v>381</v>
      </c>
      <c r="H79" s="16" t="s">
        <v>382</v>
      </c>
      <c r="I79" s="16" t="s">
        <v>47</v>
      </c>
      <c r="J79" s="16">
        <v>137.53</v>
      </c>
      <c r="K79" s="16">
        <v>1334</v>
      </c>
      <c r="L79" s="16">
        <v>1547</v>
      </c>
      <c r="M79" s="8">
        <v>56</v>
      </c>
      <c r="N79" s="21">
        <v>45673</v>
      </c>
      <c r="O79" s="7">
        <f t="shared" si="4"/>
        <v>16</v>
      </c>
      <c r="P79" s="22">
        <f t="shared" si="5"/>
        <v>16</v>
      </c>
      <c r="Q79" s="22">
        <f t="shared" si="6"/>
        <v>31</v>
      </c>
      <c r="R79" s="16">
        <v>20</v>
      </c>
      <c r="S79" s="40">
        <v>4.6868017740000001</v>
      </c>
      <c r="T79" s="40">
        <v>-74.097759350000004</v>
      </c>
      <c r="U79" s="22">
        <v>14631</v>
      </c>
      <c r="V79" s="22">
        <v>14057</v>
      </c>
      <c r="W79" s="25">
        <v>11710</v>
      </c>
      <c r="X79" s="24">
        <v>10802</v>
      </c>
      <c r="Y79" s="24">
        <v>171327</v>
      </c>
      <c r="Z79" s="24">
        <v>151847</v>
      </c>
      <c r="AA79" s="24">
        <v>7187</v>
      </c>
      <c r="AB79" s="24">
        <v>4593</v>
      </c>
      <c r="AC79" s="24">
        <v>56955</v>
      </c>
      <c r="AD79" s="24">
        <v>50332</v>
      </c>
      <c r="AE79" s="24">
        <v>7364</v>
      </c>
      <c r="AF79" s="24">
        <v>7445</v>
      </c>
      <c r="AG79" s="17">
        <v>0</v>
      </c>
      <c r="AH79" s="16" t="s">
        <v>58</v>
      </c>
      <c r="AI79" s="16" t="s">
        <v>49</v>
      </c>
      <c r="AJ79" s="16" t="s">
        <v>50</v>
      </c>
      <c r="AK79" s="16" t="s">
        <v>51</v>
      </c>
      <c r="AL79" s="25">
        <v>204160</v>
      </c>
      <c r="AM79" s="43">
        <f t="shared" si="7"/>
        <v>53.544681160474077</v>
      </c>
      <c r="AN79" s="16" t="s">
        <v>383</v>
      </c>
      <c r="AO79" s="16" t="s">
        <v>60</v>
      </c>
    </row>
    <row r="80" spans="1:41" ht="14.5" x14ac:dyDescent="0.35">
      <c r="A80" s="27" t="s">
        <v>384</v>
      </c>
      <c r="B80" s="16" t="s">
        <v>42</v>
      </c>
      <c r="C80" s="16" t="s">
        <v>43</v>
      </c>
      <c r="D80" s="16" t="s">
        <v>44</v>
      </c>
      <c r="E80" s="16" t="s">
        <v>68</v>
      </c>
      <c r="F80" s="16">
        <v>6</v>
      </c>
      <c r="G80" s="30" t="s">
        <v>385</v>
      </c>
      <c r="H80" s="16" t="s">
        <v>386</v>
      </c>
      <c r="I80" s="16" t="s">
        <v>47</v>
      </c>
      <c r="J80" s="16">
        <v>117.25</v>
      </c>
      <c r="K80" s="16">
        <v>1601</v>
      </c>
      <c r="L80" s="16">
        <v>2335</v>
      </c>
      <c r="M80" s="8">
        <v>215</v>
      </c>
      <c r="N80" s="21">
        <v>45737</v>
      </c>
      <c r="O80" s="7">
        <f t="shared" si="4"/>
        <v>21</v>
      </c>
      <c r="P80" s="22">
        <f t="shared" si="5"/>
        <v>11</v>
      </c>
      <c r="Q80" s="22">
        <f t="shared" si="6"/>
        <v>31</v>
      </c>
      <c r="R80" s="16">
        <v>18</v>
      </c>
      <c r="S80" s="40">
        <v>4.6786169649999998</v>
      </c>
      <c r="T80" s="40">
        <v>-74.055254199999993</v>
      </c>
      <c r="U80" s="22">
        <v>26037</v>
      </c>
      <c r="V80" s="22">
        <v>26319</v>
      </c>
      <c r="W80" s="25">
        <v>10277</v>
      </c>
      <c r="X80" s="24">
        <v>10604</v>
      </c>
      <c r="Y80" s="24">
        <v>267568</v>
      </c>
      <c r="Z80" s="24">
        <v>279094</v>
      </c>
      <c r="AA80" s="24">
        <v>38539</v>
      </c>
      <c r="AB80" s="24">
        <v>44513</v>
      </c>
      <c r="AC80" s="24">
        <v>111203</v>
      </c>
      <c r="AD80" s="24">
        <v>116005</v>
      </c>
      <c r="AE80" s="24">
        <v>12612</v>
      </c>
      <c r="AF80" s="24">
        <v>12737</v>
      </c>
      <c r="AG80" s="17">
        <v>1.8017000000000001</v>
      </c>
      <c r="AH80" s="16" t="s">
        <v>82</v>
      </c>
      <c r="AI80" s="16" t="s">
        <v>49</v>
      </c>
      <c r="AJ80" s="16" t="s">
        <v>50</v>
      </c>
      <c r="AK80" s="16" t="s">
        <v>51</v>
      </c>
      <c r="AL80" s="25">
        <v>232000</v>
      </c>
      <c r="AM80" s="43">
        <f t="shared" si="7"/>
        <v>107.56503198294243</v>
      </c>
      <c r="AN80" s="16" t="s">
        <v>387</v>
      </c>
      <c r="AO80" s="16" t="s">
        <v>53</v>
      </c>
    </row>
    <row r="81" spans="1:41" ht="14.5" x14ac:dyDescent="0.35">
      <c r="A81" s="27" t="s">
        <v>388</v>
      </c>
      <c r="B81" s="16" t="s">
        <v>105</v>
      </c>
      <c r="C81" s="16" t="s">
        <v>112</v>
      </c>
      <c r="D81" s="16" t="s">
        <v>113</v>
      </c>
      <c r="E81" s="16" t="s">
        <v>268</v>
      </c>
      <c r="F81" s="16">
        <v>4</v>
      </c>
      <c r="G81" s="30" t="s">
        <v>389</v>
      </c>
      <c r="H81" s="16">
        <v>0</v>
      </c>
      <c r="I81" s="16" t="s">
        <v>47</v>
      </c>
      <c r="J81" s="16">
        <v>105.66</v>
      </c>
      <c r="K81" s="16">
        <v>1092</v>
      </c>
      <c r="L81" s="16">
        <v>2097</v>
      </c>
      <c r="M81" s="8">
        <v>105</v>
      </c>
      <c r="N81" s="21">
        <v>45377</v>
      </c>
      <c r="O81" s="7">
        <f t="shared" si="4"/>
        <v>26</v>
      </c>
      <c r="P81" s="22">
        <f t="shared" si="5"/>
        <v>6</v>
      </c>
      <c r="Q81" s="22">
        <f t="shared" si="6"/>
        <v>31</v>
      </c>
      <c r="R81" s="16">
        <v>30</v>
      </c>
      <c r="S81" s="40">
        <v>3.4592350569999999</v>
      </c>
      <c r="T81" s="40">
        <v>-76.532132809999993</v>
      </c>
      <c r="U81" s="22">
        <v>17836</v>
      </c>
      <c r="V81" s="22">
        <v>17314.5</v>
      </c>
      <c r="W81" s="25">
        <v>11697</v>
      </c>
      <c r="X81" s="24">
        <v>11606</v>
      </c>
      <c r="Y81" s="24">
        <v>208618</v>
      </c>
      <c r="Z81" s="24">
        <v>200949</v>
      </c>
      <c r="AA81" s="24">
        <v>4870</v>
      </c>
      <c r="AB81" s="24">
        <v>8791</v>
      </c>
      <c r="AC81" s="24">
        <v>82179</v>
      </c>
      <c r="AD81" s="24">
        <v>76722</v>
      </c>
      <c r="AE81" s="24">
        <v>13267</v>
      </c>
      <c r="AF81" s="24">
        <v>13398</v>
      </c>
      <c r="AG81" s="17">
        <v>0</v>
      </c>
      <c r="AH81" s="16" t="s">
        <v>58</v>
      </c>
      <c r="AI81" s="16" t="s">
        <v>49</v>
      </c>
      <c r="AJ81" s="16" t="s">
        <v>124</v>
      </c>
      <c r="AK81" s="16" t="s">
        <v>51</v>
      </c>
      <c r="AL81" s="25">
        <v>204160</v>
      </c>
      <c r="AM81" s="43">
        <f t="shared" si="7"/>
        <v>125.56312701116791</v>
      </c>
      <c r="AN81" s="16" t="s">
        <v>390</v>
      </c>
      <c r="AO81" s="16" t="s">
        <v>53</v>
      </c>
    </row>
    <row r="82" spans="1:41" ht="14.5" x14ac:dyDescent="0.35">
      <c r="A82" s="27" t="s">
        <v>391</v>
      </c>
      <c r="B82" s="16" t="s">
        <v>55</v>
      </c>
      <c r="C82" s="16" t="s">
        <v>43</v>
      </c>
      <c r="D82" s="16" t="s">
        <v>44</v>
      </c>
      <c r="E82" s="16" t="s">
        <v>362</v>
      </c>
      <c r="F82" s="16">
        <v>3</v>
      </c>
      <c r="G82" s="30" t="s">
        <v>392</v>
      </c>
      <c r="H82" s="16">
        <v>0</v>
      </c>
      <c r="I82" s="16" t="s">
        <v>47</v>
      </c>
      <c r="J82" s="16">
        <v>98.96</v>
      </c>
      <c r="K82" s="16">
        <v>1859</v>
      </c>
      <c r="L82" s="16">
        <v>266</v>
      </c>
      <c r="M82" s="8">
        <v>0</v>
      </c>
      <c r="N82" s="21">
        <v>44390</v>
      </c>
      <c r="O82" s="7">
        <f t="shared" si="4"/>
        <v>13</v>
      </c>
      <c r="P82" s="22">
        <f t="shared" si="5"/>
        <v>19</v>
      </c>
      <c r="Q82" s="22">
        <f t="shared" si="6"/>
        <v>31</v>
      </c>
      <c r="R82" s="16">
        <v>61</v>
      </c>
      <c r="S82" s="40">
        <v>4.6185017070000001</v>
      </c>
      <c r="T82" s="40">
        <v>-74.169601080000007</v>
      </c>
      <c r="U82" s="22">
        <v>15418</v>
      </c>
      <c r="V82" s="22">
        <v>15186.333329999999</v>
      </c>
      <c r="W82" s="25">
        <v>13822</v>
      </c>
      <c r="X82" s="24">
        <v>16447</v>
      </c>
      <c r="Y82" s="24">
        <v>213110</v>
      </c>
      <c r="Z82" s="24">
        <v>249769</v>
      </c>
      <c r="AA82" s="24">
        <v>11959</v>
      </c>
      <c r="AB82" s="24">
        <v>16049</v>
      </c>
      <c r="AC82" s="24">
        <v>65204</v>
      </c>
      <c r="AD82" s="24">
        <v>74538</v>
      </c>
      <c r="AE82" s="24">
        <v>6785</v>
      </c>
      <c r="AF82" s="24">
        <v>6677</v>
      </c>
      <c r="AG82" s="17">
        <v>0</v>
      </c>
      <c r="AH82" s="16" t="s">
        <v>217</v>
      </c>
      <c r="AI82" s="16" t="s">
        <v>49</v>
      </c>
      <c r="AJ82" s="16" t="s">
        <v>124</v>
      </c>
      <c r="AK82" s="16" t="s">
        <v>51</v>
      </c>
      <c r="AL82" s="25">
        <v>204160</v>
      </c>
      <c r="AM82" s="43">
        <f t="shared" si="7"/>
        <v>68.563055780113174</v>
      </c>
      <c r="AN82" s="16" t="s">
        <v>52</v>
      </c>
      <c r="AO82" s="16" t="s">
        <v>53</v>
      </c>
    </row>
    <row r="83" spans="1:41" ht="14.5" x14ac:dyDescent="0.35">
      <c r="A83" s="27" t="s">
        <v>393</v>
      </c>
      <c r="B83" s="16" t="s">
        <v>42</v>
      </c>
      <c r="C83" s="16" t="s">
        <v>43</v>
      </c>
      <c r="D83" s="16" t="s">
        <v>44</v>
      </c>
      <c r="E83" s="16" t="s">
        <v>394</v>
      </c>
      <c r="F83" s="16">
        <v>3</v>
      </c>
      <c r="G83" s="30" t="s">
        <v>395</v>
      </c>
      <c r="H83" s="16" t="s">
        <v>396</v>
      </c>
      <c r="I83" s="16" t="s">
        <v>47</v>
      </c>
      <c r="J83" s="16">
        <v>96.98</v>
      </c>
      <c r="K83" s="16">
        <v>3595</v>
      </c>
      <c r="L83" s="16">
        <v>210</v>
      </c>
      <c r="M83" s="8">
        <v>84</v>
      </c>
      <c r="N83" s="21">
        <v>45517</v>
      </c>
      <c r="O83" s="7">
        <f t="shared" si="4"/>
        <v>13</v>
      </c>
      <c r="P83" s="22">
        <f t="shared" si="5"/>
        <v>19</v>
      </c>
      <c r="Q83" s="22">
        <f t="shared" si="6"/>
        <v>31</v>
      </c>
      <c r="R83" s="16">
        <v>25</v>
      </c>
      <c r="S83" s="40">
        <v>4.745576668</v>
      </c>
      <c r="T83" s="40">
        <v>-74.050356699999995</v>
      </c>
      <c r="U83" s="22">
        <v>16944</v>
      </c>
      <c r="V83" s="22">
        <v>16326.666670000001</v>
      </c>
      <c r="W83" s="25">
        <v>14019</v>
      </c>
      <c r="X83" s="24">
        <v>14656</v>
      </c>
      <c r="Y83" s="24">
        <v>237544</v>
      </c>
      <c r="Z83" s="24">
        <v>239286</v>
      </c>
      <c r="AA83" s="24">
        <v>26246</v>
      </c>
      <c r="AB83" s="24">
        <v>23177</v>
      </c>
      <c r="AC83" s="24">
        <v>82777</v>
      </c>
      <c r="AD83" s="24">
        <v>80343</v>
      </c>
      <c r="AE83" s="24">
        <v>8201</v>
      </c>
      <c r="AF83" s="24">
        <v>8006</v>
      </c>
      <c r="AG83" s="17">
        <v>0</v>
      </c>
      <c r="AH83" s="16" t="s">
        <v>136</v>
      </c>
      <c r="AI83" s="16" t="s">
        <v>49</v>
      </c>
      <c r="AJ83" s="16" t="s">
        <v>76</v>
      </c>
      <c r="AK83" s="16" t="s">
        <v>51</v>
      </c>
      <c r="AL83" s="25">
        <v>241405</v>
      </c>
      <c r="AM83" s="43">
        <f t="shared" si="7"/>
        <v>84.563827593318209</v>
      </c>
      <c r="AN83" s="16" t="s">
        <v>397</v>
      </c>
      <c r="AO83" s="16" t="s">
        <v>60</v>
      </c>
    </row>
    <row r="84" spans="1:41" ht="14.5" x14ac:dyDescent="0.35">
      <c r="A84" s="27" t="s">
        <v>398</v>
      </c>
      <c r="B84" s="16" t="s">
        <v>42</v>
      </c>
      <c r="C84" s="16" t="s">
        <v>43</v>
      </c>
      <c r="D84" s="16" t="s">
        <v>44</v>
      </c>
      <c r="E84" s="16" t="s">
        <v>399</v>
      </c>
      <c r="F84" s="16">
        <v>5</v>
      </c>
      <c r="G84" s="30" t="s">
        <v>400</v>
      </c>
      <c r="H84" s="16">
        <v>0</v>
      </c>
      <c r="I84" s="16" t="s">
        <v>47</v>
      </c>
      <c r="J84" s="16">
        <v>147.09</v>
      </c>
      <c r="K84" s="16">
        <v>265</v>
      </c>
      <c r="L84" s="16">
        <v>4718</v>
      </c>
      <c r="M84" s="8">
        <v>84</v>
      </c>
      <c r="N84" s="21">
        <v>40072</v>
      </c>
      <c r="O84" s="7">
        <f t="shared" si="4"/>
        <v>16</v>
      </c>
      <c r="P84" s="22">
        <f t="shared" si="5"/>
        <v>15</v>
      </c>
      <c r="Q84" s="22">
        <f t="shared" si="6"/>
        <v>30</v>
      </c>
      <c r="R84" s="16">
        <v>115</v>
      </c>
      <c r="S84" s="40">
        <v>4.7222153269999998</v>
      </c>
      <c r="T84" s="40">
        <v>-74.066813600000003</v>
      </c>
      <c r="U84" s="22">
        <v>15346</v>
      </c>
      <c r="V84" s="22">
        <v>14324.666670000001</v>
      </c>
      <c r="W84" s="25">
        <v>14302</v>
      </c>
      <c r="X84" s="24">
        <v>15682</v>
      </c>
      <c r="Y84" s="24">
        <v>219479</v>
      </c>
      <c r="Z84" s="24">
        <v>224638</v>
      </c>
      <c r="AA84" s="42">
        <v>2006</v>
      </c>
      <c r="AB84" s="24">
        <v>5135</v>
      </c>
      <c r="AC84" s="24">
        <v>77974</v>
      </c>
      <c r="AD84" s="24">
        <v>78009</v>
      </c>
      <c r="AE84" s="24">
        <v>15135</v>
      </c>
      <c r="AF84" s="24">
        <v>15032</v>
      </c>
      <c r="AG84" s="17">
        <v>0</v>
      </c>
      <c r="AH84" s="16" t="s">
        <v>58</v>
      </c>
      <c r="AI84" s="16" t="s">
        <v>49</v>
      </c>
      <c r="AJ84" s="16" t="s">
        <v>50</v>
      </c>
      <c r="AK84" s="16" t="s">
        <v>51</v>
      </c>
      <c r="AL84" s="25">
        <v>232000</v>
      </c>
      <c r="AM84" s="43">
        <f t="shared" si="7"/>
        <v>102.89618600856618</v>
      </c>
      <c r="AN84" s="16" t="s">
        <v>52</v>
      </c>
      <c r="AO84" s="16" t="s">
        <v>53</v>
      </c>
    </row>
    <row r="85" spans="1:41" ht="14.5" x14ac:dyDescent="0.35">
      <c r="A85" s="27" t="s">
        <v>401</v>
      </c>
      <c r="B85" s="16" t="s">
        <v>119</v>
      </c>
      <c r="C85" s="16" t="s">
        <v>120</v>
      </c>
      <c r="D85" s="16" t="s">
        <v>121</v>
      </c>
      <c r="E85" s="16" t="s">
        <v>190</v>
      </c>
      <c r="F85" s="16">
        <v>5</v>
      </c>
      <c r="G85" s="30" t="s">
        <v>402</v>
      </c>
      <c r="H85" s="16">
        <v>0</v>
      </c>
      <c r="I85" s="16" t="s">
        <v>47</v>
      </c>
      <c r="J85" s="16">
        <v>256.13</v>
      </c>
      <c r="K85" s="16">
        <v>944</v>
      </c>
      <c r="L85" s="16">
        <v>1105</v>
      </c>
      <c r="M85" s="8">
        <v>145</v>
      </c>
      <c r="N85" s="21">
        <v>45199</v>
      </c>
      <c r="O85" s="7">
        <f t="shared" si="4"/>
        <v>30</v>
      </c>
      <c r="P85" s="22">
        <f t="shared" si="5"/>
        <v>1</v>
      </c>
      <c r="Q85" s="22">
        <f t="shared" si="6"/>
        <v>30</v>
      </c>
      <c r="R85" s="16">
        <v>36</v>
      </c>
      <c r="S85" s="40">
        <v>7.1166636219999999</v>
      </c>
      <c r="T85" s="40">
        <v>-73.109974309999998</v>
      </c>
      <c r="U85" s="22">
        <v>28719</v>
      </c>
      <c r="V85" s="22">
        <v>26980.833330000001</v>
      </c>
      <c r="W85" s="25">
        <v>9478</v>
      </c>
      <c r="X85" s="24">
        <v>9830</v>
      </c>
      <c r="Y85" s="24">
        <v>272210</v>
      </c>
      <c r="Z85" s="24">
        <v>265224</v>
      </c>
      <c r="AA85" s="24">
        <v>31278</v>
      </c>
      <c r="AB85" s="24">
        <v>32138</v>
      </c>
      <c r="AC85" s="24">
        <v>107725</v>
      </c>
      <c r="AD85" s="24">
        <v>103192</v>
      </c>
      <c r="AE85" s="24">
        <v>13291</v>
      </c>
      <c r="AF85" s="24">
        <v>12878</v>
      </c>
      <c r="AG85" s="17">
        <v>0</v>
      </c>
      <c r="AH85" s="16" t="s">
        <v>58</v>
      </c>
      <c r="AI85" s="16" t="s">
        <v>49</v>
      </c>
      <c r="AJ85" s="16" t="s">
        <v>50</v>
      </c>
      <c r="AK85" s="16" t="s">
        <v>51</v>
      </c>
      <c r="AL85" s="25">
        <v>232000</v>
      </c>
      <c r="AM85" s="43">
        <f t="shared" si="7"/>
        <v>51.891617537969005</v>
      </c>
      <c r="AN85" s="16" t="s">
        <v>390</v>
      </c>
      <c r="AO85" s="16" t="s">
        <v>60</v>
      </c>
    </row>
    <row r="86" spans="1:41" ht="14.5" x14ac:dyDescent="0.35">
      <c r="A86" s="27" t="s">
        <v>403</v>
      </c>
      <c r="B86" s="16" t="s">
        <v>105</v>
      </c>
      <c r="C86" s="16" t="s">
        <v>157</v>
      </c>
      <c r="D86" s="16" t="s">
        <v>158</v>
      </c>
      <c r="E86" s="16" t="s">
        <v>263</v>
      </c>
      <c r="F86" s="16">
        <v>4</v>
      </c>
      <c r="G86" s="30" t="s">
        <v>404</v>
      </c>
      <c r="H86" s="16" t="s">
        <v>405</v>
      </c>
      <c r="I86" s="16" t="s">
        <v>102</v>
      </c>
      <c r="J86" s="16">
        <v>89.16</v>
      </c>
      <c r="K86" s="16">
        <v>254</v>
      </c>
      <c r="L86" s="16">
        <v>2850</v>
      </c>
      <c r="M86" s="8">
        <v>44</v>
      </c>
      <c r="N86" s="21">
        <v>45747</v>
      </c>
      <c r="O86" s="7">
        <f t="shared" si="4"/>
        <v>31</v>
      </c>
      <c r="P86" s="22">
        <f t="shared" si="5"/>
        <v>1</v>
      </c>
      <c r="Q86" s="22">
        <f t="shared" si="6"/>
        <v>31</v>
      </c>
      <c r="R86" s="16">
        <v>18</v>
      </c>
      <c r="S86" s="40">
        <v>6.2524728830000003</v>
      </c>
      <c r="T86" s="40">
        <v>-75.587860059999997</v>
      </c>
      <c r="U86" s="22">
        <v>22719</v>
      </c>
      <c r="V86" s="22">
        <v>20412.833330000001</v>
      </c>
      <c r="W86" s="25">
        <v>11470</v>
      </c>
      <c r="X86" s="24">
        <v>12088</v>
      </c>
      <c r="Y86" s="24">
        <v>260590</v>
      </c>
      <c r="Z86" s="24">
        <v>246752</v>
      </c>
      <c r="AA86" s="24">
        <v>32012</v>
      </c>
      <c r="AB86" s="24">
        <v>24182</v>
      </c>
      <c r="AC86" s="24">
        <v>96661</v>
      </c>
      <c r="AD86" s="24">
        <v>90973</v>
      </c>
      <c r="AE86" s="24">
        <v>13138</v>
      </c>
      <c r="AF86" s="24">
        <v>13220</v>
      </c>
      <c r="AG86" s="17">
        <v>2.0310000000000001</v>
      </c>
      <c r="AH86" s="16" t="s">
        <v>58</v>
      </c>
      <c r="AI86" s="16" t="s">
        <v>49</v>
      </c>
      <c r="AJ86" s="16" t="s">
        <v>124</v>
      </c>
      <c r="AK86" s="16" t="s">
        <v>51</v>
      </c>
      <c r="AL86" s="25">
        <v>204160</v>
      </c>
      <c r="AM86" s="43">
        <f t="shared" si="7"/>
        <v>147.35307312696276</v>
      </c>
      <c r="AN86" s="16" t="s">
        <v>390</v>
      </c>
      <c r="AO86" s="16" t="s">
        <v>60</v>
      </c>
    </row>
    <row r="87" spans="1:41" ht="14.5" x14ac:dyDescent="0.35">
      <c r="A87" s="27" t="s">
        <v>406</v>
      </c>
      <c r="B87" s="16" t="s">
        <v>55</v>
      </c>
      <c r="C87" s="16" t="s">
        <v>43</v>
      </c>
      <c r="D87" s="16" t="s">
        <v>44</v>
      </c>
      <c r="E87" s="16" t="s">
        <v>407</v>
      </c>
      <c r="F87" s="16">
        <v>4</v>
      </c>
      <c r="G87" s="30" t="s">
        <v>408</v>
      </c>
      <c r="H87" s="16" t="s">
        <v>409</v>
      </c>
      <c r="I87" s="16" t="s">
        <v>102</v>
      </c>
      <c r="J87" s="16">
        <v>134.68</v>
      </c>
      <c r="K87" s="16">
        <v>1343</v>
      </c>
      <c r="L87" s="16">
        <v>8600</v>
      </c>
      <c r="M87" s="8">
        <v>156</v>
      </c>
      <c r="N87" s="21">
        <v>45502</v>
      </c>
      <c r="O87" s="7">
        <f t="shared" si="4"/>
        <v>29</v>
      </c>
      <c r="P87" s="22">
        <f t="shared" si="5"/>
        <v>3</v>
      </c>
      <c r="Q87" s="22">
        <f t="shared" si="6"/>
        <v>31</v>
      </c>
      <c r="R87" s="16">
        <v>26</v>
      </c>
      <c r="S87" s="40">
        <v>4.672422793</v>
      </c>
      <c r="T87" s="40">
        <v>-74.126288049999999</v>
      </c>
      <c r="U87" s="22">
        <v>28041</v>
      </c>
      <c r="V87" s="22">
        <v>28273.833330000001</v>
      </c>
      <c r="W87" s="25">
        <v>10942</v>
      </c>
      <c r="X87" s="24">
        <v>11132</v>
      </c>
      <c r="Y87" s="24">
        <v>306812</v>
      </c>
      <c r="Z87" s="24">
        <v>314734</v>
      </c>
      <c r="AA87" s="24">
        <v>35029</v>
      </c>
      <c r="AB87" s="24">
        <v>39138</v>
      </c>
      <c r="AC87" s="24">
        <v>115913</v>
      </c>
      <c r="AD87" s="24">
        <v>116144</v>
      </c>
      <c r="AE87" s="24">
        <v>13129</v>
      </c>
      <c r="AF87" s="24">
        <v>12913</v>
      </c>
      <c r="AG87" s="17">
        <v>0</v>
      </c>
      <c r="AH87" s="16" t="s">
        <v>82</v>
      </c>
      <c r="AI87" s="16" t="s">
        <v>49</v>
      </c>
      <c r="AJ87" s="16" t="s">
        <v>50</v>
      </c>
      <c r="AK87" s="16" t="s">
        <v>51</v>
      </c>
      <c r="AL87" s="25">
        <v>232000</v>
      </c>
      <c r="AM87" s="43">
        <f t="shared" si="7"/>
        <v>97.482922482922476</v>
      </c>
      <c r="AN87" s="16" t="s">
        <v>410</v>
      </c>
      <c r="AO87" s="16" t="s">
        <v>53</v>
      </c>
    </row>
    <row r="88" spans="1:41" ht="14.5" x14ac:dyDescent="0.35">
      <c r="A88" s="27" t="s">
        <v>411</v>
      </c>
      <c r="B88" s="16" t="s">
        <v>55</v>
      </c>
      <c r="C88" s="16" t="s">
        <v>43</v>
      </c>
      <c r="D88" s="16" t="s">
        <v>44</v>
      </c>
      <c r="E88" s="16" t="s">
        <v>407</v>
      </c>
      <c r="F88" s="16">
        <v>4</v>
      </c>
      <c r="G88" s="30" t="s">
        <v>412</v>
      </c>
      <c r="H88" s="16" t="s">
        <v>413</v>
      </c>
      <c r="I88" s="16" t="s">
        <v>102</v>
      </c>
      <c r="J88" s="16">
        <v>123</v>
      </c>
      <c r="K88" s="16">
        <v>0</v>
      </c>
      <c r="L88" s="16">
        <v>0</v>
      </c>
      <c r="M88" s="8">
        <v>159</v>
      </c>
      <c r="N88" s="21">
        <v>46172</v>
      </c>
      <c r="O88" s="7">
        <f t="shared" si="4"/>
        <v>30</v>
      </c>
      <c r="P88" s="22">
        <f t="shared" si="5"/>
        <v>2</v>
      </c>
      <c r="Q88" s="22">
        <f t="shared" si="6"/>
        <v>31</v>
      </c>
      <c r="R88" s="16">
        <v>4</v>
      </c>
      <c r="S88" s="40">
        <v>4.6826915580000001</v>
      </c>
      <c r="T88" s="40">
        <v>-74.124212920000005</v>
      </c>
      <c r="U88" s="22">
        <v>32735</v>
      </c>
      <c r="V88" s="22">
        <v>25511.5</v>
      </c>
      <c r="W88" s="25">
        <v>9563</v>
      </c>
      <c r="X88" s="24">
        <v>10050</v>
      </c>
      <c r="Y88" s="24">
        <v>313047</v>
      </c>
      <c r="Z88" s="24">
        <v>256385</v>
      </c>
      <c r="AA88" s="24">
        <v>63191</v>
      </c>
      <c r="AB88" s="24">
        <v>54875</v>
      </c>
      <c r="AC88" s="24">
        <v>135650</v>
      </c>
      <c r="AD88" s="24">
        <v>110315</v>
      </c>
      <c r="AE88" s="24">
        <v>13000</v>
      </c>
      <c r="AF88" s="24">
        <v>6999</v>
      </c>
      <c r="AG88" s="17">
        <v>2.2787000000000002</v>
      </c>
      <c r="AH88" s="16" t="s">
        <v>130</v>
      </c>
      <c r="AI88" s="16" t="s">
        <v>49</v>
      </c>
      <c r="AJ88" s="16" t="s">
        <v>124</v>
      </c>
      <c r="AK88" s="16" t="s">
        <v>65</v>
      </c>
      <c r="AL88" s="25">
        <v>232000</v>
      </c>
      <c r="AM88" s="43">
        <f t="shared" si="7"/>
        <v>105.6910569105691</v>
      </c>
      <c r="AN88" s="16" t="s">
        <v>52</v>
      </c>
      <c r="AO88" s="16" t="s">
        <v>60</v>
      </c>
    </row>
    <row r="89" spans="1:41" ht="14.5" x14ac:dyDescent="0.35">
      <c r="A89" s="27" t="s">
        <v>414</v>
      </c>
      <c r="B89" s="16" t="s">
        <v>119</v>
      </c>
      <c r="C89" s="16" t="s">
        <v>120</v>
      </c>
      <c r="D89" s="16" t="s">
        <v>121</v>
      </c>
      <c r="E89" s="16" t="s">
        <v>190</v>
      </c>
      <c r="F89" s="16">
        <v>5</v>
      </c>
      <c r="G89" s="30" t="s">
        <v>415</v>
      </c>
      <c r="H89" s="16">
        <v>0</v>
      </c>
      <c r="I89" s="16" t="s">
        <v>47</v>
      </c>
      <c r="J89" s="16">
        <v>131.30000000000001</v>
      </c>
      <c r="K89" s="16">
        <v>347</v>
      </c>
      <c r="L89" s="16">
        <v>2158</v>
      </c>
      <c r="M89" s="8">
        <v>0</v>
      </c>
      <c r="N89" s="21">
        <v>42551</v>
      </c>
      <c r="O89" s="7">
        <f t="shared" si="4"/>
        <v>30</v>
      </c>
      <c r="P89" s="22">
        <f t="shared" si="5"/>
        <v>1</v>
      </c>
      <c r="Q89" s="22">
        <f t="shared" si="6"/>
        <v>30</v>
      </c>
      <c r="R89" s="16">
        <v>116</v>
      </c>
      <c r="S89">
        <v>7.1132468640908098</v>
      </c>
      <c r="T89">
        <v>-73.1093559931154</v>
      </c>
      <c r="U89" s="22">
        <v>27518</v>
      </c>
      <c r="V89" s="22">
        <v>25634.666669999999</v>
      </c>
      <c r="W89" s="25">
        <v>9420</v>
      </c>
      <c r="X89" s="24">
        <v>10222</v>
      </c>
      <c r="Y89" s="24">
        <v>259232</v>
      </c>
      <c r="Z89" s="24">
        <v>262030</v>
      </c>
      <c r="AA89" s="24">
        <v>19190</v>
      </c>
      <c r="AB89" s="24">
        <v>32211</v>
      </c>
      <c r="AC89" s="24">
        <v>102044</v>
      </c>
      <c r="AD89" s="24">
        <v>103538</v>
      </c>
      <c r="AE89" s="24">
        <v>13147</v>
      </c>
      <c r="AF89" s="24">
        <v>13277</v>
      </c>
      <c r="AG89" s="17">
        <v>0</v>
      </c>
      <c r="AH89" s="16" t="s">
        <v>136</v>
      </c>
      <c r="AI89" s="16" t="s">
        <v>49</v>
      </c>
      <c r="AJ89" s="16" t="s">
        <v>76</v>
      </c>
      <c r="AK89" s="16" t="s">
        <v>51</v>
      </c>
      <c r="AL89" s="25">
        <v>241405</v>
      </c>
      <c r="AM89" s="43">
        <f t="shared" si="7"/>
        <v>100.12947448591012</v>
      </c>
      <c r="AN89" s="16" t="s">
        <v>52</v>
      </c>
      <c r="AO89" s="16" t="s">
        <v>60</v>
      </c>
    </row>
    <row r="90" spans="1:41" ht="14.5" x14ac:dyDescent="0.35">
      <c r="A90" s="27" t="s">
        <v>416</v>
      </c>
      <c r="B90" s="16" t="s">
        <v>119</v>
      </c>
      <c r="C90" s="16" t="s">
        <v>120</v>
      </c>
      <c r="D90" s="16" t="s">
        <v>121</v>
      </c>
      <c r="E90" s="16" t="s">
        <v>190</v>
      </c>
      <c r="F90" s="16">
        <v>4</v>
      </c>
      <c r="G90" s="30" t="s">
        <v>417</v>
      </c>
      <c r="H90" s="16">
        <v>0</v>
      </c>
      <c r="I90" s="16" t="s">
        <v>47</v>
      </c>
      <c r="J90" s="16">
        <v>140.9</v>
      </c>
      <c r="K90" s="16">
        <v>1676</v>
      </c>
      <c r="L90" s="16">
        <v>378</v>
      </c>
      <c r="M90" s="8">
        <v>130</v>
      </c>
      <c r="N90" s="21">
        <v>45136</v>
      </c>
      <c r="O90" s="7">
        <f t="shared" si="4"/>
        <v>29</v>
      </c>
      <c r="P90" s="22">
        <f t="shared" si="5"/>
        <v>3</v>
      </c>
      <c r="Q90" s="22">
        <f t="shared" si="6"/>
        <v>31</v>
      </c>
      <c r="R90" s="16">
        <v>38</v>
      </c>
      <c r="S90">
        <v>7.09824555648055</v>
      </c>
      <c r="T90">
        <v>-73.109068400413705</v>
      </c>
      <c r="U90" s="22">
        <v>21844</v>
      </c>
      <c r="V90" s="22">
        <v>19892.666669999999</v>
      </c>
      <c r="W90" s="25">
        <v>12447</v>
      </c>
      <c r="X90" s="24">
        <v>12984</v>
      </c>
      <c r="Y90" s="24">
        <v>271900</v>
      </c>
      <c r="Z90" s="24">
        <v>258283</v>
      </c>
      <c r="AA90" s="24">
        <v>32920</v>
      </c>
      <c r="AB90" s="24">
        <v>31694</v>
      </c>
      <c r="AC90" s="24">
        <v>101572</v>
      </c>
      <c r="AD90" s="24">
        <v>95064</v>
      </c>
      <c r="AE90" s="24">
        <v>7721</v>
      </c>
      <c r="AF90" s="24">
        <v>7598</v>
      </c>
      <c r="AG90" s="17">
        <v>0</v>
      </c>
      <c r="AH90" s="16" t="s">
        <v>48</v>
      </c>
      <c r="AI90" s="16" t="s">
        <v>49</v>
      </c>
      <c r="AJ90" s="16" t="s">
        <v>50</v>
      </c>
      <c r="AK90" s="16" t="s">
        <v>51</v>
      </c>
      <c r="AL90" s="25">
        <v>232000</v>
      </c>
      <c r="AM90" s="43">
        <f t="shared" si="7"/>
        <v>54.797728885734564</v>
      </c>
      <c r="AN90" s="16">
        <v>0</v>
      </c>
      <c r="AO90" s="16" t="s">
        <v>98</v>
      </c>
    </row>
    <row r="91" spans="1:41" ht="14.5" x14ac:dyDescent="0.35">
      <c r="A91" s="27" t="s">
        <v>418</v>
      </c>
      <c r="B91" s="16" t="s">
        <v>55</v>
      </c>
      <c r="C91" s="16" t="s">
        <v>419</v>
      </c>
      <c r="D91" s="16" t="s">
        <v>420</v>
      </c>
      <c r="E91" s="16" t="s">
        <v>421</v>
      </c>
      <c r="F91" s="16">
        <v>3</v>
      </c>
      <c r="G91" s="30" t="s">
        <v>422</v>
      </c>
      <c r="H91" s="16" t="s">
        <v>423</v>
      </c>
      <c r="I91" s="16" t="s">
        <v>47</v>
      </c>
      <c r="J91" s="16">
        <v>167.64</v>
      </c>
      <c r="K91" s="16">
        <v>506</v>
      </c>
      <c r="L91" s="16">
        <v>1780</v>
      </c>
      <c r="M91" s="8">
        <v>127</v>
      </c>
      <c r="N91" s="21">
        <v>45836</v>
      </c>
      <c r="O91" s="7">
        <f t="shared" si="4"/>
        <v>28</v>
      </c>
      <c r="P91" s="22">
        <f t="shared" si="5"/>
        <v>3</v>
      </c>
      <c r="Q91" s="22">
        <f t="shared" si="6"/>
        <v>30</v>
      </c>
      <c r="R91" s="16">
        <v>15</v>
      </c>
      <c r="S91">
        <v>4.4373791664102802</v>
      </c>
      <c r="T91">
        <v>-75.220015226139793</v>
      </c>
      <c r="U91" s="22">
        <v>18227</v>
      </c>
      <c r="V91" s="22">
        <v>16827</v>
      </c>
      <c r="W91" s="25">
        <v>10590</v>
      </c>
      <c r="X91" s="24">
        <v>11109</v>
      </c>
      <c r="Y91" s="24">
        <v>193027</v>
      </c>
      <c r="Z91" s="24">
        <v>186922</v>
      </c>
      <c r="AA91" s="24">
        <v>9237</v>
      </c>
      <c r="AB91" s="24">
        <v>13180</v>
      </c>
      <c r="AC91" s="24">
        <v>79798</v>
      </c>
      <c r="AD91" s="24">
        <v>75253</v>
      </c>
      <c r="AE91" s="24">
        <v>9459</v>
      </c>
      <c r="AF91" s="24">
        <v>9317</v>
      </c>
      <c r="AG91" s="17">
        <v>1.3159000000000001</v>
      </c>
      <c r="AH91" s="16" t="s">
        <v>48</v>
      </c>
      <c r="AI91" s="16" t="s">
        <v>49</v>
      </c>
      <c r="AJ91" s="16" t="s">
        <v>76</v>
      </c>
      <c r="AK91" s="16" t="s">
        <v>51</v>
      </c>
      <c r="AL91" s="25">
        <v>241405</v>
      </c>
      <c r="AM91" s="43">
        <f t="shared" si="7"/>
        <v>56.42448103078025</v>
      </c>
      <c r="AN91" s="16" t="s">
        <v>424</v>
      </c>
      <c r="AO91" s="16" t="s">
        <v>60</v>
      </c>
    </row>
    <row r="92" spans="1:41" ht="14.5" x14ac:dyDescent="0.35">
      <c r="A92" s="27" t="s">
        <v>425</v>
      </c>
      <c r="B92" s="16" t="s">
        <v>42</v>
      </c>
      <c r="C92" s="16" t="s">
        <v>93</v>
      </c>
      <c r="D92" s="16" t="s">
        <v>426</v>
      </c>
      <c r="E92" s="16" t="s">
        <v>427</v>
      </c>
      <c r="F92" s="16">
        <v>3</v>
      </c>
      <c r="G92" s="30" t="s">
        <v>428</v>
      </c>
      <c r="H92" s="16">
        <v>0</v>
      </c>
      <c r="I92" s="16" t="s">
        <v>429</v>
      </c>
      <c r="J92" s="16">
        <v>100.86</v>
      </c>
      <c r="K92" s="16">
        <v>785</v>
      </c>
      <c r="L92" s="16">
        <v>310</v>
      </c>
      <c r="M92" s="8">
        <v>44</v>
      </c>
      <c r="N92" s="21">
        <v>45260</v>
      </c>
      <c r="O92" s="7">
        <f t="shared" si="4"/>
        <v>30</v>
      </c>
      <c r="P92" s="22">
        <f t="shared" si="5"/>
        <v>1</v>
      </c>
      <c r="Q92" s="22">
        <f t="shared" si="6"/>
        <v>30</v>
      </c>
      <c r="R92" s="16">
        <v>34</v>
      </c>
      <c r="S92">
        <v>4.9056973117677103</v>
      </c>
      <c r="T92">
        <v>-74.025034146087705</v>
      </c>
      <c r="U92" s="22">
        <v>12472</v>
      </c>
      <c r="V92" s="22">
        <v>12456.333329999999</v>
      </c>
      <c r="W92" s="25">
        <v>16217</v>
      </c>
      <c r="X92" s="24">
        <v>16313</v>
      </c>
      <c r="Y92" s="24">
        <v>202252</v>
      </c>
      <c r="Z92" s="24">
        <v>203206</v>
      </c>
      <c r="AA92" s="24">
        <v>21362</v>
      </c>
      <c r="AB92" s="24">
        <v>23824</v>
      </c>
      <c r="AC92" s="24">
        <v>81927</v>
      </c>
      <c r="AD92" s="24">
        <v>80151</v>
      </c>
      <c r="AE92" s="24">
        <v>8162</v>
      </c>
      <c r="AF92" s="24">
        <v>8250</v>
      </c>
      <c r="AG92" s="17">
        <v>0</v>
      </c>
      <c r="AH92" s="16" t="s">
        <v>58</v>
      </c>
      <c r="AI92" s="16" t="s">
        <v>49</v>
      </c>
      <c r="AJ92" s="16" t="s">
        <v>124</v>
      </c>
      <c r="AK92" s="16" t="s">
        <v>51</v>
      </c>
      <c r="AL92" s="25">
        <v>204160</v>
      </c>
      <c r="AM92" s="43">
        <f t="shared" si="7"/>
        <v>80.92405314297045</v>
      </c>
      <c r="AN92" s="16" t="s">
        <v>430</v>
      </c>
      <c r="AO92" s="16" t="s">
        <v>53</v>
      </c>
    </row>
    <row r="93" spans="1:41" ht="14.5" x14ac:dyDescent="0.35">
      <c r="A93" s="27" t="s">
        <v>431</v>
      </c>
      <c r="B93" s="16" t="s">
        <v>42</v>
      </c>
      <c r="C93" s="16" t="s">
        <v>93</v>
      </c>
      <c r="D93" s="16" t="s">
        <v>426</v>
      </c>
      <c r="E93" s="16" t="s">
        <v>427</v>
      </c>
      <c r="F93" s="16">
        <v>5</v>
      </c>
      <c r="G93" s="30" t="s">
        <v>432</v>
      </c>
      <c r="H93" s="16">
        <v>0</v>
      </c>
      <c r="I93" s="16" t="s">
        <v>47</v>
      </c>
      <c r="J93" s="16">
        <v>114.57</v>
      </c>
      <c r="K93" s="16">
        <v>1250</v>
      </c>
      <c r="L93" s="16">
        <v>70</v>
      </c>
      <c r="M93" s="8">
        <v>98</v>
      </c>
      <c r="N93" s="21">
        <v>45075</v>
      </c>
      <c r="O93" s="7">
        <f t="shared" si="4"/>
        <v>29</v>
      </c>
      <c r="P93" s="22">
        <f t="shared" si="5"/>
        <v>3</v>
      </c>
      <c r="Q93" s="22">
        <f t="shared" si="6"/>
        <v>31</v>
      </c>
      <c r="R93" s="16">
        <v>40</v>
      </c>
      <c r="S93">
        <v>4.9236337207752996</v>
      </c>
      <c r="T93">
        <v>-74.032969487494896</v>
      </c>
      <c r="U93" s="22">
        <v>14085</v>
      </c>
      <c r="V93" s="22">
        <v>14550.833329999999</v>
      </c>
      <c r="W93" s="25">
        <v>14416</v>
      </c>
      <c r="X93" s="24">
        <v>15045</v>
      </c>
      <c r="Y93" s="24">
        <v>203053</v>
      </c>
      <c r="Z93" s="24">
        <v>218917</v>
      </c>
      <c r="AA93" s="24">
        <v>14235</v>
      </c>
      <c r="AB93" s="24">
        <v>15405</v>
      </c>
      <c r="AC93" s="24">
        <v>70273</v>
      </c>
      <c r="AD93" s="24">
        <v>73195</v>
      </c>
      <c r="AE93" s="24">
        <v>6041</v>
      </c>
      <c r="AF93" s="24">
        <v>6040</v>
      </c>
      <c r="AG93" s="17">
        <v>0</v>
      </c>
      <c r="AH93" s="16" t="s">
        <v>217</v>
      </c>
      <c r="AI93" s="16" t="s">
        <v>49</v>
      </c>
      <c r="AJ93" s="16" t="s">
        <v>50</v>
      </c>
      <c r="AK93" s="16" t="s">
        <v>51</v>
      </c>
      <c r="AL93" s="25">
        <v>232000</v>
      </c>
      <c r="AM93" s="43">
        <f t="shared" si="7"/>
        <v>52.727590119577556</v>
      </c>
      <c r="AN93" s="16" t="s">
        <v>433</v>
      </c>
      <c r="AO93" s="16" t="s">
        <v>53</v>
      </c>
    </row>
    <row r="94" spans="1:41" ht="14.5" x14ac:dyDescent="0.35">
      <c r="A94" s="27" t="s">
        <v>434</v>
      </c>
      <c r="B94" s="16" t="s">
        <v>42</v>
      </c>
      <c r="C94" s="16" t="s">
        <v>43</v>
      </c>
      <c r="D94" s="16" t="s">
        <v>44</v>
      </c>
      <c r="E94" s="16" t="s">
        <v>399</v>
      </c>
      <c r="F94" s="16">
        <v>5</v>
      </c>
      <c r="G94" s="30" t="s">
        <v>435</v>
      </c>
      <c r="H94" s="16">
        <v>0</v>
      </c>
      <c r="I94" s="16" t="s">
        <v>47</v>
      </c>
      <c r="J94" s="16">
        <v>186.24</v>
      </c>
      <c r="K94" s="16">
        <v>867</v>
      </c>
      <c r="L94" s="16">
        <v>2044</v>
      </c>
      <c r="M94" s="8">
        <v>0</v>
      </c>
      <c r="N94" s="21">
        <v>40961</v>
      </c>
      <c r="O94" s="7">
        <f t="shared" si="4"/>
        <v>22</v>
      </c>
      <c r="P94" s="22">
        <f t="shared" si="5"/>
        <v>8</v>
      </c>
      <c r="Q94" s="22">
        <f t="shared" si="6"/>
        <v>29</v>
      </c>
      <c r="R94" s="16">
        <v>116</v>
      </c>
      <c r="S94">
        <v>4.71403612662988</v>
      </c>
      <c r="T94">
        <v>-74.073063926404402</v>
      </c>
      <c r="U94" s="22">
        <v>19523</v>
      </c>
      <c r="V94" s="22">
        <v>19482.833330000001</v>
      </c>
      <c r="W94" s="25">
        <v>15157</v>
      </c>
      <c r="X94" s="24">
        <v>15073</v>
      </c>
      <c r="Y94" s="24">
        <v>295917</v>
      </c>
      <c r="Z94" s="24">
        <v>293663</v>
      </c>
      <c r="AA94" s="24">
        <v>34710</v>
      </c>
      <c r="AB94" s="24">
        <v>29381</v>
      </c>
      <c r="AC94" s="24">
        <v>107618</v>
      </c>
      <c r="AD94" s="24">
        <v>108545</v>
      </c>
      <c r="AE94" s="24">
        <v>18141</v>
      </c>
      <c r="AF94" s="24">
        <v>17649</v>
      </c>
      <c r="AG94" s="17">
        <v>0</v>
      </c>
      <c r="AH94" s="16" t="s">
        <v>48</v>
      </c>
      <c r="AI94" s="16" t="s">
        <v>49</v>
      </c>
      <c r="AJ94" s="16" t="s">
        <v>76</v>
      </c>
      <c r="AK94" s="16" t="s">
        <v>51</v>
      </c>
      <c r="AL94" s="25">
        <v>241405</v>
      </c>
      <c r="AM94" s="43">
        <f t="shared" si="7"/>
        <v>97.406572164948443</v>
      </c>
      <c r="AN94" s="16" t="s">
        <v>436</v>
      </c>
      <c r="AO94" s="16" t="s">
        <v>60</v>
      </c>
    </row>
    <row r="95" spans="1:41" ht="14.5" x14ac:dyDescent="0.35">
      <c r="A95" s="27" t="s">
        <v>437</v>
      </c>
      <c r="B95" s="16" t="s">
        <v>42</v>
      </c>
      <c r="C95" s="16" t="s">
        <v>93</v>
      </c>
      <c r="D95" s="16" t="s">
        <v>438</v>
      </c>
      <c r="E95" s="16" t="s">
        <v>439</v>
      </c>
      <c r="F95" s="16">
        <v>3</v>
      </c>
      <c r="G95" s="30" t="s">
        <v>440</v>
      </c>
      <c r="H95" s="16">
        <v>0</v>
      </c>
      <c r="I95" s="16" t="s">
        <v>47</v>
      </c>
      <c r="J95" s="16">
        <v>140</v>
      </c>
      <c r="K95" s="16">
        <v>761</v>
      </c>
      <c r="L95" s="16">
        <v>600</v>
      </c>
      <c r="M95" s="8">
        <v>58</v>
      </c>
      <c r="N95" s="21">
        <v>44803</v>
      </c>
      <c r="O95" s="7">
        <f t="shared" si="4"/>
        <v>30</v>
      </c>
      <c r="P95" s="22">
        <f t="shared" si="5"/>
        <v>2</v>
      </c>
      <c r="Q95" s="22">
        <f t="shared" si="6"/>
        <v>31</v>
      </c>
      <c r="R95" s="16">
        <v>49</v>
      </c>
      <c r="S95">
        <v>4.71875106508835</v>
      </c>
      <c r="T95">
        <v>-73.968913428997098</v>
      </c>
      <c r="U95" s="22">
        <v>19154</v>
      </c>
      <c r="V95" s="22">
        <v>19764.666669999999</v>
      </c>
      <c r="W95" s="25">
        <v>13129</v>
      </c>
      <c r="X95" s="24">
        <v>13091</v>
      </c>
      <c r="Y95" s="24">
        <v>251473</v>
      </c>
      <c r="Z95" s="24">
        <v>258748</v>
      </c>
      <c r="AA95" s="24">
        <v>25222</v>
      </c>
      <c r="AB95" s="24">
        <v>25909</v>
      </c>
      <c r="AC95" s="24">
        <v>89405</v>
      </c>
      <c r="AD95" s="24">
        <v>89836</v>
      </c>
      <c r="AE95" s="24">
        <v>11071</v>
      </c>
      <c r="AF95" s="24">
        <v>10822</v>
      </c>
      <c r="AG95" s="17">
        <v>0</v>
      </c>
      <c r="AH95" s="16" t="s">
        <v>64</v>
      </c>
      <c r="AI95" s="16" t="s">
        <v>49</v>
      </c>
      <c r="AJ95" s="16" t="s">
        <v>124</v>
      </c>
      <c r="AK95" s="16" t="s">
        <v>51</v>
      </c>
      <c r="AL95" s="25">
        <v>204160</v>
      </c>
      <c r="AM95" s="43">
        <f t="shared" si="7"/>
        <v>79.078571428571422</v>
      </c>
      <c r="AN95" s="16">
        <v>0</v>
      </c>
      <c r="AO95" s="16" t="s">
        <v>53</v>
      </c>
    </row>
    <row r="96" spans="1:41" ht="14.5" x14ac:dyDescent="0.35">
      <c r="A96" s="27" t="s">
        <v>441</v>
      </c>
      <c r="B96" s="16" t="s">
        <v>42</v>
      </c>
      <c r="C96" s="16" t="s">
        <v>93</v>
      </c>
      <c r="D96" s="16" t="s">
        <v>438</v>
      </c>
      <c r="E96" s="16" t="s">
        <v>439</v>
      </c>
      <c r="F96" s="16">
        <v>3</v>
      </c>
      <c r="G96" s="30" t="s">
        <v>442</v>
      </c>
      <c r="H96" s="16">
        <v>0</v>
      </c>
      <c r="I96" s="16" t="s">
        <v>47</v>
      </c>
      <c r="J96" s="16">
        <v>124.64</v>
      </c>
      <c r="K96" s="16">
        <v>759</v>
      </c>
      <c r="L96" s="16">
        <v>400</v>
      </c>
      <c r="M96" s="8">
        <v>40</v>
      </c>
      <c r="N96" s="21">
        <v>44923</v>
      </c>
      <c r="O96" s="7">
        <f t="shared" si="4"/>
        <v>28</v>
      </c>
      <c r="P96" s="22">
        <f t="shared" si="5"/>
        <v>4</v>
      </c>
      <c r="Q96" s="22">
        <f t="shared" si="6"/>
        <v>31</v>
      </c>
      <c r="R96" s="16">
        <v>45</v>
      </c>
      <c r="S96">
        <v>4.72093892951849</v>
      </c>
      <c r="T96">
        <v>-73.965886210773206</v>
      </c>
      <c r="U96" s="22">
        <v>17310</v>
      </c>
      <c r="V96" s="22">
        <v>16400.166669999999</v>
      </c>
      <c r="W96" s="25">
        <v>13242</v>
      </c>
      <c r="X96" s="24">
        <v>13641</v>
      </c>
      <c r="Y96" s="24">
        <v>229214</v>
      </c>
      <c r="Z96" s="24">
        <v>223718</v>
      </c>
      <c r="AA96" s="24">
        <v>25293</v>
      </c>
      <c r="AB96" s="24">
        <v>21138</v>
      </c>
      <c r="AC96" s="24">
        <v>86910</v>
      </c>
      <c r="AD96" s="24">
        <v>82831</v>
      </c>
      <c r="AE96" s="24">
        <v>12260</v>
      </c>
      <c r="AF96" s="24">
        <v>12413</v>
      </c>
      <c r="AG96" s="17">
        <v>0</v>
      </c>
      <c r="AH96" s="16" t="s">
        <v>48</v>
      </c>
      <c r="AI96" s="16" t="s">
        <v>49</v>
      </c>
      <c r="AJ96" s="16" t="s">
        <v>76</v>
      </c>
      <c r="AK96" s="16" t="s">
        <v>51</v>
      </c>
      <c r="AL96" s="25">
        <v>241405</v>
      </c>
      <c r="AM96" s="43">
        <f t="shared" si="7"/>
        <v>98.363286264441598</v>
      </c>
      <c r="AN96" s="16" t="s">
        <v>52</v>
      </c>
      <c r="AO96" s="16" t="s">
        <v>60</v>
      </c>
    </row>
    <row r="97" spans="1:41" ht="14.5" x14ac:dyDescent="0.35">
      <c r="A97" s="27" t="s">
        <v>443</v>
      </c>
      <c r="B97" s="16" t="s">
        <v>55</v>
      </c>
      <c r="C97" s="16" t="s">
        <v>43</v>
      </c>
      <c r="D97" s="16" t="s">
        <v>44</v>
      </c>
      <c r="E97" s="16" t="s">
        <v>444</v>
      </c>
      <c r="F97" s="16">
        <v>4</v>
      </c>
      <c r="G97" s="30" t="s">
        <v>445</v>
      </c>
      <c r="H97" s="16">
        <v>0</v>
      </c>
      <c r="I97" s="16" t="s">
        <v>102</v>
      </c>
      <c r="J97" s="16">
        <v>97.43</v>
      </c>
      <c r="K97" s="16">
        <v>56</v>
      </c>
      <c r="L97" s="16">
        <v>4030</v>
      </c>
      <c r="M97" s="8">
        <v>134</v>
      </c>
      <c r="N97" s="21">
        <v>43703</v>
      </c>
      <c r="O97" s="7">
        <f t="shared" si="4"/>
        <v>26</v>
      </c>
      <c r="P97" s="22">
        <f t="shared" si="5"/>
        <v>6</v>
      </c>
      <c r="Q97" s="22">
        <f t="shared" si="6"/>
        <v>31</v>
      </c>
      <c r="R97" s="16">
        <v>82</v>
      </c>
      <c r="S97">
        <v>4.61842953378512</v>
      </c>
      <c r="T97">
        <v>-74.086414370926406</v>
      </c>
      <c r="U97" s="22">
        <v>31153</v>
      </c>
      <c r="V97" s="22">
        <v>31620.333330000001</v>
      </c>
      <c r="W97" s="25">
        <v>9002</v>
      </c>
      <c r="X97" s="24">
        <v>9133</v>
      </c>
      <c r="Y97" s="24">
        <v>280439</v>
      </c>
      <c r="Z97" s="24">
        <v>288785</v>
      </c>
      <c r="AA97" s="24">
        <v>57557</v>
      </c>
      <c r="AB97" s="24">
        <v>57595</v>
      </c>
      <c r="AC97" s="24">
        <v>116444</v>
      </c>
      <c r="AD97" s="24">
        <v>117881</v>
      </c>
      <c r="AE97" s="24">
        <v>10238</v>
      </c>
      <c r="AF97" s="24">
        <v>10138</v>
      </c>
      <c r="AG97" s="17">
        <v>0</v>
      </c>
      <c r="AH97" s="16" t="s">
        <v>58</v>
      </c>
      <c r="AI97" s="16" t="s">
        <v>49</v>
      </c>
      <c r="AJ97" s="16" t="s">
        <v>50</v>
      </c>
      <c r="AK97" s="16" t="s">
        <v>51</v>
      </c>
      <c r="AL97" s="25">
        <v>232000</v>
      </c>
      <c r="AM97" s="43">
        <f t="shared" si="7"/>
        <v>105.08057066611926</v>
      </c>
      <c r="AN97" s="16" t="s">
        <v>234</v>
      </c>
      <c r="AO97" s="16" t="s">
        <v>60</v>
      </c>
    </row>
    <row r="98" spans="1:41" ht="14.5" x14ac:dyDescent="0.35">
      <c r="A98" s="27" t="s">
        <v>446</v>
      </c>
      <c r="B98" s="16" t="s">
        <v>42</v>
      </c>
      <c r="C98" s="16" t="s">
        <v>43</v>
      </c>
      <c r="D98" s="16" t="s">
        <v>44</v>
      </c>
      <c r="E98" s="16" t="s">
        <v>447</v>
      </c>
      <c r="F98" s="16">
        <v>5</v>
      </c>
      <c r="G98" s="30" t="s">
        <v>448</v>
      </c>
      <c r="H98" s="16">
        <v>0</v>
      </c>
      <c r="I98" s="16" t="s">
        <v>47</v>
      </c>
      <c r="J98" s="16">
        <v>178.05</v>
      </c>
      <c r="K98" s="16">
        <v>2847</v>
      </c>
      <c r="L98" s="16">
        <v>1445</v>
      </c>
      <c r="M98" s="8">
        <v>57</v>
      </c>
      <c r="N98" s="21">
        <v>44089</v>
      </c>
      <c r="O98" s="7">
        <f t="shared" si="4"/>
        <v>15</v>
      </c>
      <c r="P98" s="22">
        <f t="shared" si="5"/>
        <v>16</v>
      </c>
      <c r="Q98" s="22">
        <f t="shared" si="6"/>
        <v>30</v>
      </c>
      <c r="R98" s="16">
        <v>76</v>
      </c>
      <c r="S98">
        <v>4.6874964094318896</v>
      </c>
      <c r="T98">
        <v>-74.060982500077401</v>
      </c>
      <c r="U98" s="22">
        <v>26220</v>
      </c>
      <c r="V98" s="22">
        <v>26145.666669999999</v>
      </c>
      <c r="W98" s="25">
        <v>9750</v>
      </c>
      <c r="X98" s="24">
        <v>10092</v>
      </c>
      <c r="Y98" s="24">
        <v>255635</v>
      </c>
      <c r="Z98" s="24">
        <v>263855</v>
      </c>
      <c r="AA98" s="24">
        <v>28448</v>
      </c>
      <c r="AB98" s="24">
        <v>34291</v>
      </c>
      <c r="AC98" s="24">
        <v>105633</v>
      </c>
      <c r="AD98" s="24">
        <v>105215</v>
      </c>
      <c r="AE98" s="24">
        <v>17910</v>
      </c>
      <c r="AF98" s="24">
        <v>18067</v>
      </c>
      <c r="AG98" s="17">
        <v>0</v>
      </c>
      <c r="AH98" s="16" t="s">
        <v>58</v>
      </c>
      <c r="AI98" s="16" t="s">
        <v>49</v>
      </c>
      <c r="AJ98" s="16" t="s">
        <v>50</v>
      </c>
      <c r="AK98" s="16" t="s">
        <v>51</v>
      </c>
      <c r="AL98" s="25">
        <v>204160</v>
      </c>
      <c r="AM98" s="43">
        <f t="shared" si="7"/>
        <v>100.58972198820555</v>
      </c>
      <c r="AN98" s="16" t="s">
        <v>449</v>
      </c>
      <c r="AO98" s="16" t="s">
        <v>60</v>
      </c>
    </row>
    <row r="99" spans="1:41" ht="14.5" x14ac:dyDescent="0.35">
      <c r="A99" s="27" t="s">
        <v>450</v>
      </c>
      <c r="B99" s="16" t="s">
        <v>42</v>
      </c>
      <c r="C99" s="16" t="s">
        <v>43</v>
      </c>
      <c r="D99" s="16" t="s">
        <v>44</v>
      </c>
      <c r="E99" s="16" t="s">
        <v>254</v>
      </c>
      <c r="F99" s="16">
        <v>4</v>
      </c>
      <c r="G99" s="30" t="s">
        <v>451</v>
      </c>
      <c r="H99" s="16">
        <v>0</v>
      </c>
      <c r="I99" s="16" t="s">
        <v>47</v>
      </c>
      <c r="J99" s="16">
        <v>87.08</v>
      </c>
      <c r="K99" s="16">
        <v>958</v>
      </c>
      <c r="L99" s="16">
        <v>937</v>
      </c>
      <c r="M99" s="8">
        <v>0</v>
      </c>
      <c r="N99" s="21">
        <v>44174</v>
      </c>
      <c r="O99" s="7">
        <f t="shared" si="4"/>
        <v>9</v>
      </c>
      <c r="P99" s="22">
        <f t="shared" si="5"/>
        <v>23</v>
      </c>
      <c r="Q99" s="22">
        <f t="shared" si="6"/>
        <v>31</v>
      </c>
      <c r="R99" s="16">
        <v>69</v>
      </c>
      <c r="S99">
        <v>4.6981424392693203</v>
      </c>
      <c r="T99">
        <v>-74.047395463229705</v>
      </c>
      <c r="U99" s="22">
        <v>19685</v>
      </c>
      <c r="V99" s="22">
        <v>20110.833330000001</v>
      </c>
      <c r="W99" s="25">
        <v>11676</v>
      </c>
      <c r="X99" s="24">
        <v>11751</v>
      </c>
      <c r="Y99" s="24">
        <v>229848</v>
      </c>
      <c r="Z99" s="24">
        <v>236331</v>
      </c>
      <c r="AA99" s="24">
        <v>21665</v>
      </c>
      <c r="AB99" s="24">
        <v>22192</v>
      </c>
      <c r="AC99" s="24">
        <v>86647</v>
      </c>
      <c r="AD99" s="24">
        <v>87267</v>
      </c>
      <c r="AE99" s="24">
        <v>11863</v>
      </c>
      <c r="AF99" s="24">
        <v>11982</v>
      </c>
      <c r="AG99" s="17">
        <v>0</v>
      </c>
      <c r="AH99" s="16" t="s">
        <v>452</v>
      </c>
      <c r="AI99" s="16" t="s">
        <v>49</v>
      </c>
      <c r="AJ99" s="16" t="s">
        <v>124</v>
      </c>
      <c r="AK99" s="16" t="s">
        <v>51</v>
      </c>
      <c r="AL99" s="25">
        <v>204160</v>
      </c>
      <c r="AM99" s="43">
        <f t="shared" si="7"/>
        <v>136.23105190629306</v>
      </c>
      <c r="AN99" s="16" t="s">
        <v>453</v>
      </c>
      <c r="AO99" s="16" t="s">
        <v>53</v>
      </c>
    </row>
    <row r="100" spans="1:41" ht="14.5" x14ac:dyDescent="0.35">
      <c r="A100" s="27" t="s">
        <v>454</v>
      </c>
      <c r="B100" s="16" t="s">
        <v>42</v>
      </c>
      <c r="C100" s="16" t="s">
        <v>43</v>
      </c>
      <c r="D100" s="16" t="s">
        <v>44</v>
      </c>
      <c r="E100" s="16" t="s">
        <v>399</v>
      </c>
      <c r="F100" s="16">
        <v>5</v>
      </c>
      <c r="G100" s="30" t="s">
        <v>455</v>
      </c>
      <c r="H100" s="16">
        <v>0</v>
      </c>
      <c r="I100" s="16" t="s">
        <v>47</v>
      </c>
      <c r="J100" s="16">
        <v>157.97999999999999</v>
      </c>
      <c r="K100" s="16">
        <v>1403</v>
      </c>
      <c r="L100" s="16">
        <v>451</v>
      </c>
      <c r="M100" s="8">
        <v>0</v>
      </c>
      <c r="N100" s="21">
        <v>44559</v>
      </c>
      <c r="O100" s="7">
        <f t="shared" si="4"/>
        <v>29</v>
      </c>
      <c r="P100" s="22">
        <f t="shared" si="5"/>
        <v>3</v>
      </c>
      <c r="Q100" s="22">
        <f t="shared" si="6"/>
        <v>31</v>
      </c>
      <c r="R100" s="16">
        <v>57</v>
      </c>
      <c r="S100">
        <v>4.7274249673833602</v>
      </c>
      <c r="T100">
        <v>-74.063305388694701</v>
      </c>
      <c r="U100" s="22">
        <v>24457</v>
      </c>
      <c r="V100" s="22">
        <v>24975.666669999999</v>
      </c>
      <c r="W100" s="25">
        <v>14098</v>
      </c>
      <c r="X100" s="24">
        <v>13642</v>
      </c>
      <c r="Y100" s="24">
        <v>344789</v>
      </c>
      <c r="Z100" s="24">
        <v>340714</v>
      </c>
      <c r="AA100" s="24">
        <v>48992</v>
      </c>
      <c r="AB100" s="24">
        <v>43080</v>
      </c>
      <c r="AC100" s="24">
        <v>121509</v>
      </c>
      <c r="AD100" s="24">
        <v>117637</v>
      </c>
      <c r="AE100" s="24">
        <v>11054</v>
      </c>
      <c r="AF100" s="24">
        <v>11166</v>
      </c>
      <c r="AG100" s="17">
        <v>0</v>
      </c>
      <c r="AH100" s="16" t="s">
        <v>58</v>
      </c>
      <c r="AI100" s="16" t="s">
        <v>49</v>
      </c>
      <c r="AJ100" s="16" t="s">
        <v>124</v>
      </c>
      <c r="AK100" s="16" t="s">
        <v>51</v>
      </c>
      <c r="AL100" s="25">
        <v>204160</v>
      </c>
      <c r="AM100" s="43">
        <f t="shared" si="7"/>
        <v>69.970882390175973</v>
      </c>
      <c r="AN100" s="16" t="s">
        <v>456</v>
      </c>
      <c r="AO100" s="16" t="s">
        <v>53</v>
      </c>
    </row>
    <row r="101" spans="1:41" ht="14.5" x14ac:dyDescent="0.35">
      <c r="A101" s="27" t="s">
        <v>457</v>
      </c>
      <c r="B101" s="16" t="s">
        <v>42</v>
      </c>
      <c r="C101" s="16" t="s">
        <v>43</v>
      </c>
      <c r="D101" s="16" t="s">
        <v>44</v>
      </c>
      <c r="E101" s="16" t="s">
        <v>458</v>
      </c>
      <c r="F101" s="16">
        <v>3</v>
      </c>
      <c r="G101" s="30" t="s">
        <v>459</v>
      </c>
      <c r="H101" s="16">
        <v>0</v>
      </c>
      <c r="I101" s="16" t="s">
        <v>47</v>
      </c>
      <c r="J101" s="16">
        <v>104.63</v>
      </c>
      <c r="K101" s="16">
        <v>2058</v>
      </c>
      <c r="L101" s="16">
        <v>2463</v>
      </c>
      <c r="M101" s="8">
        <v>0</v>
      </c>
      <c r="N101" s="21">
        <v>44709</v>
      </c>
      <c r="O101" s="7">
        <f t="shared" si="4"/>
        <v>28</v>
      </c>
      <c r="P101" s="22">
        <f t="shared" si="5"/>
        <v>4</v>
      </c>
      <c r="Q101" s="22">
        <f t="shared" si="6"/>
        <v>31</v>
      </c>
      <c r="R101" s="16">
        <v>52</v>
      </c>
      <c r="S101">
        <v>4.74572865138762</v>
      </c>
      <c r="T101">
        <v>-74.0399505601671</v>
      </c>
      <c r="U101" s="22">
        <v>27460</v>
      </c>
      <c r="V101" s="22">
        <v>26774.166669999999</v>
      </c>
      <c r="W101" s="25">
        <v>13406</v>
      </c>
      <c r="X101" s="24">
        <v>13896</v>
      </c>
      <c r="Y101" s="24">
        <v>368122</v>
      </c>
      <c r="Z101" s="24">
        <v>372053</v>
      </c>
      <c r="AA101" s="24">
        <v>57896</v>
      </c>
      <c r="AB101" s="24">
        <v>56362</v>
      </c>
      <c r="AC101" s="24">
        <v>130243</v>
      </c>
      <c r="AD101" s="24">
        <v>131630</v>
      </c>
      <c r="AE101" s="24">
        <v>5740</v>
      </c>
      <c r="AF101" s="24">
        <v>5734</v>
      </c>
      <c r="AG101" s="17">
        <v>0</v>
      </c>
      <c r="AH101" s="16" t="s">
        <v>136</v>
      </c>
      <c r="AI101" s="16" t="s">
        <v>49</v>
      </c>
      <c r="AJ101" s="16" t="s">
        <v>76</v>
      </c>
      <c r="AK101" s="16" t="s">
        <v>51</v>
      </c>
      <c r="AL101" s="25">
        <v>241405</v>
      </c>
      <c r="AM101" s="43">
        <f t="shared" si="7"/>
        <v>54.859982796521074</v>
      </c>
      <c r="AN101" s="16" t="s">
        <v>52</v>
      </c>
      <c r="AO101" s="16" t="s">
        <v>53</v>
      </c>
    </row>
    <row r="102" spans="1:41" ht="14.5" x14ac:dyDescent="0.35">
      <c r="A102" s="27" t="s">
        <v>460</v>
      </c>
      <c r="B102" s="16" t="s">
        <v>55</v>
      </c>
      <c r="C102" s="16" t="s">
        <v>43</v>
      </c>
      <c r="D102" s="16" t="s">
        <v>44</v>
      </c>
      <c r="E102" s="16" t="s">
        <v>79</v>
      </c>
      <c r="F102" s="16">
        <v>3</v>
      </c>
      <c r="G102" s="30" t="s">
        <v>461</v>
      </c>
      <c r="H102" s="16">
        <v>0</v>
      </c>
      <c r="I102" s="16" t="s">
        <v>102</v>
      </c>
      <c r="J102" s="16">
        <v>182.36</v>
      </c>
      <c r="K102" s="16">
        <v>2188</v>
      </c>
      <c r="L102" s="16">
        <v>7162</v>
      </c>
      <c r="M102" s="8">
        <v>0</v>
      </c>
      <c r="N102" s="21">
        <v>41594</v>
      </c>
      <c r="O102" s="7">
        <f t="shared" si="4"/>
        <v>16</v>
      </c>
      <c r="P102" s="22">
        <f t="shared" si="5"/>
        <v>15</v>
      </c>
      <c r="Q102" s="22">
        <f t="shared" si="6"/>
        <v>30</v>
      </c>
      <c r="R102" s="16">
        <v>116</v>
      </c>
      <c r="S102">
        <v>4.6049699882649104</v>
      </c>
      <c r="T102">
        <v>-74.071358675111398</v>
      </c>
      <c r="U102" s="22">
        <v>16212</v>
      </c>
      <c r="V102" s="22">
        <v>16567.833330000001</v>
      </c>
      <c r="W102" s="25">
        <v>10251</v>
      </c>
      <c r="X102" s="24">
        <v>10835</v>
      </c>
      <c r="Y102" s="24">
        <v>166187</v>
      </c>
      <c r="Z102" s="24">
        <v>179504</v>
      </c>
      <c r="AA102" s="42">
        <v>-5331</v>
      </c>
      <c r="AB102" s="42">
        <v>-4791</v>
      </c>
      <c r="AC102" s="24">
        <v>61779</v>
      </c>
      <c r="AD102" s="24">
        <v>66739</v>
      </c>
      <c r="AE102" s="24">
        <v>20927</v>
      </c>
      <c r="AF102" s="24">
        <v>21121</v>
      </c>
      <c r="AG102" s="17">
        <v>0</v>
      </c>
      <c r="AH102" s="16" t="s">
        <v>58</v>
      </c>
      <c r="AI102" s="16" t="s">
        <v>49</v>
      </c>
      <c r="AJ102" s="16" t="s">
        <v>50</v>
      </c>
      <c r="AK102" s="16" t="s">
        <v>51</v>
      </c>
      <c r="AL102" s="25">
        <v>232000</v>
      </c>
      <c r="AM102" s="43">
        <f t="shared" si="7"/>
        <v>114.75652555384951</v>
      </c>
      <c r="AN102" s="16" t="s">
        <v>52</v>
      </c>
      <c r="AO102" s="16" t="s">
        <v>53</v>
      </c>
    </row>
    <row r="103" spans="1:41" ht="14.5" x14ac:dyDescent="0.35">
      <c r="A103" s="27" t="s">
        <v>462</v>
      </c>
      <c r="B103" s="16" t="s">
        <v>55</v>
      </c>
      <c r="C103" s="16" t="s">
        <v>43</v>
      </c>
      <c r="D103" s="16" t="s">
        <v>44</v>
      </c>
      <c r="E103" s="16" t="s">
        <v>463</v>
      </c>
      <c r="F103" s="16">
        <v>4</v>
      </c>
      <c r="G103" s="30" t="s">
        <v>464</v>
      </c>
      <c r="H103" s="16">
        <v>0</v>
      </c>
      <c r="I103" s="16" t="s">
        <v>47</v>
      </c>
      <c r="J103" s="16">
        <v>123.88</v>
      </c>
      <c r="K103" s="16">
        <v>963</v>
      </c>
      <c r="L103" s="16">
        <v>3300</v>
      </c>
      <c r="M103" s="8">
        <v>0</v>
      </c>
      <c r="N103" s="21">
        <v>44715</v>
      </c>
      <c r="O103" s="7">
        <f t="shared" si="4"/>
        <v>3</v>
      </c>
      <c r="P103" s="22">
        <f t="shared" si="5"/>
        <v>28</v>
      </c>
      <c r="Q103" s="22">
        <f t="shared" si="6"/>
        <v>30</v>
      </c>
      <c r="R103" s="16">
        <v>51</v>
      </c>
      <c r="S103">
        <v>4.6222381627890003</v>
      </c>
      <c r="T103">
        <v>-74.068849548759701</v>
      </c>
      <c r="U103" s="22">
        <v>18712</v>
      </c>
      <c r="V103" s="22">
        <v>19066.666669999999</v>
      </c>
      <c r="W103" s="25">
        <v>10041</v>
      </c>
      <c r="X103" s="24">
        <v>9998</v>
      </c>
      <c r="Y103" s="24">
        <v>187892</v>
      </c>
      <c r="Z103" s="24">
        <v>190627</v>
      </c>
      <c r="AA103" s="42">
        <v>6887</v>
      </c>
      <c r="AB103" s="24">
        <v>6648</v>
      </c>
      <c r="AC103" s="24">
        <v>66479</v>
      </c>
      <c r="AD103" s="24">
        <v>66482</v>
      </c>
      <c r="AE103" s="24">
        <v>10934</v>
      </c>
      <c r="AF103" s="24">
        <v>10940</v>
      </c>
      <c r="AG103" s="17">
        <v>0</v>
      </c>
      <c r="AH103" s="16" t="s">
        <v>48</v>
      </c>
      <c r="AI103" s="16" t="s">
        <v>49</v>
      </c>
      <c r="AJ103" s="16" t="s">
        <v>76</v>
      </c>
      <c r="AK103" s="16" t="s">
        <v>51</v>
      </c>
      <c r="AL103" s="25">
        <v>241405</v>
      </c>
      <c r="AM103" s="43">
        <f t="shared" si="7"/>
        <v>88.262835001614462</v>
      </c>
      <c r="AN103" s="16" t="s">
        <v>52</v>
      </c>
      <c r="AO103" s="16" t="s">
        <v>60</v>
      </c>
    </row>
    <row r="104" spans="1:41" ht="14.5" x14ac:dyDescent="0.35">
      <c r="A104" s="27" t="s">
        <v>465</v>
      </c>
      <c r="B104" s="16" t="s">
        <v>55</v>
      </c>
      <c r="C104" s="16" t="s">
        <v>43</v>
      </c>
      <c r="D104" s="16" t="s">
        <v>44</v>
      </c>
      <c r="E104" s="16" t="s">
        <v>466</v>
      </c>
      <c r="F104" s="16">
        <v>3</v>
      </c>
      <c r="G104" s="30" t="s">
        <v>467</v>
      </c>
      <c r="H104" s="16">
        <v>0</v>
      </c>
      <c r="I104" s="16" t="s">
        <v>47</v>
      </c>
      <c r="J104" s="16">
        <v>115.92</v>
      </c>
      <c r="K104" s="16">
        <v>484</v>
      </c>
      <c r="L104" s="16">
        <v>2728</v>
      </c>
      <c r="M104" s="8">
        <v>90</v>
      </c>
      <c r="N104" s="21">
        <v>44342</v>
      </c>
      <c r="O104" s="7">
        <f t="shared" si="4"/>
        <v>26</v>
      </c>
      <c r="P104" s="22">
        <f t="shared" si="5"/>
        <v>6</v>
      </c>
      <c r="Q104" s="22">
        <f t="shared" si="6"/>
        <v>31</v>
      </c>
      <c r="R104" s="16">
        <v>64</v>
      </c>
      <c r="S104">
        <v>4.6466745395553897</v>
      </c>
      <c r="T104">
        <v>-74.092966189568003</v>
      </c>
      <c r="U104" s="22">
        <v>28735</v>
      </c>
      <c r="V104" s="22">
        <v>28531.5</v>
      </c>
      <c r="W104" s="25">
        <v>12109</v>
      </c>
      <c r="X104" s="24">
        <v>12355</v>
      </c>
      <c r="Y104" s="24">
        <v>347962</v>
      </c>
      <c r="Z104" s="24">
        <v>352505</v>
      </c>
      <c r="AA104" s="24">
        <v>57429</v>
      </c>
      <c r="AB104" s="24">
        <v>66560</v>
      </c>
      <c r="AC104" s="24">
        <v>132840</v>
      </c>
      <c r="AD104" s="24">
        <v>131136</v>
      </c>
      <c r="AE104" s="24">
        <v>11549</v>
      </c>
      <c r="AF104" s="24">
        <v>11569</v>
      </c>
      <c r="AG104" s="17">
        <v>0</v>
      </c>
      <c r="AH104" s="16" t="s">
        <v>82</v>
      </c>
      <c r="AI104" s="16" t="s">
        <v>49</v>
      </c>
      <c r="AJ104" s="16" t="s">
        <v>50</v>
      </c>
      <c r="AK104" s="16" t="s">
        <v>51</v>
      </c>
      <c r="AL104" s="25">
        <v>232000</v>
      </c>
      <c r="AM104" s="43">
        <f t="shared" si="7"/>
        <v>99.629054520358864</v>
      </c>
      <c r="AN104" s="16" t="s">
        <v>52</v>
      </c>
      <c r="AO104" s="16" t="s">
        <v>60</v>
      </c>
    </row>
    <row r="105" spans="1:41" ht="14.5" x14ac:dyDescent="0.35">
      <c r="A105" s="27" t="s">
        <v>468</v>
      </c>
      <c r="B105" s="16" t="s">
        <v>55</v>
      </c>
      <c r="C105" s="16" t="s">
        <v>43</v>
      </c>
      <c r="D105" s="16" t="s">
        <v>44</v>
      </c>
      <c r="E105" s="16" t="s">
        <v>152</v>
      </c>
      <c r="F105" s="16">
        <v>4</v>
      </c>
      <c r="G105" s="30" t="s">
        <v>469</v>
      </c>
      <c r="H105" s="16">
        <v>0</v>
      </c>
      <c r="I105" s="16" t="s">
        <v>47</v>
      </c>
      <c r="J105" s="16">
        <v>166.19</v>
      </c>
      <c r="K105" s="16">
        <v>1445</v>
      </c>
      <c r="L105" s="16">
        <v>1600</v>
      </c>
      <c r="M105" s="8">
        <v>0</v>
      </c>
      <c r="N105" s="21">
        <v>44614</v>
      </c>
      <c r="O105" s="7">
        <f t="shared" si="4"/>
        <v>22</v>
      </c>
      <c r="P105" s="22">
        <f t="shared" si="5"/>
        <v>7</v>
      </c>
      <c r="Q105" s="22">
        <f t="shared" si="6"/>
        <v>28</v>
      </c>
      <c r="R105" s="16">
        <v>55</v>
      </c>
      <c r="S105">
        <v>4.6357849478452504</v>
      </c>
      <c r="T105">
        <v>-74.0751658078253</v>
      </c>
      <c r="U105" s="22">
        <v>21977</v>
      </c>
      <c r="V105" s="22">
        <v>21636.666669999999</v>
      </c>
      <c r="W105" s="25">
        <v>11486</v>
      </c>
      <c r="X105" s="24">
        <v>11645</v>
      </c>
      <c r="Y105" s="24">
        <v>252420</v>
      </c>
      <c r="Z105" s="24">
        <v>251964</v>
      </c>
      <c r="AA105" s="24">
        <v>18741</v>
      </c>
      <c r="AB105" s="24">
        <v>20132</v>
      </c>
      <c r="AC105" s="24">
        <v>87411</v>
      </c>
      <c r="AD105" s="24">
        <v>85703</v>
      </c>
      <c r="AE105" s="24">
        <v>12362</v>
      </c>
      <c r="AF105" s="24">
        <v>12485</v>
      </c>
      <c r="AG105" s="17">
        <v>0</v>
      </c>
      <c r="AH105" s="16" t="s">
        <v>48</v>
      </c>
      <c r="AI105" s="16" t="s">
        <v>49</v>
      </c>
      <c r="AJ105" s="16" t="s">
        <v>76</v>
      </c>
      <c r="AK105" s="16" t="s">
        <v>51</v>
      </c>
      <c r="AL105" s="25">
        <v>241405</v>
      </c>
      <c r="AM105" s="43">
        <f t="shared" si="7"/>
        <v>74.384740357422231</v>
      </c>
      <c r="AN105" s="16" t="s">
        <v>52</v>
      </c>
      <c r="AO105" s="16" t="s">
        <v>60</v>
      </c>
    </row>
    <row r="106" spans="1:41" ht="14.5" x14ac:dyDescent="0.35">
      <c r="A106" s="27" t="s">
        <v>470</v>
      </c>
      <c r="B106" s="16" t="s">
        <v>55</v>
      </c>
      <c r="C106" s="16" t="s">
        <v>43</v>
      </c>
      <c r="D106" s="16" t="s">
        <v>44</v>
      </c>
      <c r="E106" s="16" t="s">
        <v>152</v>
      </c>
      <c r="F106" s="16">
        <v>4</v>
      </c>
      <c r="G106" s="30" t="s">
        <v>471</v>
      </c>
      <c r="H106" s="16">
        <v>0</v>
      </c>
      <c r="I106" s="16" t="s">
        <v>47</v>
      </c>
      <c r="J106" s="16">
        <v>122.68</v>
      </c>
      <c r="K106" s="16">
        <v>1883</v>
      </c>
      <c r="L106" s="16">
        <v>550</v>
      </c>
      <c r="M106" s="8">
        <v>89</v>
      </c>
      <c r="N106" s="21">
        <v>45135</v>
      </c>
      <c r="O106" s="7">
        <f t="shared" si="4"/>
        <v>28</v>
      </c>
      <c r="P106" s="22">
        <f t="shared" si="5"/>
        <v>4</v>
      </c>
      <c r="Q106" s="22">
        <f t="shared" si="6"/>
        <v>31</v>
      </c>
      <c r="R106" s="16">
        <v>38</v>
      </c>
      <c r="S106">
        <v>4.6385741901870299</v>
      </c>
      <c r="T106">
        <v>-74.078695542085001</v>
      </c>
      <c r="U106" s="22">
        <v>19824</v>
      </c>
      <c r="V106" s="22">
        <v>19861.333330000001</v>
      </c>
      <c r="W106" s="25">
        <v>10624</v>
      </c>
      <c r="X106" s="24">
        <v>10880</v>
      </c>
      <c r="Y106" s="24">
        <v>210610</v>
      </c>
      <c r="Z106" s="24">
        <v>216084</v>
      </c>
      <c r="AA106" s="24">
        <v>13805</v>
      </c>
      <c r="AB106" s="24">
        <v>14129</v>
      </c>
      <c r="AC106" s="24">
        <v>76915</v>
      </c>
      <c r="AD106" s="24">
        <v>77864</v>
      </c>
      <c r="AE106" s="24">
        <v>11596</v>
      </c>
      <c r="AF106" s="24">
        <v>11324</v>
      </c>
      <c r="AG106" s="17">
        <v>0</v>
      </c>
      <c r="AH106" s="16" t="s">
        <v>82</v>
      </c>
      <c r="AI106" s="16" t="s">
        <v>49</v>
      </c>
      <c r="AJ106" s="16" t="s">
        <v>50</v>
      </c>
      <c r="AK106" s="16" t="s">
        <v>51</v>
      </c>
      <c r="AL106" s="25">
        <v>232000</v>
      </c>
      <c r="AM106" s="43">
        <f t="shared" si="7"/>
        <v>94.522334528855552</v>
      </c>
      <c r="AN106" s="16" t="s">
        <v>52</v>
      </c>
      <c r="AO106" s="16" t="s">
        <v>53</v>
      </c>
    </row>
    <row r="107" spans="1:41" ht="14.5" x14ac:dyDescent="0.35">
      <c r="A107" s="27" t="s">
        <v>472</v>
      </c>
      <c r="B107" s="16" t="s">
        <v>55</v>
      </c>
      <c r="C107" s="16" t="s">
        <v>43</v>
      </c>
      <c r="D107" s="16" t="s">
        <v>44</v>
      </c>
      <c r="E107" s="16" t="s">
        <v>473</v>
      </c>
      <c r="F107" s="16">
        <v>3</v>
      </c>
      <c r="G107" s="30" t="s">
        <v>474</v>
      </c>
      <c r="H107" s="16">
        <v>0</v>
      </c>
      <c r="I107" s="16" t="s">
        <v>47</v>
      </c>
      <c r="J107" s="16">
        <v>97.94</v>
      </c>
      <c r="K107" s="16">
        <v>971</v>
      </c>
      <c r="L107" s="16">
        <v>8700</v>
      </c>
      <c r="M107" s="8">
        <v>0</v>
      </c>
      <c r="N107" s="21">
        <v>44208</v>
      </c>
      <c r="O107" s="7">
        <f t="shared" si="4"/>
        <v>12</v>
      </c>
      <c r="P107" s="22">
        <f t="shared" si="5"/>
        <v>20</v>
      </c>
      <c r="Q107" s="22">
        <f t="shared" si="6"/>
        <v>31</v>
      </c>
      <c r="R107" s="16">
        <v>68</v>
      </c>
      <c r="S107">
        <v>4.6457447363042803</v>
      </c>
      <c r="T107">
        <v>-74.064064930499896</v>
      </c>
      <c r="U107" s="22">
        <v>24052</v>
      </c>
      <c r="V107" s="22">
        <v>23790.833330000001</v>
      </c>
      <c r="W107" s="25">
        <v>11106</v>
      </c>
      <c r="X107" s="24">
        <v>10945</v>
      </c>
      <c r="Y107" s="24">
        <v>267119</v>
      </c>
      <c r="Z107" s="24">
        <v>260389</v>
      </c>
      <c r="AA107" s="24">
        <v>23322</v>
      </c>
      <c r="AB107" s="24">
        <v>22746</v>
      </c>
      <c r="AC107" s="24">
        <v>95070</v>
      </c>
      <c r="AD107" s="24">
        <v>93005</v>
      </c>
      <c r="AE107" s="24">
        <v>14934</v>
      </c>
      <c r="AF107" s="24">
        <v>15078</v>
      </c>
      <c r="AG107" s="17">
        <v>0</v>
      </c>
      <c r="AH107" s="16" t="s">
        <v>82</v>
      </c>
      <c r="AI107" s="16" t="s">
        <v>49</v>
      </c>
      <c r="AJ107" s="16" t="s">
        <v>50</v>
      </c>
      <c r="AK107" s="16" t="s">
        <v>51</v>
      </c>
      <c r="AL107" s="25">
        <v>232000</v>
      </c>
      <c r="AM107" s="43">
        <f t="shared" si="7"/>
        <v>152.48111088421484</v>
      </c>
      <c r="AN107" s="16" t="s">
        <v>52</v>
      </c>
      <c r="AO107" s="16" t="s">
        <v>60</v>
      </c>
    </row>
    <row r="108" spans="1:41" ht="14.5" x14ac:dyDescent="0.35">
      <c r="A108" s="27" t="s">
        <v>475</v>
      </c>
      <c r="B108" s="16" t="s">
        <v>42</v>
      </c>
      <c r="C108" s="16" t="s">
        <v>43</v>
      </c>
      <c r="D108" s="16" t="s">
        <v>44</v>
      </c>
      <c r="E108" s="16" t="s">
        <v>68</v>
      </c>
      <c r="F108" s="16">
        <v>4</v>
      </c>
      <c r="G108" s="30" t="s">
        <v>476</v>
      </c>
      <c r="H108" s="16">
        <v>0</v>
      </c>
      <c r="I108" s="16" t="s">
        <v>47</v>
      </c>
      <c r="J108" s="16">
        <v>295.77999999999997</v>
      </c>
      <c r="K108" s="16">
        <v>752</v>
      </c>
      <c r="L108" s="16">
        <v>3131</v>
      </c>
      <c r="M108" s="8">
        <v>0</v>
      </c>
      <c r="N108" s="21">
        <v>41151</v>
      </c>
      <c r="O108" s="7">
        <f t="shared" si="4"/>
        <v>30</v>
      </c>
      <c r="P108" s="22">
        <f t="shared" si="5"/>
        <v>2</v>
      </c>
      <c r="Q108" s="22">
        <f t="shared" si="6"/>
        <v>31</v>
      </c>
      <c r="R108" s="16">
        <v>116</v>
      </c>
      <c r="S108">
        <v>4.65280941692731</v>
      </c>
      <c r="T108">
        <v>-74.061283291981795</v>
      </c>
      <c r="U108" s="22">
        <v>24298</v>
      </c>
      <c r="V108" s="22">
        <v>25291.666669999999</v>
      </c>
      <c r="W108" s="25">
        <v>10454</v>
      </c>
      <c r="X108" s="24">
        <v>10461</v>
      </c>
      <c r="Y108" s="24">
        <v>254007</v>
      </c>
      <c r="Z108" s="24">
        <v>264583</v>
      </c>
      <c r="AA108" s="24">
        <v>18799</v>
      </c>
      <c r="AB108" s="24">
        <v>27831</v>
      </c>
      <c r="AC108" s="24">
        <v>98532</v>
      </c>
      <c r="AD108" s="24">
        <v>101940</v>
      </c>
      <c r="AE108" s="24">
        <v>15485</v>
      </c>
      <c r="AF108" s="24">
        <v>15634</v>
      </c>
      <c r="AG108" s="17">
        <v>0</v>
      </c>
      <c r="AH108" s="16" t="s">
        <v>48</v>
      </c>
      <c r="AI108" s="16" t="s">
        <v>49</v>
      </c>
      <c r="AJ108" s="16" t="s">
        <v>76</v>
      </c>
      <c r="AK108" s="16" t="s">
        <v>51</v>
      </c>
      <c r="AL108" s="25">
        <v>241405</v>
      </c>
      <c r="AM108" s="43">
        <f t="shared" si="7"/>
        <v>52.353100277233082</v>
      </c>
      <c r="AN108" s="16" t="s">
        <v>477</v>
      </c>
      <c r="AO108" s="16" t="s">
        <v>60</v>
      </c>
    </row>
    <row r="109" spans="1:41" ht="14.5" x14ac:dyDescent="0.35">
      <c r="A109" s="27" t="s">
        <v>478</v>
      </c>
      <c r="B109" s="16" t="s">
        <v>42</v>
      </c>
      <c r="C109" s="16" t="s">
        <v>43</v>
      </c>
      <c r="D109" s="16" t="s">
        <v>44</v>
      </c>
      <c r="E109" s="16" t="s">
        <v>68</v>
      </c>
      <c r="F109" s="16">
        <v>5</v>
      </c>
      <c r="G109" s="30" t="s">
        <v>479</v>
      </c>
      <c r="H109" s="16">
        <v>0</v>
      </c>
      <c r="I109" s="16" t="s">
        <v>47</v>
      </c>
      <c r="J109" s="16">
        <v>116.31</v>
      </c>
      <c r="K109" s="16">
        <v>961</v>
      </c>
      <c r="L109" s="16">
        <v>2200</v>
      </c>
      <c r="M109" s="8">
        <v>75</v>
      </c>
      <c r="N109" s="21">
        <v>44830</v>
      </c>
      <c r="O109" s="7">
        <f t="shared" si="4"/>
        <v>26</v>
      </c>
      <c r="P109" s="22">
        <f t="shared" si="5"/>
        <v>5</v>
      </c>
      <c r="Q109" s="22">
        <f t="shared" si="6"/>
        <v>30</v>
      </c>
      <c r="R109" s="16">
        <v>48</v>
      </c>
      <c r="S109">
        <v>4.6625174863774603</v>
      </c>
      <c r="T109">
        <v>-74.057670366590997</v>
      </c>
      <c r="U109" s="22">
        <v>16557</v>
      </c>
      <c r="V109" s="22">
        <v>16512.166669999999</v>
      </c>
      <c r="W109" s="25">
        <v>11105</v>
      </c>
      <c r="X109" s="24">
        <v>11232</v>
      </c>
      <c r="Y109" s="24">
        <v>183863</v>
      </c>
      <c r="Z109" s="24">
        <v>185460</v>
      </c>
      <c r="AA109" s="24">
        <v>7042</v>
      </c>
      <c r="AB109" s="24">
        <v>6601</v>
      </c>
      <c r="AC109" s="24">
        <v>71922</v>
      </c>
      <c r="AD109" s="24">
        <v>72487</v>
      </c>
      <c r="AE109" s="24">
        <v>16324</v>
      </c>
      <c r="AF109" s="24">
        <v>15875</v>
      </c>
      <c r="AG109" s="17">
        <v>0</v>
      </c>
      <c r="AH109" s="16" t="s">
        <v>58</v>
      </c>
      <c r="AI109" s="16" t="s">
        <v>49</v>
      </c>
      <c r="AJ109" s="16" t="s">
        <v>50</v>
      </c>
      <c r="AK109" s="16" t="s">
        <v>51</v>
      </c>
      <c r="AL109" s="25">
        <v>232000</v>
      </c>
      <c r="AM109" s="43">
        <f t="shared" si="7"/>
        <v>140.3490671481386</v>
      </c>
      <c r="AN109" s="16" t="s">
        <v>52</v>
      </c>
      <c r="AO109" s="16" t="s">
        <v>53</v>
      </c>
    </row>
    <row r="110" spans="1:41" ht="14.5" x14ac:dyDescent="0.35">
      <c r="A110" s="27" t="s">
        <v>480</v>
      </c>
      <c r="B110" s="16" t="s">
        <v>42</v>
      </c>
      <c r="C110" s="16" t="s">
        <v>43</v>
      </c>
      <c r="D110" s="16" t="s">
        <v>44</v>
      </c>
      <c r="E110" s="16" t="s">
        <v>68</v>
      </c>
      <c r="F110" s="16">
        <v>6</v>
      </c>
      <c r="G110" s="30" t="s">
        <v>481</v>
      </c>
      <c r="H110" s="16" t="s">
        <v>482</v>
      </c>
      <c r="I110" s="16" t="s">
        <v>102</v>
      </c>
      <c r="J110" s="16">
        <v>167.48</v>
      </c>
      <c r="K110" s="16">
        <v>673</v>
      </c>
      <c r="L110" s="16">
        <v>4350</v>
      </c>
      <c r="M110" s="8">
        <v>180</v>
      </c>
      <c r="N110" s="21">
        <v>45646</v>
      </c>
      <c r="O110" s="7">
        <f t="shared" si="4"/>
        <v>20</v>
      </c>
      <c r="P110" s="22">
        <f t="shared" si="5"/>
        <v>12</v>
      </c>
      <c r="Q110" s="22">
        <f t="shared" si="6"/>
        <v>31</v>
      </c>
      <c r="R110" s="16">
        <v>21</v>
      </c>
      <c r="S110">
        <v>4.6696146724126004</v>
      </c>
      <c r="T110">
        <v>-74.054751680222296</v>
      </c>
      <c r="U110" s="22">
        <v>31340</v>
      </c>
      <c r="V110" s="22">
        <v>31406.166669999999</v>
      </c>
      <c r="W110" s="25">
        <v>11006</v>
      </c>
      <c r="X110" s="24">
        <v>11261</v>
      </c>
      <c r="Y110" s="24">
        <v>344930</v>
      </c>
      <c r="Z110" s="24">
        <v>353650</v>
      </c>
      <c r="AA110" s="24">
        <v>46993</v>
      </c>
      <c r="AB110" s="24">
        <v>49338</v>
      </c>
      <c r="AC110" s="24">
        <v>136568</v>
      </c>
      <c r="AD110" s="24">
        <v>136017</v>
      </c>
      <c r="AE110" s="24">
        <v>21040</v>
      </c>
      <c r="AF110" s="24">
        <v>21236</v>
      </c>
      <c r="AG110" s="17">
        <v>0</v>
      </c>
      <c r="AH110" s="16" t="s">
        <v>82</v>
      </c>
      <c r="AI110" s="16" t="s">
        <v>49</v>
      </c>
      <c r="AJ110" s="16" t="s">
        <v>124</v>
      </c>
      <c r="AK110" s="16" t="s">
        <v>51</v>
      </c>
      <c r="AL110" s="25">
        <v>204160</v>
      </c>
      <c r="AM110" s="43">
        <f t="shared" si="7"/>
        <v>125.62694053021256</v>
      </c>
      <c r="AN110" s="16" t="s">
        <v>52</v>
      </c>
      <c r="AO110" s="16" t="s">
        <v>53</v>
      </c>
    </row>
    <row r="111" spans="1:41" ht="14.5" x14ac:dyDescent="0.35">
      <c r="A111" s="27" t="s">
        <v>483</v>
      </c>
      <c r="B111" s="16" t="s">
        <v>42</v>
      </c>
      <c r="C111" s="16" t="s">
        <v>43</v>
      </c>
      <c r="D111" s="16" t="s">
        <v>44</v>
      </c>
      <c r="E111" s="16" t="s">
        <v>68</v>
      </c>
      <c r="F111" s="16">
        <v>6</v>
      </c>
      <c r="G111" s="30" t="s">
        <v>484</v>
      </c>
      <c r="H111" s="16">
        <v>0</v>
      </c>
      <c r="I111" s="16" t="s">
        <v>102</v>
      </c>
      <c r="J111" s="16">
        <v>105</v>
      </c>
      <c r="K111" s="16">
        <v>16</v>
      </c>
      <c r="L111" s="16">
        <v>5470</v>
      </c>
      <c r="M111" s="8">
        <v>0</v>
      </c>
      <c r="N111" s="21">
        <v>41922</v>
      </c>
      <c r="O111" s="7">
        <f t="shared" si="4"/>
        <v>10</v>
      </c>
      <c r="P111" s="22">
        <f t="shared" si="5"/>
        <v>22</v>
      </c>
      <c r="Q111" s="22">
        <f t="shared" si="6"/>
        <v>31</v>
      </c>
      <c r="R111" s="16">
        <v>116</v>
      </c>
      <c r="S111">
        <v>4.67539616862142</v>
      </c>
      <c r="T111">
        <v>-74.047277245506294</v>
      </c>
      <c r="U111" s="22">
        <v>28315</v>
      </c>
      <c r="V111" s="22">
        <v>28800.833330000001</v>
      </c>
      <c r="W111" s="25">
        <v>11922</v>
      </c>
      <c r="X111" s="24">
        <v>12172</v>
      </c>
      <c r="Y111" s="24">
        <v>337562</v>
      </c>
      <c r="Z111" s="24">
        <v>350556</v>
      </c>
      <c r="AA111" s="24">
        <v>45997</v>
      </c>
      <c r="AB111" s="24">
        <v>49776</v>
      </c>
      <c r="AC111" s="24">
        <v>133791</v>
      </c>
      <c r="AD111" s="24">
        <v>134541</v>
      </c>
      <c r="AE111" s="24">
        <v>18098</v>
      </c>
      <c r="AF111" s="24">
        <v>17921</v>
      </c>
      <c r="AG111" s="17">
        <v>0</v>
      </c>
      <c r="AH111" s="16" t="s">
        <v>58</v>
      </c>
      <c r="AI111" s="16" t="s">
        <v>49</v>
      </c>
      <c r="AJ111" s="16" t="s">
        <v>50</v>
      </c>
      <c r="AK111" s="16" t="s">
        <v>51</v>
      </c>
      <c r="AL111" s="25">
        <v>232000</v>
      </c>
      <c r="AM111" s="43">
        <f t="shared" si="7"/>
        <v>172.36190476190475</v>
      </c>
      <c r="AN111" s="16" t="s">
        <v>485</v>
      </c>
      <c r="AO111" s="16" t="s">
        <v>60</v>
      </c>
    </row>
    <row r="112" spans="1:41" ht="14.5" x14ac:dyDescent="0.35">
      <c r="A112" s="27" t="s">
        <v>486</v>
      </c>
      <c r="B112" s="16" t="s">
        <v>42</v>
      </c>
      <c r="C112" s="16" t="s">
        <v>43</v>
      </c>
      <c r="D112" s="16" t="s">
        <v>44</v>
      </c>
      <c r="E112" s="16" t="s">
        <v>68</v>
      </c>
      <c r="F112" s="16">
        <v>6</v>
      </c>
      <c r="G112" s="30" t="s">
        <v>487</v>
      </c>
      <c r="H112" s="16">
        <v>0</v>
      </c>
      <c r="I112" s="16" t="s">
        <v>47</v>
      </c>
      <c r="J112" s="16">
        <v>122.21</v>
      </c>
      <c r="K112" s="16">
        <v>220</v>
      </c>
      <c r="L112" s="16">
        <v>7104</v>
      </c>
      <c r="M112" s="8">
        <v>0</v>
      </c>
      <c r="N112" s="21">
        <v>42643</v>
      </c>
      <c r="O112" s="7">
        <f t="shared" si="4"/>
        <v>30</v>
      </c>
      <c r="P112" s="22">
        <f t="shared" si="5"/>
        <v>1</v>
      </c>
      <c r="Q112" s="22">
        <f t="shared" si="6"/>
        <v>30</v>
      </c>
      <c r="R112" s="16">
        <v>116</v>
      </c>
      <c r="S112">
        <v>4.6798304448128203</v>
      </c>
      <c r="T112">
        <v>-74.047952003878095</v>
      </c>
      <c r="U112" s="22">
        <v>26401</v>
      </c>
      <c r="V112" s="22">
        <v>27317.333330000001</v>
      </c>
      <c r="W112" s="25">
        <v>11420</v>
      </c>
      <c r="X112" s="24">
        <v>11522</v>
      </c>
      <c r="Y112" s="24">
        <v>301491</v>
      </c>
      <c r="Z112" s="24">
        <v>314749</v>
      </c>
      <c r="AA112" s="24">
        <v>39682</v>
      </c>
      <c r="AB112" s="24">
        <v>43913</v>
      </c>
      <c r="AC112" s="24">
        <v>120090</v>
      </c>
      <c r="AD112" s="24">
        <v>123553</v>
      </c>
      <c r="AE112" s="24">
        <v>16533</v>
      </c>
      <c r="AF112" s="24">
        <v>16587</v>
      </c>
      <c r="AG112" s="17">
        <v>0</v>
      </c>
      <c r="AH112" s="16" t="s">
        <v>58</v>
      </c>
      <c r="AI112" s="16" t="s">
        <v>49</v>
      </c>
      <c r="AJ112" s="16" t="s">
        <v>124</v>
      </c>
      <c r="AK112" s="16" t="s">
        <v>51</v>
      </c>
      <c r="AL112" s="25">
        <v>204160</v>
      </c>
      <c r="AM112" s="43">
        <f t="shared" si="7"/>
        <v>135.2835283528353</v>
      </c>
      <c r="AN112" s="16" t="s">
        <v>488</v>
      </c>
      <c r="AO112" s="16" t="s">
        <v>53</v>
      </c>
    </row>
    <row r="113" spans="1:41" ht="14.5" x14ac:dyDescent="0.35">
      <c r="A113" s="27" t="s">
        <v>489</v>
      </c>
      <c r="B113" s="16" t="s">
        <v>183</v>
      </c>
      <c r="C113" s="16" t="s">
        <v>490</v>
      </c>
      <c r="D113" s="16" t="s">
        <v>491</v>
      </c>
      <c r="E113" s="16" t="s">
        <v>186</v>
      </c>
      <c r="F113" s="16">
        <v>0</v>
      </c>
      <c r="G113" s="30" t="s">
        <v>492</v>
      </c>
      <c r="H113" s="16" t="s">
        <v>64</v>
      </c>
      <c r="I113" s="16" t="s">
        <v>47</v>
      </c>
      <c r="J113" s="16">
        <v>201.97</v>
      </c>
      <c r="K113" s="16">
        <v>180</v>
      </c>
      <c r="L113" s="16">
        <v>700</v>
      </c>
      <c r="M113" s="8">
        <v>371</v>
      </c>
      <c r="N113" s="21">
        <v>46290</v>
      </c>
      <c r="O113" s="7">
        <f t="shared" si="4"/>
        <v>25</v>
      </c>
      <c r="P113" s="22">
        <f t="shared" si="5"/>
        <v>6</v>
      </c>
      <c r="Q113" s="22">
        <f t="shared" si="6"/>
        <v>30</v>
      </c>
      <c r="R113" s="16">
        <v>0</v>
      </c>
      <c r="S113" s="29">
        <v>10.42309</v>
      </c>
      <c r="T113" s="29">
        <v>-75.545514999999995</v>
      </c>
      <c r="U113" s="22">
        <v>0</v>
      </c>
      <c r="V113" s="22">
        <v>0</v>
      </c>
      <c r="W113" s="25">
        <v>0</v>
      </c>
      <c r="X113" s="24">
        <v>0</v>
      </c>
      <c r="Y113" s="24">
        <v>0</v>
      </c>
      <c r="Z113" s="24">
        <v>0</v>
      </c>
      <c r="AA113" s="24">
        <v>0</v>
      </c>
      <c r="AB113" s="24">
        <v>0</v>
      </c>
      <c r="AC113" s="24">
        <v>0</v>
      </c>
      <c r="AD113" s="24">
        <v>0</v>
      </c>
      <c r="AE113" s="24">
        <v>0</v>
      </c>
      <c r="AF113" s="24">
        <v>0</v>
      </c>
      <c r="AG113" s="16">
        <v>0</v>
      </c>
      <c r="AH113" s="16" t="s">
        <v>64</v>
      </c>
      <c r="AI113" s="16" t="s">
        <v>49</v>
      </c>
      <c r="AJ113" s="16" t="s">
        <v>124</v>
      </c>
      <c r="AK113" s="16" t="s">
        <v>65</v>
      </c>
      <c r="AL113" s="25">
        <v>232000</v>
      </c>
      <c r="AM113" s="43">
        <f t="shared" si="7"/>
        <v>0</v>
      </c>
      <c r="AN113" s="16" t="s">
        <v>493</v>
      </c>
      <c r="AO113" s="16" t="s">
        <v>64</v>
      </c>
    </row>
    <row r="114" spans="1:41" ht="14.5" x14ac:dyDescent="0.35">
      <c r="A114" s="27" t="s">
        <v>494</v>
      </c>
      <c r="B114" s="16" t="s">
        <v>42</v>
      </c>
      <c r="C114" s="16" t="s">
        <v>43</v>
      </c>
      <c r="D114" s="16" t="s">
        <v>44</v>
      </c>
      <c r="E114" s="16" t="s">
        <v>495</v>
      </c>
      <c r="F114" s="16">
        <v>4</v>
      </c>
      <c r="G114" s="30" t="s">
        <v>496</v>
      </c>
      <c r="H114" s="16">
        <v>0</v>
      </c>
      <c r="I114" s="16" t="s">
        <v>47</v>
      </c>
      <c r="J114" s="16">
        <v>132.09</v>
      </c>
      <c r="K114" s="16">
        <v>2130</v>
      </c>
      <c r="L114" s="16">
        <v>600</v>
      </c>
      <c r="M114" s="8">
        <v>0</v>
      </c>
      <c r="N114" s="21">
        <v>44553</v>
      </c>
      <c r="O114" s="7">
        <f t="shared" si="4"/>
        <v>23</v>
      </c>
      <c r="P114" s="22">
        <f t="shared" si="5"/>
        <v>9</v>
      </c>
      <c r="Q114" s="22">
        <f t="shared" si="6"/>
        <v>31</v>
      </c>
      <c r="R114" s="16">
        <v>57</v>
      </c>
      <c r="S114">
        <v>4.7697915724523403</v>
      </c>
      <c r="T114">
        <v>-74.030892546499004</v>
      </c>
      <c r="U114" s="22">
        <v>15173</v>
      </c>
      <c r="V114" s="22">
        <v>15156.333329999999</v>
      </c>
      <c r="W114" s="25">
        <v>16634</v>
      </c>
      <c r="X114" s="24">
        <v>16256</v>
      </c>
      <c r="Y114" s="24">
        <v>252382</v>
      </c>
      <c r="Z114" s="24">
        <v>246374</v>
      </c>
      <c r="AA114" s="24">
        <v>25673</v>
      </c>
      <c r="AB114" s="24">
        <v>21345</v>
      </c>
      <c r="AC114" s="24">
        <v>85221</v>
      </c>
      <c r="AD114" s="24">
        <v>81155</v>
      </c>
      <c r="AE114" s="24">
        <v>10988</v>
      </c>
      <c r="AF114" s="24">
        <v>11100</v>
      </c>
      <c r="AG114" s="17">
        <v>0</v>
      </c>
      <c r="AH114" s="16" t="s">
        <v>48</v>
      </c>
      <c r="AI114" s="16" t="s">
        <v>49</v>
      </c>
      <c r="AJ114" s="16" t="s">
        <v>76</v>
      </c>
      <c r="AK114" s="16" t="s">
        <v>51</v>
      </c>
      <c r="AL114" s="25">
        <v>241405</v>
      </c>
      <c r="AM114" s="43">
        <f t="shared" si="7"/>
        <v>83.185706715118471</v>
      </c>
      <c r="AN114" s="16" t="s">
        <v>52</v>
      </c>
      <c r="AO114" s="16" t="s">
        <v>60</v>
      </c>
    </row>
    <row r="115" spans="1:41" ht="14.5" x14ac:dyDescent="0.35">
      <c r="A115" s="27" t="s">
        <v>497</v>
      </c>
      <c r="B115" s="16" t="s">
        <v>42</v>
      </c>
      <c r="C115" s="16" t="s">
        <v>93</v>
      </c>
      <c r="D115" s="16" t="s">
        <v>281</v>
      </c>
      <c r="E115" s="16" t="s">
        <v>282</v>
      </c>
      <c r="F115" s="16">
        <v>3</v>
      </c>
      <c r="G115" s="30" t="s">
        <v>498</v>
      </c>
      <c r="H115" s="16">
        <v>0</v>
      </c>
      <c r="I115" s="16" t="s">
        <v>47</v>
      </c>
      <c r="J115" s="16">
        <v>246.81</v>
      </c>
      <c r="K115" s="16">
        <v>1100</v>
      </c>
      <c r="L115" s="16">
        <v>150</v>
      </c>
      <c r="M115" s="8">
        <v>64</v>
      </c>
      <c r="N115" s="21">
        <v>44936</v>
      </c>
      <c r="O115" s="7">
        <f t="shared" si="4"/>
        <v>10</v>
      </c>
      <c r="P115" s="22">
        <f t="shared" si="5"/>
        <v>22</v>
      </c>
      <c r="Q115" s="22">
        <f t="shared" si="6"/>
        <v>31</v>
      </c>
      <c r="R115" s="16">
        <v>44</v>
      </c>
      <c r="S115">
        <v>4.8555177661943203</v>
      </c>
      <c r="T115">
        <v>-74.056050105581804</v>
      </c>
      <c r="U115" s="22">
        <v>15803</v>
      </c>
      <c r="V115" s="22">
        <v>15417.666670000001</v>
      </c>
      <c r="W115" s="25">
        <v>14564</v>
      </c>
      <c r="X115" s="24">
        <v>15254</v>
      </c>
      <c r="Y115" s="24">
        <v>230153</v>
      </c>
      <c r="Z115" s="24">
        <v>235187</v>
      </c>
      <c r="AA115" s="24">
        <v>11551</v>
      </c>
      <c r="AB115" s="24">
        <v>11855</v>
      </c>
      <c r="AC115" s="24">
        <v>77298</v>
      </c>
      <c r="AD115" s="24">
        <v>78539</v>
      </c>
      <c r="AE115" s="24">
        <v>11704</v>
      </c>
      <c r="AF115" s="24">
        <v>11821</v>
      </c>
      <c r="AG115" s="17">
        <v>0</v>
      </c>
      <c r="AH115" s="16" t="s">
        <v>48</v>
      </c>
      <c r="AI115" s="16" t="s">
        <v>49</v>
      </c>
      <c r="AJ115" s="16" t="s">
        <v>76</v>
      </c>
      <c r="AK115" s="16" t="s">
        <v>51</v>
      </c>
      <c r="AL115" s="25">
        <v>241405</v>
      </c>
      <c r="AM115" s="43">
        <f t="shared" si="7"/>
        <v>47.421093148575828</v>
      </c>
      <c r="AN115" s="16" t="s">
        <v>52</v>
      </c>
      <c r="AO115" s="16" t="s">
        <v>53</v>
      </c>
    </row>
    <row r="116" spans="1:41" ht="14.5" x14ac:dyDescent="0.35">
      <c r="A116" s="27" t="s">
        <v>499</v>
      </c>
      <c r="B116" s="16" t="s">
        <v>42</v>
      </c>
      <c r="C116" s="16" t="s">
        <v>43</v>
      </c>
      <c r="D116" s="16" t="s">
        <v>44</v>
      </c>
      <c r="E116" s="16" t="s">
        <v>500</v>
      </c>
      <c r="F116" s="16">
        <v>3</v>
      </c>
      <c r="G116" s="30" t="s">
        <v>501</v>
      </c>
      <c r="H116" s="16" t="s">
        <v>502</v>
      </c>
      <c r="I116" s="16" t="s">
        <v>47</v>
      </c>
      <c r="J116" s="16">
        <v>101.23</v>
      </c>
      <c r="K116" s="16">
        <v>4272</v>
      </c>
      <c r="L116" s="16">
        <v>175</v>
      </c>
      <c r="M116" s="8">
        <v>280</v>
      </c>
      <c r="N116" s="21">
        <v>45514</v>
      </c>
      <c r="O116" s="7">
        <f t="shared" si="4"/>
        <v>10</v>
      </c>
      <c r="P116" s="22">
        <f t="shared" si="5"/>
        <v>22</v>
      </c>
      <c r="Q116" s="22">
        <f t="shared" si="6"/>
        <v>31</v>
      </c>
      <c r="R116" s="16">
        <v>25</v>
      </c>
      <c r="S116">
        <v>4.7361729617588404</v>
      </c>
      <c r="T116">
        <v>-74.028983475751204</v>
      </c>
      <c r="U116" s="22">
        <v>18072</v>
      </c>
      <c r="V116" s="22">
        <v>17668.333330000001</v>
      </c>
      <c r="W116" s="25">
        <v>13233</v>
      </c>
      <c r="X116" s="24">
        <v>13777</v>
      </c>
      <c r="Y116" s="24">
        <v>239147</v>
      </c>
      <c r="Z116" s="24">
        <v>243416</v>
      </c>
      <c r="AA116" s="24">
        <v>18078</v>
      </c>
      <c r="AB116" s="24">
        <v>19425</v>
      </c>
      <c r="AC116" s="24">
        <v>77099</v>
      </c>
      <c r="AD116" s="24">
        <v>76616</v>
      </c>
      <c r="AE116" s="24">
        <v>7740</v>
      </c>
      <c r="AF116" s="24">
        <v>7547</v>
      </c>
      <c r="AG116" s="17">
        <v>0</v>
      </c>
      <c r="AH116" s="16" t="s">
        <v>90</v>
      </c>
      <c r="AI116" s="16" t="s">
        <v>49</v>
      </c>
      <c r="AJ116" s="16" t="s">
        <v>124</v>
      </c>
      <c r="AK116" s="16" t="s">
        <v>51</v>
      </c>
      <c r="AL116" s="25">
        <v>204160</v>
      </c>
      <c r="AM116" s="43">
        <f t="shared" si="7"/>
        <v>76.459547564951095</v>
      </c>
      <c r="AN116" s="16" t="s">
        <v>503</v>
      </c>
      <c r="AO116" s="16" t="s">
        <v>53</v>
      </c>
    </row>
    <row r="117" spans="1:41" ht="14.5" x14ac:dyDescent="0.35">
      <c r="A117" s="27" t="s">
        <v>504</v>
      </c>
      <c r="B117" s="16" t="s">
        <v>55</v>
      </c>
      <c r="C117" s="16" t="s">
        <v>43</v>
      </c>
      <c r="D117" s="16" t="s">
        <v>44</v>
      </c>
      <c r="E117" s="16" t="s">
        <v>159</v>
      </c>
      <c r="F117" s="16">
        <v>3</v>
      </c>
      <c r="G117" s="30" t="s">
        <v>505</v>
      </c>
      <c r="H117" s="16" t="s">
        <v>506</v>
      </c>
      <c r="I117" s="16" t="s">
        <v>47</v>
      </c>
      <c r="J117" s="16">
        <v>112.03</v>
      </c>
      <c r="K117" s="16">
        <v>237</v>
      </c>
      <c r="L117" s="16">
        <v>3858</v>
      </c>
      <c r="M117" s="8">
        <v>82</v>
      </c>
      <c r="N117" s="21">
        <v>45930</v>
      </c>
      <c r="O117" s="7">
        <f t="shared" si="4"/>
        <v>30</v>
      </c>
      <c r="P117" s="22">
        <f t="shared" si="5"/>
        <v>1</v>
      </c>
      <c r="Q117" s="22">
        <f t="shared" si="6"/>
        <v>30</v>
      </c>
      <c r="R117" s="16">
        <v>12</v>
      </c>
      <c r="S117">
        <v>4.6018469777711797</v>
      </c>
      <c r="T117">
        <v>-74.074530354914899</v>
      </c>
      <c r="U117" s="22">
        <v>22925</v>
      </c>
      <c r="V117" s="22">
        <v>22927</v>
      </c>
      <c r="W117" s="25">
        <v>9063</v>
      </c>
      <c r="X117" s="24">
        <v>9322</v>
      </c>
      <c r="Y117" s="24">
        <v>207765</v>
      </c>
      <c r="Z117" s="24">
        <v>213717</v>
      </c>
      <c r="AA117" s="24">
        <v>17335</v>
      </c>
      <c r="AB117" s="24">
        <v>19382</v>
      </c>
      <c r="AC117" s="24">
        <v>82649</v>
      </c>
      <c r="AD117" s="24">
        <v>82961</v>
      </c>
      <c r="AE117" s="24">
        <v>11000</v>
      </c>
      <c r="AF117" s="24">
        <v>11111</v>
      </c>
      <c r="AG117" s="17">
        <v>1.6231</v>
      </c>
      <c r="AH117" s="16" t="s">
        <v>48</v>
      </c>
      <c r="AI117" s="16" t="s">
        <v>49</v>
      </c>
      <c r="AJ117" s="16" t="s">
        <v>76</v>
      </c>
      <c r="AK117" s="16" t="s">
        <v>71</v>
      </c>
      <c r="AL117" s="25">
        <v>241405</v>
      </c>
      <c r="AM117" s="43">
        <f t="shared" si="7"/>
        <v>98.187985361063994</v>
      </c>
      <c r="AN117" s="16" t="s">
        <v>507</v>
      </c>
      <c r="AO117" s="16" t="s">
        <v>60</v>
      </c>
    </row>
    <row r="118" spans="1:41" ht="14.5" x14ac:dyDescent="0.35">
      <c r="A118" s="27" t="s">
        <v>508</v>
      </c>
      <c r="B118" s="16" t="s">
        <v>55</v>
      </c>
      <c r="C118" s="16" t="s">
        <v>43</v>
      </c>
      <c r="D118" s="16" t="s">
        <v>44</v>
      </c>
      <c r="E118" s="16" t="s">
        <v>139</v>
      </c>
      <c r="F118" s="16">
        <v>3</v>
      </c>
      <c r="G118" s="30" t="s">
        <v>509</v>
      </c>
      <c r="H118" s="16">
        <v>0</v>
      </c>
      <c r="I118" s="16" t="s">
        <v>102</v>
      </c>
      <c r="J118" s="16">
        <v>111.65</v>
      </c>
      <c r="K118" s="16">
        <v>1830</v>
      </c>
      <c r="L118" s="16">
        <v>920</v>
      </c>
      <c r="M118" s="8">
        <v>123</v>
      </c>
      <c r="N118" s="21">
        <v>45199</v>
      </c>
      <c r="O118" s="7">
        <f t="shared" si="4"/>
        <v>30</v>
      </c>
      <c r="P118" s="22">
        <f t="shared" si="5"/>
        <v>1</v>
      </c>
      <c r="Q118" s="22">
        <f t="shared" si="6"/>
        <v>30</v>
      </c>
      <c r="R118" s="16">
        <v>36</v>
      </c>
      <c r="S118">
        <v>4.6730029644535502</v>
      </c>
      <c r="T118">
        <v>-74.115097987526994</v>
      </c>
      <c r="U118" s="22">
        <v>15664</v>
      </c>
      <c r="V118" s="22">
        <v>15561.666670000001</v>
      </c>
      <c r="W118" s="25">
        <v>13726</v>
      </c>
      <c r="X118" s="24">
        <v>13824</v>
      </c>
      <c r="Y118" s="24">
        <v>215007</v>
      </c>
      <c r="Z118" s="24">
        <v>215123</v>
      </c>
      <c r="AA118" s="24">
        <v>21228</v>
      </c>
      <c r="AB118" s="24">
        <v>17336</v>
      </c>
      <c r="AC118" s="24">
        <v>80381</v>
      </c>
      <c r="AD118" s="24">
        <v>78493</v>
      </c>
      <c r="AE118" s="24">
        <v>9920</v>
      </c>
      <c r="AF118" s="24">
        <v>9994</v>
      </c>
      <c r="AG118" s="17">
        <v>0</v>
      </c>
      <c r="AH118" s="16" t="s">
        <v>136</v>
      </c>
      <c r="AI118" s="16" t="s">
        <v>49</v>
      </c>
      <c r="AJ118" s="16" t="s">
        <v>76</v>
      </c>
      <c r="AK118" s="16" t="s">
        <v>51</v>
      </c>
      <c r="AL118" s="25">
        <v>241405</v>
      </c>
      <c r="AM118" s="43">
        <f t="shared" si="7"/>
        <v>88.849081952530227</v>
      </c>
      <c r="AN118" s="16" t="s">
        <v>510</v>
      </c>
      <c r="AO118" s="16" t="s">
        <v>60</v>
      </c>
    </row>
    <row r="119" spans="1:41" ht="14.5" x14ac:dyDescent="0.35">
      <c r="A119" s="27" t="s">
        <v>511</v>
      </c>
      <c r="B119" s="16" t="s">
        <v>119</v>
      </c>
      <c r="C119" s="16" t="s">
        <v>120</v>
      </c>
      <c r="D119" s="16" t="s">
        <v>220</v>
      </c>
      <c r="E119" s="16" t="s">
        <v>221</v>
      </c>
      <c r="F119" s="16">
        <v>5</v>
      </c>
      <c r="G119" s="30" t="s">
        <v>512</v>
      </c>
      <c r="H119" s="16">
        <v>0</v>
      </c>
      <c r="I119" s="16" t="s">
        <v>47</v>
      </c>
      <c r="J119" s="16">
        <v>92</v>
      </c>
      <c r="K119" s="16">
        <v>75</v>
      </c>
      <c r="L119" s="16">
        <v>1564</v>
      </c>
      <c r="M119" s="8">
        <v>0</v>
      </c>
      <c r="N119" s="21">
        <v>42581</v>
      </c>
      <c r="O119" s="7">
        <f t="shared" si="4"/>
        <v>30</v>
      </c>
      <c r="P119" s="22">
        <f t="shared" si="5"/>
        <v>2</v>
      </c>
      <c r="Q119" s="22">
        <f t="shared" si="6"/>
        <v>31</v>
      </c>
      <c r="R119" s="16">
        <v>116</v>
      </c>
      <c r="S119">
        <v>7.0694990786200202</v>
      </c>
      <c r="T119">
        <v>-73.107287917209803</v>
      </c>
      <c r="U119" s="22">
        <v>22050</v>
      </c>
      <c r="V119" s="22">
        <v>21416</v>
      </c>
      <c r="W119" s="25">
        <v>11470</v>
      </c>
      <c r="X119" s="24">
        <v>11588</v>
      </c>
      <c r="Y119" s="24">
        <v>252923</v>
      </c>
      <c r="Z119" s="24">
        <v>248159</v>
      </c>
      <c r="AA119" s="24">
        <v>33219</v>
      </c>
      <c r="AB119" s="24">
        <v>32765</v>
      </c>
      <c r="AC119" s="24">
        <v>96961</v>
      </c>
      <c r="AD119" s="24">
        <v>93801</v>
      </c>
      <c r="AE119" s="24">
        <v>6714</v>
      </c>
      <c r="AF119" s="24">
        <v>6679</v>
      </c>
      <c r="AG119" s="17">
        <v>0</v>
      </c>
      <c r="AH119" s="16" t="s">
        <v>58</v>
      </c>
      <c r="AI119" s="16" t="s">
        <v>49</v>
      </c>
      <c r="AJ119" s="16" t="s">
        <v>124</v>
      </c>
      <c r="AK119" s="16" t="s">
        <v>51</v>
      </c>
      <c r="AL119" s="25">
        <v>204160</v>
      </c>
      <c r="AM119" s="43">
        <f t="shared" si="7"/>
        <v>72.978260869565219</v>
      </c>
      <c r="AN119" s="16" t="s">
        <v>513</v>
      </c>
      <c r="AO119" s="16" t="s">
        <v>53</v>
      </c>
    </row>
    <row r="120" spans="1:41" ht="14.5" x14ac:dyDescent="0.35">
      <c r="A120" s="27" t="s">
        <v>514</v>
      </c>
      <c r="B120" s="16" t="s">
        <v>105</v>
      </c>
      <c r="C120" s="16" t="s">
        <v>112</v>
      </c>
      <c r="D120" s="16" t="s">
        <v>113</v>
      </c>
      <c r="E120" s="16" t="s">
        <v>114</v>
      </c>
      <c r="F120" s="16">
        <v>5</v>
      </c>
      <c r="G120" s="30" t="s">
        <v>515</v>
      </c>
      <c r="H120" s="16">
        <v>0</v>
      </c>
      <c r="I120" s="16" t="s">
        <v>102</v>
      </c>
      <c r="J120" s="16">
        <v>75.77</v>
      </c>
      <c r="K120" s="16">
        <v>2562</v>
      </c>
      <c r="L120" s="16">
        <v>734</v>
      </c>
      <c r="M120" s="8">
        <v>51</v>
      </c>
      <c r="N120" s="21">
        <v>45351</v>
      </c>
      <c r="O120" s="7">
        <f t="shared" si="4"/>
        <v>29</v>
      </c>
      <c r="P120" s="22">
        <f t="shared" si="5"/>
        <v>1</v>
      </c>
      <c r="Q120" s="22">
        <f t="shared" si="6"/>
        <v>29</v>
      </c>
      <c r="R120" s="16">
        <v>31</v>
      </c>
      <c r="S120">
        <v>3.40880700161981</v>
      </c>
      <c r="T120">
        <v>-76.547982102652995</v>
      </c>
      <c r="U120" s="22">
        <v>5711</v>
      </c>
      <c r="V120" s="22">
        <v>13318.166670000001</v>
      </c>
      <c r="W120" s="25">
        <v>13608</v>
      </c>
      <c r="X120" s="24">
        <v>13791</v>
      </c>
      <c r="Y120" s="24">
        <v>77714</v>
      </c>
      <c r="Z120" s="24">
        <v>183669</v>
      </c>
      <c r="AA120" s="24">
        <v>-166334</v>
      </c>
      <c r="AB120" s="24">
        <v>-14006</v>
      </c>
      <c r="AC120" s="24">
        <v>-94293</v>
      </c>
      <c r="AD120" s="24">
        <v>50010</v>
      </c>
      <c r="AE120" s="24">
        <v>9951</v>
      </c>
      <c r="AF120" s="24">
        <v>10053</v>
      </c>
      <c r="AG120" s="17">
        <v>0</v>
      </c>
      <c r="AH120" s="16" t="s">
        <v>82</v>
      </c>
      <c r="AI120" s="16" t="s">
        <v>49</v>
      </c>
      <c r="AJ120" s="16" t="s">
        <v>50</v>
      </c>
      <c r="AK120" s="16" t="s">
        <v>51</v>
      </c>
      <c r="AL120" s="25">
        <v>232000</v>
      </c>
      <c r="AM120" s="43">
        <f t="shared" si="7"/>
        <v>131.33166160749639</v>
      </c>
      <c r="AN120" s="16" t="s">
        <v>516</v>
      </c>
      <c r="AO120" s="16" t="s">
        <v>60</v>
      </c>
    </row>
    <row r="121" spans="1:41" ht="14.5" x14ac:dyDescent="0.35">
      <c r="A121" s="27" t="s">
        <v>517</v>
      </c>
      <c r="B121" s="16" t="s">
        <v>55</v>
      </c>
      <c r="C121" s="16" t="s">
        <v>43</v>
      </c>
      <c r="D121" s="16" t="s">
        <v>44</v>
      </c>
      <c r="E121" s="16" t="s">
        <v>311</v>
      </c>
      <c r="F121" s="16">
        <v>4</v>
      </c>
      <c r="G121" s="30" t="s">
        <v>518</v>
      </c>
      <c r="H121" s="16">
        <v>0</v>
      </c>
      <c r="I121" s="16" t="s">
        <v>47</v>
      </c>
      <c r="J121" s="16">
        <v>132.19999999999999</v>
      </c>
      <c r="K121" s="16">
        <v>1117</v>
      </c>
      <c r="L121" s="16">
        <v>649</v>
      </c>
      <c r="M121" s="8">
        <v>68</v>
      </c>
      <c r="N121" s="21">
        <v>44799</v>
      </c>
      <c r="O121" s="7">
        <f t="shared" si="4"/>
        <v>26</v>
      </c>
      <c r="P121" s="22">
        <f t="shared" si="5"/>
        <v>6</v>
      </c>
      <c r="Q121" s="22">
        <f t="shared" si="6"/>
        <v>31</v>
      </c>
      <c r="R121" s="16">
        <v>49</v>
      </c>
      <c r="S121">
        <v>4.6634010943308999</v>
      </c>
      <c r="T121">
        <v>-74.123795860150693</v>
      </c>
      <c r="U121" s="22">
        <v>18025</v>
      </c>
      <c r="V121" s="22">
        <v>17513.833330000001</v>
      </c>
      <c r="W121" s="25">
        <v>13014</v>
      </c>
      <c r="X121" s="24">
        <v>13480</v>
      </c>
      <c r="Y121" s="24">
        <v>234583</v>
      </c>
      <c r="Z121" s="24">
        <v>236080</v>
      </c>
      <c r="AA121" s="24">
        <v>20892</v>
      </c>
      <c r="AB121" s="24">
        <v>24281</v>
      </c>
      <c r="AC121" s="24">
        <v>80827</v>
      </c>
      <c r="AD121" s="24">
        <v>83686</v>
      </c>
      <c r="AE121" s="24">
        <v>10270</v>
      </c>
      <c r="AF121" s="24">
        <v>10011</v>
      </c>
      <c r="AG121" s="17">
        <v>0</v>
      </c>
      <c r="AH121" s="16" t="s">
        <v>48</v>
      </c>
      <c r="AI121" s="16" t="s">
        <v>49</v>
      </c>
      <c r="AJ121" s="16" t="s">
        <v>76</v>
      </c>
      <c r="AK121" s="16" t="s">
        <v>51</v>
      </c>
      <c r="AL121" s="25">
        <v>241405</v>
      </c>
      <c r="AM121" s="43">
        <f t="shared" si="7"/>
        <v>77.685325264750389</v>
      </c>
      <c r="AN121" s="16" t="s">
        <v>52</v>
      </c>
      <c r="AO121" s="16" t="s">
        <v>60</v>
      </c>
    </row>
    <row r="122" spans="1:41" ht="14.5" x14ac:dyDescent="0.35">
      <c r="A122" s="27" t="s">
        <v>519</v>
      </c>
      <c r="B122" s="16" t="s">
        <v>55</v>
      </c>
      <c r="C122" s="16" t="s">
        <v>43</v>
      </c>
      <c r="D122" s="16" t="s">
        <v>44</v>
      </c>
      <c r="E122" s="16" t="s">
        <v>240</v>
      </c>
      <c r="F122" s="16">
        <v>3</v>
      </c>
      <c r="G122" s="30" t="s">
        <v>520</v>
      </c>
      <c r="H122" s="16">
        <v>0</v>
      </c>
      <c r="I122" s="16" t="s">
        <v>102</v>
      </c>
      <c r="J122" s="16">
        <v>163.30000000000001</v>
      </c>
      <c r="K122" s="16">
        <v>970</v>
      </c>
      <c r="L122" s="16">
        <v>1838</v>
      </c>
      <c r="M122" s="8">
        <v>0</v>
      </c>
      <c r="N122" s="21">
        <v>43852</v>
      </c>
      <c r="O122" s="7">
        <f t="shared" si="4"/>
        <v>22</v>
      </c>
      <c r="P122" s="22">
        <f t="shared" si="5"/>
        <v>10</v>
      </c>
      <c r="Q122" s="22">
        <f t="shared" si="6"/>
        <v>31</v>
      </c>
      <c r="R122" s="16">
        <v>80</v>
      </c>
      <c r="S122">
        <v>4.6604746233664596</v>
      </c>
      <c r="T122">
        <v>-74.108575215340593</v>
      </c>
      <c r="U122" s="22">
        <v>24877</v>
      </c>
      <c r="V122" s="22">
        <v>25126.833330000001</v>
      </c>
      <c r="W122" s="25">
        <v>11111</v>
      </c>
      <c r="X122" s="24">
        <v>11494</v>
      </c>
      <c r="Y122" s="24">
        <v>276416</v>
      </c>
      <c r="Z122" s="24">
        <v>288810</v>
      </c>
      <c r="AA122" s="24">
        <v>37002</v>
      </c>
      <c r="AB122" s="24">
        <v>37693</v>
      </c>
      <c r="AC122" s="24">
        <v>109432</v>
      </c>
      <c r="AD122" s="24">
        <v>111710</v>
      </c>
      <c r="AE122" s="24">
        <v>17412</v>
      </c>
      <c r="AF122" s="24">
        <v>17577</v>
      </c>
      <c r="AG122" s="17">
        <v>0</v>
      </c>
      <c r="AH122" s="16" t="s">
        <v>58</v>
      </c>
      <c r="AI122" s="16" t="s">
        <v>49</v>
      </c>
      <c r="AJ122" s="16" t="s">
        <v>50</v>
      </c>
      <c r="AK122" s="16" t="s">
        <v>51</v>
      </c>
      <c r="AL122" s="25">
        <v>232000</v>
      </c>
      <c r="AM122" s="43">
        <f t="shared" si="7"/>
        <v>106.62584200857317</v>
      </c>
      <c r="AN122" s="16" t="s">
        <v>117</v>
      </c>
      <c r="AO122" s="16" t="s">
        <v>53</v>
      </c>
    </row>
    <row r="123" spans="1:41" ht="14.5" x14ac:dyDescent="0.35">
      <c r="A123" s="27" t="s">
        <v>521</v>
      </c>
      <c r="B123" s="16" t="s">
        <v>42</v>
      </c>
      <c r="C123" s="16" t="s">
        <v>43</v>
      </c>
      <c r="D123" s="16" t="s">
        <v>44</v>
      </c>
      <c r="E123" s="16" t="s">
        <v>68</v>
      </c>
      <c r="F123" s="16">
        <v>5</v>
      </c>
      <c r="G123" s="30" t="s">
        <v>522</v>
      </c>
      <c r="H123" s="16">
        <v>0</v>
      </c>
      <c r="I123" s="16" t="s">
        <v>47</v>
      </c>
      <c r="J123" s="16">
        <v>173.56</v>
      </c>
      <c r="K123" s="16">
        <v>873</v>
      </c>
      <c r="L123" s="16">
        <v>3260</v>
      </c>
      <c r="M123" s="8">
        <v>165</v>
      </c>
      <c r="N123" s="21">
        <v>45107</v>
      </c>
      <c r="O123" s="7">
        <f t="shared" si="4"/>
        <v>30</v>
      </c>
      <c r="P123" s="22">
        <f t="shared" si="5"/>
        <v>1</v>
      </c>
      <c r="Q123" s="22">
        <f t="shared" si="6"/>
        <v>30</v>
      </c>
      <c r="R123" s="16">
        <v>39</v>
      </c>
      <c r="S123">
        <v>4.67947498191928</v>
      </c>
      <c r="T123">
        <v>-74.038840142917095</v>
      </c>
      <c r="U123" s="22">
        <v>21271</v>
      </c>
      <c r="V123" s="22">
        <v>22678.833330000001</v>
      </c>
      <c r="W123" s="25">
        <v>11032</v>
      </c>
      <c r="X123" s="24">
        <v>11154</v>
      </c>
      <c r="Y123" s="24">
        <v>234655</v>
      </c>
      <c r="Z123" s="24">
        <v>252964</v>
      </c>
      <c r="AA123" s="24">
        <v>25317</v>
      </c>
      <c r="AB123" s="24">
        <v>37693</v>
      </c>
      <c r="AC123" s="24">
        <v>98565</v>
      </c>
      <c r="AD123" s="24">
        <v>106449</v>
      </c>
      <c r="AE123" s="24">
        <v>15643</v>
      </c>
      <c r="AF123" s="24">
        <v>15841</v>
      </c>
      <c r="AG123" s="17">
        <v>0</v>
      </c>
      <c r="AH123" s="16" t="s">
        <v>58</v>
      </c>
      <c r="AI123" s="16" t="s">
        <v>49</v>
      </c>
      <c r="AJ123" s="16" t="s">
        <v>50</v>
      </c>
      <c r="AK123" s="16" t="s">
        <v>51</v>
      </c>
      <c r="AL123" s="25">
        <v>232000</v>
      </c>
      <c r="AM123" s="43">
        <f t="shared" si="7"/>
        <v>90.130214335100248</v>
      </c>
      <c r="AN123" s="16" t="s">
        <v>52</v>
      </c>
      <c r="AO123" s="16" t="s">
        <v>60</v>
      </c>
    </row>
    <row r="124" spans="1:41" ht="14.5" x14ac:dyDescent="0.35">
      <c r="A124" s="27" t="s">
        <v>523</v>
      </c>
      <c r="B124" s="16" t="s">
        <v>55</v>
      </c>
      <c r="C124" s="16" t="s">
        <v>43</v>
      </c>
      <c r="D124" s="16" t="s">
        <v>44</v>
      </c>
      <c r="E124" s="16" t="s">
        <v>524</v>
      </c>
      <c r="F124" s="16">
        <v>3</v>
      </c>
      <c r="G124" s="30" t="s">
        <v>525</v>
      </c>
      <c r="H124" s="16" t="s">
        <v>64</v>
      </c>
      <c r="I124" s="16" t="s">
        <v>102</v>
      </c>
      <c r="J124" s="16">
        <v>107.26</v>
      </c>
      <c r="K124" s="16">
        <v>1587</v>
      </c>
      <c r="L124" s="16">
        <v>897</v>
      </c>
      <c r="M124" s="8">
        <v>86</v>
      </c>
      <c r="N124" s="21">
        <v>46225</v>
      </c>
      <c r="O124" s="7">
        <f t="shared" si="4"/>
        <v>22</v>
      </c>
      <c r="P124" s="22">
        <f t="shared" si="5"/>
        <v>10</v>
      </c>
      <c r="Q124" s="22">
        <f t="shared" si="6"/>
        <v>31</v>
      </c>
      <c r="R124" s="16">
        <v>2</v>
      </c>
      <c r="S124">
        <v>4.6049589960214599</v>
      </c>
      <c r="T124">
        <v>-74.113879560078999</v>
      </c>
      <c r="U124" s="22">
        <v>10922</v>
      </c>
      <c r="V124" s="22">
        <v>7086.5</v>
      </c>
      <c r="W124" s="25">
        <v>13580</v>
      </c>
      <c r="X124" s="24">
        <v>13406</v>
      </c>
      <c r="Y124" s="24">
        <v>148321</v>
      </c>
      <c r="Z124" s="24">
        <v>95001</v>
      </c>
      <c r="AA124" s="42">
        <v>-4168</v>
      </c>
      <c r="AB124" s="42">
        <v>-5628</v>
      </c>
      <c r="AC124" s="24">
        <v>52149</v>
      </c>
      <c r="AD124" s="24">
        <v>35217</v>
      </c>
      <c r="AE124" s="24">
        <v>10100</v>
      </c>
      <c r="AF124" s="24">
        <v>7128</v>
      </c>
      <c r="AG124" s="17">
        <v>1.3952</v>
      </c>
      <c r="AH124" s="16" t="s">
        <v>82</v>
      </c>
      <c r="AI124" s="16" t="s">
        <v>49</v>
      </c>
      <c r="AJ124" s="16" t="s">
        <v>50</v>
      </c>
      <c r="AK124" s="16" t="s">
        <v>65</v>
      </c>
      <c r="AL124" s="25">
        <v>204160</v>
      </c>
      <c r="AM124" s="43">
        <f t="shared" si="7"/>
        <v>94.163714338989365</v>
      </c>
      <c r="AN124" s="16" t="s">
        <v>410</v>
      </c>
      <c r="AO124" s="16" t="s">
        <v>53</v>
      </c>
    </row>
    <row r="125" spans="1:41" ht="14.5" x14ac:dyDescent="0.35">
      <c r="A125" s="27" t="s">
        <v>526</v>
      </c>
      <c r="B125" s="16" t="s">
        <v>55</v>
      </c>
      <c r="C125" s="16" t="s">
        <v>43</v>
      </c>
      <c r="D125" s="16" t="s">
        <v>44</v>
      </c>
      <c r="E125" s="16" t="s">
        <v>473</v>
      </c>
      <c r="F125" s="16">
        <v>3</v>
      </c>
      <c r="G125" s="30" t="s">
        <v>527</v>
      </c>
      <c r="H125" s="16" t="s">
        <v>528</v>
      </c>
      <c r="I125" s="16" t="s">
        <v>47</v>
      </c>
      <c r="J125" s="16">
        <v>94.35</v>
      </c>
      <c r="K125" s="16">
        <v>890</v>
      </c>
      <c r="L125" s="16">
        <v>2450</v>
      </c>
      <c r="M125" s="8">
        <v>162</v>
      </c>
      <c r="N125" s="21">
        <v>45959</v>
      </c>
      <c r="O125" s="7">
        <f t="shared" si="4"/>
        <v>29</v>
      </c>
      <c r="P125" s="22">
        <f t="shared" si="5"/>
        <v>3</v>
      </c>
      <c r="Q125" s="22">
        <f t="shared" si="6"/>
        <v>31</v>
      </c>
      <c r="R125" s="16">
        <v>11</v>
      </c>
      <c r="S125">
        <v>4.6404806883365</v>
      </c>
      <c r="T125">
        <v>-74.066034172236797</v>
      </c>
      <c r="U125" s="22">
        <v>14919</v>
      </c>
      <c r="V125" s="22">
        <v>13974.666670000001</v>
      </c>
      <c r="W125" s="25">
        <v>8832</v>
      </c>
      <c r="X125" s="24">
        <v>8801</v>
      </c>
      <c r="Y125" s="24">
        <v>131763</v>
      </c>
      <c r="Z125" s="24">
        <v>122989</v>
      </c>
      <c r="AA125" s="42">
        <v>-7516</v>
      </c>
      <c r="AB125" s="42">
        <v>-11000</v>
      </c>
      <c r="AC125" s="24">
        <v>47625</v>
      </c>
      <c r="AD125" s="24">
        <v>41831</v>
      </c>
      <c r="AE125" s="24">
        <v>12000</v>
      </c>
      <c r="AF125" s="24">
        <v>12120</v>
      </c>
      <c r="AG125" s="17">
        <v>0.90990000000000004</v>
      </c>
      <c r="AH125" s="16" t="s">
        <v>82</v>
      </c>
      <c r="AI125" s="16" t="s">
        <v>49</v>
      </c>
      <c r="AJ125" s="16" t="s">
        <v>124</v>
      </c>
      <c r="AK125" s="16" t="s">
        <v>71</v>
      </c>
      <c r="AL125" s="25">
        <v>204160</v>
      </c>
      <c r="AM125" s="43">
        <f t="shared" si="7"/>
        <v>127.18600953895073</v>
      </c>
      <c r="AN125" s="16" t="s">
        <v>529</v>
      </c>
      <c r="AO125" s="16" t="s">
        <v>53</v>
      </c>
    </row>
    <row r="126" spans="1:41" ht="14.5" x14ac:dyDescent="0.35">
      <c r="A126" s="27" t="s">
        <v>530</v>
      </c>
      <c r="B126" s="16" t="s">
        <v>55</v>
      </c>
      <c r="C126" s="16" t="s">
        <v>43</v>
      </c>
      <c r="D126" s="16" t="s">
        <v>44</v>
      </c>
      <c r="E126" s="16" t="s">
        <v>531</v>
      </c>
      <c r="F126" s="16">
        <v>3</v>
      </c>
      <c r="G126" s="30" t="s">
        <v>532</v>
      </c>
      <c r="H126" s="16" t="s">
        <v>533</v>
      </c>
      <c r="I126" s="16" t="s">
        <v>47</v>
      </c>
      <c r="J126" s="16">
        <v>125.71</v>
      </c>
      <c r="K126" s="16">
        <v>658</v>
      </c>
      <c r="L126" s="16">
        <v>3090</v>
      </c>
      <c r="M126" s="8">
        <v>0</v>
      </c>
      <c r="N126" s="21">
        <v>45574</v>
      </c>
      <c r="O126" s="7">
        <f t="shared" si="4"/>
        <v>9</v>
      </c>
      <c r="P126" s="22">
        <f t="shared" si="5"/>
        <v>23</v>
      </c>
      <c r="Q126" s="22">
        <f t="shared" si="6"/>
        <v>31</v>
      </c>
      <c r="R126" s="16">
        <v>23</v>
      </c>
      <c r="S126">
        <v>4.6516002512635302</v>
      </c>
      <c r="T126">
        <v>-74.0644939653736</v>
      </c>
      <c r="U126" s="22">
        <v>31671</v>
      </c>
      <c r="V126" s="22">
        <v>27505.833330000001</v>
      </c>
      <c r="W126" s="25">
        <v>10110</v>
      </c>
      <c r="X126" s="24">
        <v>9844</v>
      </c>
      <c r="Y126" s="24">
        <v>320180</v>
      </c>
      <c r="Z126" s="24">
        <v>270779</v>
      </c>
      <c r="AA126" s="24">
        <v>52296</v>
      </c>
      <c r="AB126" s="24">
        <v>38298</v>
      </c>
      <c r="AC126" s="24">
        <v>121804</v>
      </c>
      <c r="AD126" s="24">
        <v>101513</v>
      </c>
      <c r="AE126" s="24">
        <v>9994</v>
      </c>
      <c r="AF126" s="24">
        <v>10097</v>
      </c>
      <c r="AG126" s="17">
        <v>0</v>
      </c>
      <c r="AH126" s="16" t="s">
        <v>82</v>
      </c>
      <c r="AI126" s="16" t="s">
        <v>49</v>
      </c>
      <c r="AJ126" s="16" t="s">
        <v>50</v>
      </c>
      <c r="AK126" s="16" t="s">
        <v>51</v>
      </c>
      <c r="AL126" s="25">
        <v>232000</v>
      </c>
      <c r="AM126" s="43">
        <f t="shared" si="7"/>
        <v>79.500437514915291</v>
      </c>
      <c r="AN126" s="16" t="s">
        <v>52</v>
      </c>
      <c r="AO126" s="16" t="s">
        <v>53</v>
      </c>
    </row>
    <row r="127" spans="1:41" ht="14.5" x14ac:dyDescent="0.35">
      <c r="A127" s="27" t="s">
        <v>534</v>
      </c>
      <c r="B127" s="16" t="s">
        <v>105</v>
      </c>
      <c r="C127" s="16" t="s">
        <v>177</v>
      </c>
      <c r="D127" s="16" t="s">
        <v>178</v>
      </c>
      <c r="E127" s="16" t="s">
        <v>228</v>
      </c>
      <c r="F127" s="16">
        <v>3</v>
      </c>
      <c r="G127" s="30" t="s">
        <v>535</v>
      </c>
      <c r="H127" s="16">
        <v>0</v>
      </c>
      <c r="I127" s="16" t="s">
        <v>47</v>
      </c>
      <c r="J127" s="16">
        <v>158.74</v>
      </c>
      <c r="K127" s="16">
        <v>365</v>
      </c>
      <c r="L127" s="16">
        <v>1307</v>
      </c>
      <c r="M127" s="8">
        <v>115</v>
      </c>
      <c r="N127" s="21">
        <v>45199</v>
      </c>
      <c r="O127" s="7">
        <f t="shared" si="4"/>
        <v>30</v>
      </c>
      <c r="P127" s="22">
        <f t="shared" si="5"/>
        <v>1</v>
      </c>
      <c r="Q127" s="22">
        <f t="shared" si="6"/>
        <v>30</v>
      </c>
      <c r="R127" s="16">
        <v>36</v>
      </c>
      <c r="S127">
        <v>4.5463350449754101</v>
      </c>
      <c r="T127">
        <v>-75.662345484545597</v>
      </c>
      <c r="U127" s="22">
        <v>17472</v>
      </c>
      <c r="V127" s="22">
        <v>18256.333330000001</v>
      </c>
      <c r="W127" s="25">
        <v>10471</v>
      </c>
      <c r="X127" s="24">
        <v>10672</v>
      </c>
      <c r="Y127" s="24">
        <v>182951</v>
      </c>
      <c r="Z127" s="24">
        <v>194840</v>
      </c>
      <c r="AA127" s="24">
        <v>-12846</v>
      </c>
      <c r="AB127" s="24">
        <v>7512</v>
      </c>
      <c r="AC127" s="24">
        <v>72210</v>
      </c>
      <c r="AD127" s="24">
        <v>75308</v>
      </c>
      <c r="AE127" s="24">
        <v>10347</v>
      </c>
      <c r="AF127" s="24">
        <v>10452</v>
      </c>
      <c r="AG127" s="17">
        <v>0</v>
      </c>
      <c r="AH127" s="16" t="s">
        <v>64</v>
      </c>
      <c r="AI127" s="16" t="s">
        <v>49</v>
      </c>
      <c r="AJ127" s="16" t="s">
        <v>124</v>
      </c>
      <c r="AK127" s="16" t="s">
        <v>51</v>
      </c>
      <c r="AL127" s="25">
        <v>204160</v>
      </c>
      <c r="AM127" s="43">
        <f t="shared" si="7"/>
        <v>65.182058712359833</v>
      </c>
      <c r="AN127" s="16" t="s">
        <v>536</v>
      </c>
      <c r="AO127" s="16" t="s">
        <v>98</v>
      </c>
    </row>
    <row r="128" spans="1:41" ht="14.5" x14ac:dyDescent="0.35">
      <c r="A128" s="27" t="s">
        <v>537</v>
      </c>
      <c r="B128" s="16" t="s">
        <v>55</v>
      </c>
      <c r="C128" s="16" t="s">
        <v>43</v>
      </c>
      <c r="D128" s="16" t="s">
        <v>44</v>
      </c>
      <c r="E128" s="16" t="s">
        <v>531</v>
      </c>
      <c r="F128" s="16">
        <v>3</v>
      </c>
      <c r="G128" s="30" t="s">
        <v>538</v>
      </c>
      <c r="H128" s="16">
        <v>0</v>
      </c>
      <c r="I128" s="16" t="s">
        <v>47</v>
      </c>
      <c r="J128" s="16">
        <v>158.1</v>
      </c>
      <c r="K128" s="16">
        <v>890</v>
      </c>
      <c r="L128" s="16">
        <v>1736</v>
      </c>
      <c r="M128" s="8">
        <v>0</v>
      </c>
      <c r="N128" s="21">
        <v>44540</v>
      </c>
      <c r="O128" s="7">
        <f t="shared" si="4"/>
        <v>10</v>
      </c>
      <c r="P128" s="22">
        <f t="shared" si="5"/>
        <v>22</v>
      </c>
      <c r="Q128" s="22">
        <f t="shared" si="6"/>
        <v>31</v>
      </c>
      <c r="R128" s="16">
        <v>57</v>
      </c>
      <c r="S128">
        <v>4.6561797041375899</v>
      </c>
      <c r="T128">
        <v>-74.0713206008123</v>
      </c>
      <c r="U128" s="22">
        <v>22059</v>
      </c>
      <c r="V128" s="22">
        <v>22227.666669999999</v>
      </c>
      <c r="W128" s="25">
        <v>12581</v>
      </c>
      <c r="X128" s="24">
        <v>12428</v>
      </c>
      <c r="Y128" s="24">
        <v>277519</v>
      </c>
      <c r="Z128" s="24">
        <v>276252</v>
      </c>
      <c r="AA128" s="24">
        <v>28550</v>
      </c>
      <c r="AB128" s="24">
        <v>26688</v>
      </c>
      <c r="AC128" s="24">
        <v>90470</v>
      </c>
      <c r="AD128" s="24">
        <v>90008</v>
      </c>
      <c r="AE128" s="24">
        <v>11675</v>
      </c>
      <c r="AF128" s="24">
        <v>11792</v>
      </c>
      <c r="AG128" s="17">
        <v>0</v>
      </c>
      <c r="AH128" s="16" t="s">
        <v>58</v>
      </c>
      <c r="AI128" s="16" t="s">
        <v>49</v>
      </c>
      <c r="AJ128" s="16" t="s">
        <v>50</v>
      </c>
      <c r="AK128" s="16" t="s">
        <v>51</v>
      </c>
      <c r="AL128" s="25">
        <v>204160</v>
      </c>
      <c r="AM128" s="43">
        <f t="shared" si="7"/>
        <v>73.845667299177734</v>
      </c>
      <c r="AN128" s="16" t="s">
        <v>539</v>
      </c>
      <c r="AO128" s="16" t="s">
        <v>60</v>
      </c>
    </row>
    <row r="129" spans="1:41" ht="14.5" x14ac:dyDescent="0.35">
      <c r="A129" s="27" t="s">
        <v>540</v>
      </c>
      <c r="B129" s="16" t="s">
        <v>119</v>
      </c>
      <c r="C129" s="16" t="s">
        <v>120</v>
      </c>
      <c r="D129" s="16" t="s">
        <v>121</v>
      </c>
      <c r="E129" s="16" t="s">
        <v>122</v>
      </c>
      <c r="F129" s="16">
        <v>3</v>
      </c>
      <c r="G129" s="30" t="s">
        <v>541</v>
      </c>
      <c r="H129" s="16">
        <v>0</v>
      </c>
      <c r="I129" s="16" t="s">
        <v>47</v>
      </c>
      <c r="J129" s="16">
        <v>137.02000000000001</v>
      </c>
      <c r="K129" s="16">
        <v>2804</v>
      </c>
      <c r="L129" s="16">
        <v>80</v>
      </c>
      <c r="M129" s="8">
        <v>52</v>
      </c>
      <c r="N129" s="21">
        <v>45079</v>
      </c>
      <c r="O129" s="7">
        <f t="shared" si="4"/>
        <v>2</v>
      </c>
      <c r="P129" s="22">
        <f t="shared" si="5"/>
        <v>29</v>
      </c>
      <c r="Q129" s="22">
        <f t="shared" si="6"/>
        <v>30</v>
      </c>
      <c r="R129" s="16">
        <v>39</v>
      </c>
      <c r="S129">
        <v>7.1324146424071904</v>
      </c>
      <c r="T129">
        <v>-73.117698334367205</v>
      </c>
      <c r="U129" s="22">
        <v>16818</v>
      </c>
      <c r="V129" s="22">
        <v>15269.833329999999</v>
      </c>
      <c r="W129" s="25">
        <v>10497</v>
      </c>
      <c r="X129" s="24">
        <v>10931</v>
      </c>
      <c r="Y129" s="24">
        <v>176542</v>
      </c>
      <c r="Z129" s="24">
        <v>166916</v>
      </c>
      <c r="AA129" s="24">
        <v>10551</v>
      </c>
      <c r="AB129" s="24">
        <v>11303</v>
      </c>
      <c r="AC129" s="24">
        <v>68963</v>
      </c>
      <c r="AD129" s="24">
        <v>62975</v>
      </c>
      <c r="AE129" s="24">
        <v>7008</v>
      </c>
      <c r="AF129" s="24">
        <v>7003</v>
      </c>
      <c r="AG129" s="17">
        <v>0</v>
      </c>
      <c r="AH129" s="16" t="s">
        <v>58</v>
      </c>
      <c r="AI129" s="16" t="s">
        <v>49</v>
      </c>
      <c r="AJ129" s="16" t="s">
        <v>124</v>
      </c>
      <c r="AK129" s="16" t="s">
        <v>51</v>
      </c>
      <c r="AL129" s="25">
        <v>204160</v>
      </c>
      <c r="AM129" s="43">
        <f t="shared" si="7"/>
        <v>51.145818128740324</v>
      </c>
      <c r="AN129" s="16" t="s">
        <v>162</v>
      </c>
      <c r="AO129" s="16" t="s">
        <v>60</v>
      </c>
    </row>
    <row r="130" spans="1:41" ht="14.5" x14ac:dyDescent="0.35">
      <c r="A130" s="27" t="s">
        <v>542</v>
      </c>
      <c r="B130" s="16" t="s">
        <v>42</v>
      </c>
      <c r="C130" s="16" t="s">
        <v>43</v>
      </c>
      <c r="D130" s="16" t="s">
        <v>44</v>
      </c>
      <c r="E130" s="16" t="s">
        <v>68</v>
      </c>
      <c r="F130" s="16">
        <v>5</v>
      </c>
      <c r="G130" s="30" t="s">
        <v>543</v>
      </c>
      <c r="H130" s="16">
        <v>0</v>
      </c>
      <c r="I130" s="16" t="s">
        <v>47</v>
      </c>
      <c r="J130" s="16">
        <v>130.91</v>
      </c>
      <c r="K130" s="16">
        <v>531</v>
      </c>
      <c r="L130" s="16">
        <v>3356</v>
      </c>
      <c r="M130" s="8">
        <v>123</v>
      </c>
      <c r="N130" s="21">
        <v>44890</v>
      </c>
      <c r="O130" s="7">
        <f t="shared" ref="O130:O193" si="8">DAY(N130)</f>
        <v>25</v>
      </c>
      <c r="P130" s="22">
        <f t="shared" ref="P130:P193" si="9">Q130-O130+1</f>
        <v>6</v>
      </c>
      <c r="Q130" s="22">
        <f t="shared" ref="Q130:Q193" si="10">DAY(EOMONTH(N130,0))</f>
        <v>30</v>
      </c>
      <c r="R130" s="16">
        <v>46</v>
      </c>
      <c r="S130">
        <v>4.6550627874192401</v>
      </c>
      <c r="T130">
        <v>-74.057674202842705</v>
      </c>
      <c r="U130" s="22">
        <v>27953</v>
      </c>
      <c r="V130" s="22">
        <v>27929.833330000001</v>
      </c>
      <c r="W130" s="25">
        <v>10049</v>
      </c>
      <c r="X130" s="24">
        <v>10450</v>
      </c>
      <c r="Y130" s="24">
        <v>280900</v>
      </c>
      <c r="Z130" s="24">
        <v>291875</v>
      </c>
      <c r="AA130" s="24">
        <v>16379</v>
      </c>
      <c r="AB130" s="24">
        <v>22995</v>
      </c>
      <c r="AC130" s="24">
        <v>111166</v>
      </c>
      <c r="AD130" s="24">
        <v>112749</v>
      </c>
      <c r="AE130" s="24">
        <v>25388</v>
      </c>
      <c r="AF130" s="24">
        <v>25646</v>
      </c>
      <c r="AG130" s="17">
        <v>0</v>
      </c>
      <c r="AH130" s="16" t="s">
        <v>82</v>
      </c>
      <c r="AI130" s="16" t="s">
        <v>49</v>
      </c>
      <c r="AJ130" s="16" t="s">
        <v>124</v>
      </c>
      <c r="AK130" s="16" t="s">
        <v>51</v>
      </c>
      <c r="AL130" s="25">
        <v>204160</v>
      </c>
      <c r="AM130" s="43">
        <f t="shared" ref="AM130:AM193" si="11">AE130/J130</f>
        <v>193.9347643419143</v>
      </c>
      <c r="AN130" s="16" t="s">
        <v>52</v>
      </c>
      <c r="AO130" s="16" t="s">
        <v>53</v>
      </c>
    </row>
    <row r="131" spans="1:41" ht="14.5" x14ac:dyDescent="0.35">
      <c r="A131" s="27" t="s">
        <v>544</v>
      </c>
      <c r="B131" s="16" t="s">
        <v>42</v>
      </c>
      <c r="C131" s="16" t="s">
        <v>43</v>
      </c>
      <c r="D131" s="16" t="s">
        <v>44</v>
      </c>
      <c r="E131" s="16" t="s">
        <v>447</v>
      </c>
      <c r="F131" s="16">
        <v>4</v>
      </c>
      <c r="G131" s="30" t="s">
        <v>545</v>
      </c>
      <c r="H131" s="16">
        <v>0</v>
      </c>
      <c r="I131" s="16" t="s">
        <v>102</v>
      </c>
      <c r="J131" s="16">
        <v>131.38999999999999</v>
      </c>
      <c r="K131" s="16">
        <v>1259</v>
      </c>
      <c r="L131" s="16">
        <v>2271</v>
      </c>
      <c r="M131" s="8">
        <v>68</v>
      </c>
      <c r="N131" s="21">
        <v>44526</v>
      </c>
      <c r="O131" s="7">
        <f t="shared" si="8"/>
        <v>26</v>
      </c>
      <c r="P131" s="22">
        <f t="shared" si="9"/>
        <v>5</v>
      </c>
      <c r="Q131" s="22">
        <f t="shared" si="10"/>
        <v>30</v>
      </c>
      <c r="R131" s="16">
        <v>58</v>
      </c>
      <c r="S131">
        <v>4.6840188920400596</v>
      </c>
      <c r="T131">
        <v>-74.060057107799693</v>
      </c>
      <c r="U131" s="22">
        <v>22071</v>
      </c>
      <c r="V131" s="22">
        <v>22011.5</v>
      </c>
      <c r="W131" s="25">
        <v>9878</v>
      </c>
      <c r="X131" s="24">
        <v>10197</v>
      </c>
      <c r="Y131" s="24">
        <v>218007</v>
      </c>
      <c r="Z131" s="24">
        <v>224454</v>
      </c>
      <c r="AA131" s="24">
        <v>26086</v>
      </c>
      <c r="AB131" s="24">
        <v>28718</v>
      </c>
      <c r="AC131" s="24">
        <v>87105</v>
      </c>
      <c r="AD131" s="24">
        <v>86854</v>
      </c>
      <c r="AE131" s="24">
        <v>10988</v>
      </c>
      <c r="AF131" s="24">
        <v>11100</v>
      </c>
      <c r="AG131" s="17">
        <v>0</v>
      </c>
      <c r="AH131" s="16" t="s">
        <v>136</v>
      </c>
      <c r="AI131" s="16" t="s">
        <v>49</v>
      </c>
      <c r="AJ131" s="16" t="s">
        <v>76</v>
      </c>
      <c r="AK131" s="16" t="s">
        <v>51</v>
      </c>
      <c r="AL131" s="25">
        <v>241405</v>
      </c>
      <c r="AM131" s="43">
        <f t="shared" si="11"/>
        <v>83.628891087601801</v>
      </c>
      <c r="AN131" s="16" t="s">
        <v>165</v>
      </c>
      <c r="AO131" s="16" t="s">
        <v>60</v>
      </c>
    </row>
    <row r="132" spans="1:41" ht="14.5" x14ac:dyDescent="0.35">
      <c r="A132" s="27" t="s">
        <v>546</v>
      </c>
      <c r="B132" s="16" t="s">
        <v>55</v>
      </c>
      <c r="C132" s="16" t="s">
        <v>43</v>
      </c>
      <c r="D132" s="16" t="s">
        <v>44</v>
      </c>
      <c r="E132" s="16" t="s">
        <v>74</v>
      </c>
      <c r="F132" s="16">
        <v>4</v>
      </c>
      <c r="G132" s="30" t="s">
        <v>547</v>
      </c>
      <c r="H132" s="16">
        <v>0</v>
      </c>
      <c r="I132" s="16" t="s">
        <v>47</v>
      </c>
      <c r="J132" s="16">
        <v>127.43</v>
      </c>
      <c r="K132" s="16">
        <v>919</v>
      </c>
      <c r="L132" s="16">
        <v>358</v>
      </c>
      <c r="M132" s="8">
        <v>0</v>
      </c>
      <c r="N132" s="21">
        <v>44638</v>
      </c>
      <c r="O132" s="7">
        <f t="shared" si="8"/>
        <v>18</v>
      </c>
      <c r="P132" s="22">
        <f t="shared" si="9"/>
        <v>14</v>
      </c>
      <c r="Q132" s="22">
        <f t="shared" si="10"/>
        <v>31</v>
      </c>
      <c r="R132" s="16">
        <v>54</v>
      </c>
      <c r="S132">
        <v>4.6365811790640903</v>
      </c>
      <c r="T132">
        <v>-74.142918558288699</v>
      </c>
      <c r="U132" s="22">
        <v>18969</v>
      </c>
      <c r="V132" s="22">
        <v>19466</v>
      </c>
      <c r="W132" s="25">
        <v>13341</v>
      </c>
      <c r="X132" s="24">
        <v>13734</v>
      </c>
      <c r="Y132" s="24">
        <v>253071</v>
      </c>
      <c r="Z132" s="24">
        <v>267346</v>
      </c>
      <c r="AA132" s="24">
        <v>27643</v>
      </c>
      <c r="AB132" s="24">
        <v>29943</v>
      </c>
      <c r="AC132" s="24">
        <v>86574</v>
      </c>
      <c r="AD132" s="24">
        <v>89738</v>
      </c>
      <c r="AE132" s="24">
        <v>9567</v>
      </c>
      <c r="AF132" s="24">
        <v>9667</v>
      </c>
      <c r="AG132" s="17">
        <v>0</v>
      </c>
      <c r="AH132" s="16" t="s">
        <v>58</v>
      </c>
      <c r="AI132" s="16" t="s">
        <v>49</v>
      </c>
      <c r="AJ132" s="16" t="s">
        <v>124</v>
      </c>
      <c r="AK132" s="16" t="s">
        <v>51</v>
      </c>
      <c r="AL132" s="25">
        <v>204160</v>
      </c>
      <c r="AM132" s="43">
        <f t="shared" si="11"/>
        <v>75.076512595150277</v>
      </c>
      <c r="AN132" s="16" t="s">
        <v>485</v>
      </c>
      <c r="AO132" s="16" t="s">
        <v>53</v>
      </c>
    </row>
    <row r="133" spans="1:41" ht="14.5" x14ac:dyDescent="0.35">
      <c r="A133" s="27" t="s">
        <v>548</v>
      </c>
      <c r="B133" s="16" t="s">
        <v>42</v>
      </c>
      <c r="C133" s="16" t="s">
        <v>43</v>
      </c>
      <c r="D133" s="16" t="s">
        <v>44</v>
      </c>
      <c r="E133" s="16" t="s">
        <v>549</v>
      </c>
      <c r="F133" s="16">
        <v>6</v>
      </c>
      <c r="G133" s="30" t="s">
        <v>550</v>
      </c>
      <c r="H133" s="16" t="s">
        <v>551</v>
      </c>
      <c r="I133" s="16" t="s">
        <v>102</v>
      </c>
      <c r="J133" s="16">
        <v>209.94</v>
      </c>
      <c r="K133" s="16">
        <v>1392</v>
      </c>
      <c r="L133" s="16">
        <v>3400</v>
      </c>
      <c r="M133" s="8">
        <v>124</v>
      </c>
      <c r="N133" s="21">
        <v>45716</v>
      </c>
      <c r="O133" s="7">
        <f t="shared" si="8"/>
        <v>28</v>
      </c>
      <c r="P133" s="22">
        <f t="shared" si="9"/>
        <v>1</v>
      </c>
      <c r="Q133" s="22">
        <f t="shared" si="10"/>
        <v>28</v>
      </c>
      <c r="R133" s="16">
        <v>19</v>
      </c>
      <c r="S133">
        <v>4.6557585232827696</v>
      </c>
      <c r="T133">
        <v>-74.054743055516994</v>
      </c>
      <c r="U133" s="22">
        <v>18208</v>
      </c>
      <c r="V133" s="22">
        <v>18423.166669999999</v>
      </c>
      <c r="W133" s="25">
        <v>9407</v>
      </c>
      <c r="X133" s="24">
        <v>9678</v>
      </c>
      <c r="Y133" s="24">
        <v>171278</v>
      </c>
      <c r="Z133" s="24">
        <v>178295</v>
      </c>
      <c r="AA133" s="24">
        <v>4176</v>
      </c>
      <c r="AB133" s="24">
        <v>7841</v>
      </c>
      <c r="AC133" s="24">
        <v>68618</v>
      </c>
      <c r="AD133" s="24">
        <v>69589</v>
      </c>
      <c r="AE133" s="24">
        <v>17441</v>
      </c>
      <c r="AF133" s="24">
        <v>17655</v>
      </c>
      <c r="AG133" s="17">
        <v>1.1380999999999999</v>
      </c>
      <c r="AH133" s="16" t="s">
        <v>58</v>
      </c>
      <c r="AI133" s="16" t="s">
        <v>49</v>
      </c>
      <c r="AJ133" s="16" t="s">
        <v>124</v>
      </c>
      <c r="AK133" s="16" t="s">
        <v>51</v>
      </c>
      <c r="AL133" s="25">
        <v>204160</v>
      </c>
      <c r="AM133" s="43">
        <f t="shared" si="11"/>
        <v>83.07611698580547</v>
      </c>
      <c r="AN133" s="16" t="s">
        <v>117</v>
      </c>
      <c r="AO133" s="16" t="s">
        <v>53</v>
      </c>
    </row>
    <row r="134" spans="1:41" ht="14.5" x14ac:dyDescent="0.35">
      <c r="A134" s="27" t="s">
        <v>552</v>
      </c>
      <c r="B134" s="16" t="s">
        <v>55</v>
      </c>
      <c r="C134" s="16" t="s">
        <v>93</v>
      </c>
      <c r="D134" s="16" t="s">
        <v>553</v>
      </c>
      <c r="E134" s="16" t="s">
        <v>554</v>
      </c>
      <c r="F134" s="16">
        <v>3</v>
      </c>
      <c r="G134" s="30" t="s">
        <v>555</v>
      </c>
      <c r="H134" s="16">
        <v>0</v>
      </c>
      <c r="I134" s="16" t="s">
        <v>47</v>
      </c>
      <c r="J134" s="16">
        <v>115.24</v>
      </c>
      <c r="K134" s="16">
        <v>924</v>
      </c>
      <c r="L134" s="16">
        <v>832</v>
      </c>
      <c r="M134" s="8">
        <v>48</v>
      </c>
      <c r="N134" s="21">
        <v>45348</v>
      </c>
      <c r="O134" s="7">
        <f t="shared" si="8"/>
        <v>26</v>
      </c>
      <c r="P134" s="22">
        <f t="shared" si="9"/>
        <v>4</v>
      </c>
      <c r="Q134" s="22">
        <f t="shared" si="10"/>
        <v>29</v>
      </c>
      <c r="R134" s="16">
        <v>31</v>
      </c>
      <c r="S134">
        <v>4.3292407640041999</v>
      </c>
      <c r="T134">
        <v>-74.382600459758294</v>
      </c>
      <c r="U134" s="22">
        <v>8479</v>
      </c>
      <c r="V134" s="22">
        <v>8516.3333330000005</v>
      </c>
      <c r="W134" s="25">
        <v>19653</v>
      </c>
      <c r="X134" s="24">
        <v>18826</v>
      </c>
      <c r="Y134" s="24">
        <v>166635</v>
      </c>
      <c r="Z134" s="24">
        <v>160328</v>
      </c>
      <c r="AA134" s="42">
        <v>4840</v>
      </c>
      <c r="AB134" s="42">
        <v>1891</v>
      </c>
      <c r="AC134" s="24">
        <v>55889</v>
      </c>
      <c r="AD134" s="24">
        <v>51835</v>
      </c>
      <c r="AE134" s="24">
        <v>7518</v>
      </c>
      <c r="AF134" s="24">
        <v>7601</v>
      </c>
      <c r="AG134" s="17">
        <v>0</v>
      </c>
      <c r="AH134" s="16" t="s">
        <v>82</v>
      </c>
      <c r="AI134" s="16" t="s">
        <v>49</v>
      </c>
      <c r="AJ134" s="16" t="s">
        <v>50</v>
      </c>
      <c r="AK134" s="16" t="s">
        <v>51</v>
      </c>
      <c r="AL134" s="25">
        <v>232000</v>
      </c>
      <c r="AM134" s="43">
        <f t="shared" si="11"/>
        <v>65.237764665046868</v>
      </c>
      <c r="AN134" s="16" t="s">
        <v>52</v>
      </c>
      <c r="AO134" s="16" t="s">
        <v>53</v>
      </c>
    </row>
    <row r="135" spans="1:41" ht="14.5" x14ac:dyDescent="0.35">
      <c r="A135" s="27" t="s">
        <v>556</v>
      </c>
      <c r="B135" s="16" t="s">
        <v>55</v>
      </c>
      <c r="C135" s="16" t="s">
        <v>43</v>
      </c>
      <c r="D135" s="16" t="s">
        <v>44</v>
      </c>
      <c r="E135" s="16" t="s">
        <v>159</v>
      </c>
      <c r="F135" s="16">
        <v>3</v>
      </c>
      <c r="G135" s="30" t="s">
        <v>557</v>
      </c>
      <c r="H135" s="16">
        <v>0</v>
      </c>
      <c r="I135" s="16" t="s">
        <v>47</v>
      </c>
      <c r="J135" s="16">
        <v>164.92</v>
      </c>
      <c r="K135" s="16">
        <v>651</v>
      </c>
      <c r="L135" s="16">
        <v>7500</v>
      </c>
      <c r="M135" s="8">
        <v>0</v>
      </c>
      <c r="N135" s="21">
        <v>42361</v>
      </c>
      <c r="O135" s="7">
        <f t="shared" si="8"/>
        <v>23</v>
      </c>
      <c r="P135" s="22">
        <f t="shared" si="9"/>
        <v>9</v>
      </c>
      <c r="Q135" s="22">
        <f t="shared" si="10"/>
        <v>31</v>
      </c>
      <c r="R135" s="16">
        <v>116</v>
      </c>
      <c r="S135">
        <v>4.59795305600238</v>
      </c>
      <c r="T135">
        <v>-74.073115886469097</v>
      </c>
      <c r="U135" s="22">
        <v>21968</v>
      </c>
      <c r="V135" s="22">
        <v>20922.166669999999</v>
      </c>
      <c r="W135" s="25">
        <v>10444</v>
      </c>
      <c r="X135" s="24">
        <v>11079</v>
      </c>
      <c r="Y135" s="24">
        <v>229430</v>
      </c>
      <c r="Z135" s="24">
        <v>231806</v>
      </c>
      <c r="AA135" s="24">
        <v>24499</v>
      </c>
      <c r="AB135" s="24">
        <v>21874</v>
      </c>
      <c r="AC135" s="24">
        <v>81043</v>
      </c>
      <c r="AD135" s="24">
        <v>81213</v>
      </c>
      <c r="AE135" s="24">
        <v>9022</v>
      </c>
      <c r="AF135" s="24">
        <v>9042</v>
      </c>
      <c r="AG135" s="17">
        <v>0</v>
      </c>
      <c r="AH135" s="16" t="s">
        <v>58</v>
      </c>
      <c r="AI135" s="16" t="s">
        <v>49</v>
      </c>
      <c r="AJ135" s="16" t="s">
        <v>50</v>
      </c>
      <c r="AK135" s="16" t="s">
        <v>51</v>
      </c>
      <c r="AL135" s="25">
        <v>232000</v>
      </c>
      <c r="AM135" s="43">
        <f t="shared" si="11"/>
        <v>54.705311666262432</v>
      </c>
      <c r="AN135" s="16" t="s">
        <v>558</v>
      </c>
      <c r="AO135" s="16" t="s">
        <v>60</v>
      </c>
    </row>
    <row r="136" spans="1:41" ht="14.5" x14ac:dyDescent="0.35">
      <c r="A136" s="27" t="s">
        <v>559</v>
      </c>
      <c r="B136" s="16" t="s">
        <v>119</v>
      </c>
      <c r="C136" s="16" t="s">
        <v>120</v>
      </c>
      <c r="D136" s="16" t="s">
        <v>121</v>
      </c>
      <c r="E136" s="16" t="s">
        <v>190</v>
      </c>
      <c r="F136" s="16">
        <v>5</v>
      </c>
      <c r="G136" s="30" t="s">
        <v>560</v>
      </c>
      <c r="H136" s="16">
        <v>0</v>
      </c>
      <c r="I136" s="16" t="s">
        <v>47</v>
      </c>
      <c r="J136" s="16">
        <v>56.8</v>
      </c>
      <c r="K136" s="16">
        <v>391</v>
      </c>
      <c r="L136" s="16">
        <v>1844</v>
      </c>
      <c r="M136" s="8">
        <v>0</v>
      </c>
      <c r="N136" s="21">
        <v>43404</v>
      </c>
      <c r="O136" s="7">
        <f t="shared" si="8"/>
        <v>31</v>
      </c>
      <c r="P136" s="22">
        <f t="shared" si="9"/>
        <v>1</v>
      </c>
      <c r="Q136" s="22">
        <f t="shared" si="10"/>
        <v>31</v>
      </c>
      <c r="R136" s="16">
        <v>94</v>
      </c>
      <c r="S136">
        <v>7.1150839876979397</v>
      </c>
      <c r="T136">
        <v>-73.110362530538396</v>
      </c>
      <c r="U136" s="22">
        <v>17662</v>
      </c>
      <c r="V136" s="22">
        <v>15596.666670000001</v>
      </c>
      <c r="W136" s="25">
        <v>7665</v>
      </c>
      <c r="X136" s="24">
        <v>8351</v>
      </c>
      <c r="Y136" s="24">
        <v>135387</v>
      </c>
      <c r="Z136" s="24">
        <v>130241</v>
      </c>
      <c r="AA136" s="24">
        <v>9094</v>
      </c>
      <c r="AB136" s="24">
        <v>6224</v>
      </c>
      <c r="AC136" s="24">
        <v>54169</v>
      </c>
      <c r="AD136" s="24">
        <v>50646</v>
      </c>
      <c r="AE136" s="24">
        <v>10777</v>
      </c>
      <c r="AF136" s="24">
        <v>10887</v>
      </c>
      <c r="AG136" s="17">
        <v>0</v>
      </c>
      <c r="AH136" s="16" t="s">
        <v>58</v>
      </c>
      <c r="AI136" s="16" t="s">
        <v>49</v>
      </c>
      <c r="AJ136" s="16" t="s">
        <v>50</v>
      </c>
      <c r="AK136" s="16" t="s">
        <v>51</v>
      </c>
      <c r="AL136" s="25">
        <v>232000</v>
      </c>
      <c r="AM136" s="43">
        <f t="shared" si="11"/>
        <v>189.73591549295776</v>
      </c>
      <c r="AN136" s="16" t="s">
        <v>561</v>
      </c>
      <c r="AO136" s="16" t="s">
        <v>98</v>
      </c>
    </row>
    <row r="137" spans="1:41" ht="14.5" x14ac:dyDescent="0.35">
      <c r="A137" s="27" t="s">
        <v>562</v>
      </c>
      <c r="B137" s="16" t="s">
        <v>55</v>
      </c>
      <c r="C137" s="16" t="s">
        <v>43</v>
      </c>
      <c r="D137" s="16" t="s">
        <v>44</v>
      </c>
      <c r="E137" s="16" t="s">
        <v>563</v>
      </c>
      <c r="F137" s="16">
        <v>2</v>
      </c>
      <c r="G137" s="30" t="s">
        <v>564</v>
      </c>
      <c r="H137" s="16" t="s">
        <v>565</v>
      </c>
      <c r="I137" s="16" t="s">
        <v>47</v>
      </c>
      <c r="J137" s="16">
        <v>112.84</v>
      </c>
      <c r="K137" s="16">
        <v>1832</v>
      </c>
      <c r="L137" s="16">
        <v>1171</v>
      </c>
      <c r="M137" s="8">
        <v>254</v>
      </c>
      <c r="N137" s="21">
        <v>46186</v>
      </c>
      <c r="O137" s="7">
        <f t="shared" si="8"/>
        <v>13</v>
      </c>
      <c r="P137" s="22">
        <f t="shared" si="9"/>
        <v>18</v>
      </c>
      <c r="Q137" s="22">
        <f t="shared" si="10"/>
        <v>30</v>
      </c>
      <c r="R137" s="16">
        <v>3</v>
      </c>
      <c r="S137">
        <v>4.5580208782319298</v>
      </c>
      <c r="T137">
        <v>-74.122034750799102</v>
      </c>
      <c r="U137" s="22">
        <v>21076</v>
      </c>
      <c r="V137" s="22">
        <v>17726.666669999999</v>
      </c>
      <c r="W137" s="25">
        <v>10601</v>
      </c>
      <c r="X137" s="24">
        <v>10901</v>
      </c>
      <c r="Y137" s="24">
        <v>223435</v>
      </c>
      <c r="Z137" s="24">
        <v>193236</v>
      </c>
      <c r="AA137" s="24">
        <v>15870</v>
      </c>
      <c r="AB137" s="24">
        <v>19186</v>
      </c>
      <c r="AC137" s="24">
        <v>75355</v>
      </c>
      <c r="AD137" s="24">
        <v>68499</v>
      </c>
      <c r="AE137" s="24">
        <v>9152</v>
      </c>
      <c r="AF137" s="24">
        <v>7748</v>
      </c>
      <c r="AG137" s="17">
        <v>2.0125999999999999</v>
      </c>
      <c r="AH137" s="16" t="s">
        <v>136</v>
      </c>
      <c r="AI137" s="16" t="s">
        <v>49</v>
      </c>
      <c r="AJ137" s="16" t="s">
        <v>50</v>
      </c>
      <c r="AK137" s="16" t="s">
        <v>65</v>
      </c>
      <c r="AL137" s="25">
        <v>241405</v>
      </c>
      <c r="AM137" s="43">
        <f t="shared" si="11"/>
        <v>81.105990783410135</v>
      </c>
      <c r="AN137" s="16" t="s">
        <v>52</v>
      </c>
      <c r="AO137" s="16" t="s">
        <v>60</v>
      </c>
    </row>
    <row r="138" spans="1:41" ht="14.5" x14ac:dyDescent="0.35">
      <c r="A138" s="27" t="s">
        <v>566</v>
      </c>
      <c r="B138" s="16" t="s">
        <v>105</v>
      </c>
      <c r="C138" s="16" t="s">
        <v>157</v>
      </c>
      <c r="D138" s="16" t="s">
        <v>158</v>
      </c>
      <c r="E138" s="16" t="s">
        <v>567</v>
      </c>
      <c r="F138" s="16">
        <v>4</v>
      </c>
      <c r="G138" s="30" t="s">
        <v>568</v>
      </c>
      <c r="H138" s="16" t="s">
        <v>569</v>
      </c>
      <c r="I138" s="16" t="s">
        <v>102</v>
      </c>
      <c r="J138" s="16">
        <v>162.6</v>
      </c>
      <c r="K138" s="16">
        <v>381</v>
      </c>
      <c r="L138" s="16">
        <v>7785</v>
      </c>
      <c r="M138" s="8">
        <v>233</v>
      </c>
      <c r="N138" s="21">
        <v>46106</v>
      </c>
      <c r="O138" s="7">
        <f t="shared" si="8"/>
        <v>25</v>
      </c>
      <c r="P138" s="22">
        <f t="shared" si="9"/>
        <v>7</v>
      </c>
      <c r="Q138" s="22">
        <f t="shared" si="10"/>
        <v>31</v>
      </c>
      <c r="R138" s="16">
        <v>6</v>
      </c>
      <c r="S138">
        <v>6.2000203058065004</v>
      </c>
      <c r="T138">
        <v>-75.5858264599714</v>
      </c>
      <c r="U138" s="22">
        <v>14218</v>
      </c>
      <c r="V138" s="22">
        <v>10506.666670000001</v>
      </c>
      <c r="W138" s="25">
        <v>10014</v>
      </c>
      <c r="X138" s="24">
        <v>10129</v>
      </c>
      <c r="Y138" s="24">
        <v>142377</v>
      </c>
      <c r="Z138" s="24">
        <v>106425</v>
      </c>
      <c r="AA138" s="42">
        <v>1858</v>
      </c>
      <c r="AB138" s="42">
        <v>-1909</v>
      </c>
      <c r="AC138" s="24">
        <v>60211</v>
      </c>
      <c r="AD138" s="24">
        <v>46475</v>
      </c>
      <c r="AE138" s="24">
        <v>12619</v>
      </c>
      <c r="AF138" s="24">
        <v>10738</v>
      </c>
      <c r="AG138" s="17">
        <v>1.2029000000000001</v>
      </c>
      <c r="AH138" s="16" t="s">
        <v>82</v>
      </c>
      <c r="AI138" s="16" t="s">
        <v>49</v>
      </c>
      <c r="AJ138" s="16" t="s">
        <v>124</v>
      </c>
      <c r="AK138" s="16" t="s">
        <v>65</v>
      </c>
      <c r="AL138" s="25">
        <v>232000</v>
      </c>
      <c r="AM138" s="43">
        <f t="shared" si="11"/>
        <v>77.607626076260772</v>
      </c>
      <c r="AN138" s="16" t="s">
        <v>52</v>
      </c>
      <c r="AO138" s="16" t="s">
        <v>53</v>
      </c>
    </row>
    <row r="139" spans="1:41" ht="14.5" x14ac:dyDescent="0.35">
      <c r="A139" s="27" t="s">
        <v>570</v>
      </c>
      <c r="B139" s="16" t="s">
        <v>42</v>
      </c>
      <c r="C139" s="16" t="s">
        <v>43</v>
      </c>
      <c r="D139" s="16" t="s">
        <v>44</v>
      </c>
      <c r="E139" s="16" t="s">
        <v>45</v>
      </c>
      <c r="F139" s="16">
        <v>4</v>
      </c>
      <c r="G139" s="30" t="s">
        <v>571</v>
      </c>
      <c r="H139" s="16">
        <v>0</v>
      </c>
      <c r="I139" s="16" t="s">
        <v>47</v>
      </c>
      <c r="J139" s="16">
        <v>147.58000000000001</v>
      </c>
      <c r="K139" s="16">
        <v>2063</v>
      </c>
      <c r="L139" s="16">
        <v>804</v>
      </c>
      <c r="M139" s="8">
        <v>0</v>
      </c>
      <c r="N139" s="21">
        <v>40788</v>
      </c>
      <c r="O139" s="7">
        <f t="shared" si="8"/>
        <v>2</v>
      </c>
      <c r="P139" s="22">
        <f t="shared" si="9"/>
        <v>29</v>
      </c>
      <c r="Q139" s="22">
        <f t="shared" si="10"/>
        <v>30</v>
      </c>
      <c r="R139" s="16">
        <v>116</v>
      </c>
      <c r="S139">
        <v>4.7209449248950897</v>
      </c>
      <c r="T139">
        <v>-74.039947828613904</v>
      </c>
      <c r="U139" s="22">
        <v>28294</v>
      </c>
      <c r="V139" s="22">
        <v>28537.666669999999</v>
      </c>
      <c r="W139" s="25">
        <v>12384</v>
      </c>
      <c r="X139" s="24">
        <v>12745</v>
      </c>
      <c r="Y139" s="24">
        <v>350381</v>
      </c>
      <c r="Z139" s="24">
        <v>363725</v>
      </c>
      <c r="AA139" s="24">
        <v>42143</v>
      </c>
      <c r="AB139" s="24">
        <v>45094</v>
      </c>
      <c r="AC139" s="24">
        <v>122699</v>
      </c>
      <c r="AD139" s="24">
        <v>126133</v>
      </c>
      <c r="AE139" s="24">
        <v>15354</v>
      </c>
      <c r="AF139" s="24">
        <v>15414</v>
      </c>
      <c r="AG139" s="17">
        <v>0</v>
      </c>
      <c r="AH139" s="16" t="s">
        <v>48</v>
      </c>
      <c r="AI139" s="16" t="s">
        <v>49</v>
      </c>
      <c r="AJ139" s="16" t="s">
        <v>76</v>
      </c>
      <c r="AK139" s="16" t="s">
        <v>51</v>
      </c>
      <c r="AL139" s="25">
        <v>241405</v>
      </c>
      <c r="AM139" s="43">
        <f t="shared" si="11"/>
        <v>104.03848759994578</v>
      </c>
      <c r="AN139" s="16" t="s">
        <v>52</v>
      </c>
      <c r="AO139" s="16" t="s">
        <v>98</v>
      </c>
    </row>
    <row r="140" spans="1:41" ht="14.5" x14ac:dyDescent="0.35">
      <c r="A140" s="27" t="s">
        <v>572</v>
      </c>
      <c r="B140" s="16" t="s">
        <v>42</v>
      </c>
      <c r="C140" s="16" t="s">
        <v>43</v>
      </c>
      <c r="D140" s="16" t="s">
        <v>44</v>
      </c>
      <c r="E140" s="16" t="s">
        <v>45</v>
      </c>
      <c r="F140" s="16">
        <v>4</v>
      </c>
      <c r="G140" s="30" t="s">
        <v>573</v>
      </c>
      <c r="H140" s="16">
        <v>0</v>
      </c>
      <c r="I140" s="16" t="s">
        <v>47</v>
      </c>
      <c r="J140" s="16">
        <v>172.82</v>
      </c>
      <c r="K140" s="16">
        <v>3421</v>
      </c>
      <c r="L140" s="16">
        <v>330</v>
      </c>
      <c r="M140" s="8">
        <v>0</v>
      </c>
      <c r="N140" s="21">
        <v>40863</v>
      </c>
      <c r="O140" s="7">
        <f t="shared" si="8"/>
        <v>16</v>
      </c>
      <c r="P140" s="22">
        <f t="shared" si="9"/>
        <v>15</v>
      </c>
      <c r="Q140" s="22">
        <f t="shared" si="10"/>
        <v>30</v>
      </c>
      <c r="R140" s="16">
        <v>116</v>
      </c>
      <c r="S140">
        <v>4.7267966215322401</v>
      </c>
      <c r="T140">
        <v>-74.0348574141819</v>
      </c>
      <c r="U140" s="22">
        <v>30145</v>
      </c>
      <c r="V140" s="22">
        <v>30202</v>
      </c>
      <c r="W140" s="25">
        <v>14909</v>
      </c>
      <c r="X140" s="24">
        <v>15506</v>
      </c>
      <c r="Y140" s="24">
        <v>449443</v>
      </c>
      <c r="Z140" s="24">
        <v>468324</v>
      </c>
      <c r="AA140" s="24">
        <v>52080</v>
      </c>
      <c r="AB140" s="24">
        <v>56607</v>
      </c>
      <c r="AC140" s="24">
        <v>158024</v>
      </c>
      <c r="AD140" s="24">
        <v>161499</v>
      </c>
      <c r="AE140" s="24">
        <v>19695</v>
      </c>
      <c r="AF140" s="24">
        <v>19880</v>
      </c>
      <c r="AG140" s="17">
        <v>0</v>
      </c>
      <c r="AH140" s="16" t="s">
        <v>82</v>
      </c>
      <c r="AI140" s="16" t="s">
        <v>49</v>
      </c>
      <c r="AJ140" s="16" t="s">
        <v>50</v>
      </c>
      <c r="AK140" s="16" t="s">
        <v>51</v>
      </c>
      <c r="AL140" s="25">
        <v>232000</v>
      </c>
      <c r="AM140" s="43">
        <f t="shared" si="11"/>
        <v>113.96250433977549</v>
      </c>
      <c r="AN140" s="16" t="s">
        <v>52</v>
      </c>
      <c r="AO140" s="16" t="s">
        <v>60</v>
      </c>
    </row>
    <row r="141" spans="1:41" ht="14.5" x14ac:dyDescent="0.35">
      <c r="A141" s="27" t="s">
        <v>574</v>
      </c>
      <c r="B141" s="16" t="s">
        <v>42</v>
      </c>
      <c r="C141" s="16" t="s">
        <v>43</v>
      </c>
      <c r="D141" s="16" t="s">
        <v>44</v>
      </c>
      <c r="E141" s="16" t="s">
        <v>45</v>
      </c>
      <c r="F141" s="16">
        <v>4</v>
      </c>
      <c r="G141" s="30" t="s">
        <v>575</v>
      </c>
      <c r="H141" s="16" t="s">
        <v>576</v>
      </c>
      <c r="I141" s="16" t="s">
        <v>102</v>
      </c>
      <c r="J141" s="16">
        <v>134.07</v>
      </c>
      <c r="K141" s="16">
        <v>2268</v>
      </c>
      <c r="L141" s="16">
        <v>1250</v>
      </c>
      <c r="M141" s="8">
        <v>130</v>
      </c>
      <c r="N141" s="21">
        <v>45912</v>
      </c>
      <c r="O141" s="7">
        <f t="shared" si="8"/>
        <v>12</v>
      </c>
      <c r="P141" s="22">
        <f t="shared" si="9"/>
        <v>19</v>
      </c>
      <c r="Q141" s="22">
        <f t="shared" si="10"/>
        <v>30</v>
      </c>
      <c r="R141" s="16">
        <v>12</v>
      </c>
      <c r="S141">
        <v>4.7310488711831002</v>
      </c>
      <c r="T141">
        <v>-74.0448503532144</v>
      </c>
      <c r="U141" s="22">
        <v>16042</v>
      </c>
      <c r="V141" s="22">
        <v>15761.5</v>
      </c>
      <c r="W141" s="25">
        <v>11791</v>
      </c>
      <c r="X141" s="24">
        <v>11497</v>
      </c>
      <c r="Y141" s="24">
        <v>189152</v>
      </c>
      <c r="Z141" s="24">
        <v>181202</v>
      </c>
      <c r="AA141" s="24">
        <v>6567</v>
      </c>
      <c r="AB141" s="24">
        <v>6774</v>
      </c>
      <c r="AC141" s="24">
        <v>67984</v>
      </c>
      <c r="AD141" s="24">
        <v>64640</v>
      </c>
      <c r="AE141" s="24">
        <v>16435</v>
      </c>
      <c r="AF141" s="24">
        <v>16226</v>
      </c>
      <c r="AG141" s="17">
        <v>1.1243000000000001</v>
      </c>
      <c r="AH141" s="16" t="s">
        <v>136</v>
      </c>
      <c r="AI141" s="16" t="s">
        <v>49</v>
      </c>
      <c r="AJ141" s="16" t="s">
        <v>76</v>
      </c>
      <c r="AK141" s="16" t="s">
        <v>71</v>
      </c>
      <c r="AL141" s="25">
        <v>241405</v>
      </c>
      <c r="AM141" s="43">
        <f t="shared" si="11"/>
        <v>122.58521667785486</v>
      </c>
      <c r="AN141" s="16" t="s">
        <v>52</v>
      </c>
      <c r="AO141" s="16" t="s">
        <v>60</v>
      </c>
    </row>
    <row r="142" spans="1:41" ht="14.5" x14ac:dyDescent="0.35">
      <c r="A142" s="27" t="s">
        <v>577</v>
      </c>
      <c r="B142" s="16" t="s">
        <v>119</v>
      </c>
      <c r="C142" s="16" t="s">
        <v>120</v>
      </c>
      <c r="D142" s="16" t="s">
        <v>121</v>
      </c>
      <c r="E142" s="16" t="s">
        <v>578</v>
      </c>
      <c r="F142" s="16">
        <v>4</v>
      </c>
      <c r="G142" s="30" t="s">
        <v>579</v>
      </c>
      <c r="H142" s="16">
        <v>0</v>
      </c>
      <c r="I142" s="16" t="s">
        <v>47</v>
      </c>
      <c r="J142" s="16">
        <v>111.82</v>
      </c>
      <c r="K142" s="16">
        <v>2508</v>
      </c>
      <c r="L142" s="16">
        <v>174</v>
      </c>
      <c r="M142" s="8">
        <v>95</v>
      </c>
      <c r="N142" s="21">
        <v>45283</v>
      </c>
      <c r="O142" s="7">
        <f t="shared" si="8"/>
        <v>23</v>
      </c>
      <c r="P142" s="22">
        <f t="shared" si="9"/>
        <v>9</v>
      </c>
      <c r="Q142" s="22">
        <f t="shared" si="10"/>
        <v>31</v>
      </c>
      <c r="R142" s="16">
        <v>33</v>
      </c>
      <c r="S142">
        <v>7.1025764032502803</v>
      </c>
      <c r="T142">
        <v>-73.127965407737406</v>
      </c>
      <c r="U142" s="22">
        <v>17694</v>
      </c>
      <c r="V142" s="22">
        <v>17957</v>
      </c>
      <c r="W142" s="25">
        <v>14802</v>
      </c>
      <c r="X142" s="24">
        <v>14626</v>
      </c>
      <c r="Y142" s="24">
        <v>261902</v>
      </c>
      <c r="Z142" s="24">
        <v>262641</v>
      </c>
      <c r="AA142" s="24">
        <v>27304</v>
      </c>
      <c r="AB142" s="24">
        <v>26507</v>
      </c>
      <c r="AC142" s="24">
        <v>92878</v>
      </c>
      <c r="AD142" s="24">
        <v>90511</v>
      </c>
      <c r="AE142" s="24">
        <v>7473</v>
      </c>
      <c r="AF142" s="24">
        <v>7554</v>
      </c>
      <c r="AG142" s="17">
        <v>0</v>
      </c>
      <c r="AH142" s="16" t="s">
        <v>58</v>
      </c>
      <c r="AI142" s="16" t="s">
        <v>49</v>
      </c>
      <c r="AJ142" s="16" t="s">
        <v>50</v>
      </c>
      <c r="AK142" s="16" t="s">
        <v>51</v>
      </c>
      <c r="AL142" s="25">
        <v>232000</v>
      </c>
      <c r="AM142" s="43">
        <f t="shared" si="11"/>
        <v>66.830620640314791</v>
      </c>
      <c r="AN142" s="16">
        <v>140</v>
      </c>
      <c r="AO142" s="16" t="s">
        <v>60</v>
      </c>
    </row>
    <row r="143" spans="1:41" ht="14.5" x14ac:dyDescent="0.35">
      <c r="A143" s="27" t="s">
        <v>580</v>
      </c>
      <c r="B143" s="16" t="s">
        <v>42</v>
      </c>
      <c r="C143" s="16" t="s">
        <v>93</v>
      </c>
      <c r="D143" s="16" t="s">
        <v>281</v>
      </c>
      <c r="E143" s="16" t="s">
        <v>282</v>
      </c>
      <c r="F143" s="16">
        <v>3</v>
      </c>
      <c r="G143" s="30" t="s">
        <v>581</v>
      </c>
      <c r="H143" s="16">
        <v>0</v>
      </c>
      <c r="I143" s="16" t="s">
        <v>47</v>
      </c>
      <c r="J143" s="16">
        <v>142.24</v>
      </c>
      <c r="K143" s="16">
        <v>1191</v>
      </c>
      <c r="L143" s="16">
        <v>1130</v>
      </c>
      <c r="M143" s="8">
        <v>0</v>
      </c>
      <c r="N143" s="21">
        <v>44790</v>
      </c>
      <c r="O143" s="7">
        <f t="shared" si="8"/>
        <v>17</v>
      </c>
      <c r="P143" s="22">
        <f t="shared" si="9"/>
        <v>15</v>
      </c>
      <c r="Q143" s="22">
        <f t="shared" si="10"/>
        <v>31</v>
      </c>
      <c r="R143" s="16">
        <v>49</v>
      </c>
      <c r="S143">
        <v>4.8574639111452704</v>
      </c>
      <c r="T143">
        <v>-74.060992740429299</v>
      </c>
      <c r="U143" s="22">
        <v>20535</v>
      </c>
      <c r="V143" s="22">
        <v>20829</v>
      </c>
      <c r="W143" s="25">
        <v>12717</v>
      </c>
      <c r="X143" s="24">
        <v>12372</v>
      </c>
      <c r="Y143" s="24">
        <v>261146</v>
      </c>
      <c r="Z143" s="24">
        <v>257696</v>
      </c>
      <c r="AA143" s="24">
        <v>19836</v>
      </c>
      <c r="AB143" s="24">
        <v>20021</v>
      </c>
      <c r="AC143" s="24">
        <v>87837</v>
      </c>
      <c r="AD143" s="24">
        <v>86474</v>
      </c>
      <c r="AE143" s="24">
        <v>12083</v>
      </c>
      <c r="AF143" s="24">
        <v>12203</v>
      </c>
      <c r="AG143" s="17">
        <v>0</v>
      </c>
      <c r="AH143" s="16" t="s">
        <v>136</v>
      </c>
      <c r="AI143" s="16" t="s">
        <v>49</v>
      </c>
      <c r="AJ143" s="16" t="s">
        <v>76</v>
      </c>
      <c r="AK143" s="16" t="s">
        <v>51</v>
      </c>
      <c r="AL143" s="25">
        <v>241405</v>
      </c>
      <c r="AM143" s="43">
        <f t="shared" si="11"/>
        <v>84.947975253093361</v>
      </c>
      <c r="AN143" s="16" t="s">
        <v>175</v>
      </c>
      <c r="AO143" s="16" t="s">
        <v>60</v>
      </c>
    </row>
    <row r="144" spans="1:41" ht="14.5" x14ac:dyDescent="0.35">
      <c r="A144" s="27" t="s">
        <v>582</v>
      </c>
      <c r="B144" s="16" t="s">
        <v>55</v>
      </c>
      <c r="C144" s="16" t="s">
        <v>43</v>
      </c>
      <c r="D144" s="16" t="s">
        <v>44</v>
      </c>
      <c r="E144" s="16" t="s">
        <v>407</v>
      </c>
      <c r="F144" s="16">
        <v>3</v>
      </c>
      <c r="G144" s="30" t="s">
        <v>583</v>
      </c>
      <c r="H144" s="16">
        <v>0</v>
      </c>
      <c r="I144" s="16" t="s">
        <v>47</v>
      </c>
      <c r="J144" s="16">
        <v>106.31</v>
      </c>
      <c r="K144" s="16">
        <v>1230</v>
      </c>
      <c r="L144" s="16">
        <v>1503</v>
      </c>
      <c r="M144" s="8">
        <v>0</v>
      </c>
      <c r="N144" s="21">
        <v>43441</v>
      </c>
      <c r="O144" s="7">
        <f t="shared" si="8"/>
        <v>7</v>
      </c>
      <c r="P144" s="22">
        <f t="shared" si="9"/>
        <v>25</v>
      </c>
      <c r="Q144" s="22">
        <f t="shared" si="10"/>
        <v>31</v>
      </c>
      <c r="R144" s="16">
        <v>93</v>
      </c>
      <c r="S144">
        <v>4.6691578362160904</v>
      </c>
      <c r="T144">
        <v>-74.113980548776595</v>
      </c>
      <c r="U144" s="22">
        <v>34624</v>
      </c>
      <c r="V144" s="22">
        <v>34366.333330000001</v>
      </c>
      <c r="W144" s="25">
        <v>10492</v>
      </c>
      <c r="X144" s="24">
        <v>10995</v>
      </c>
      <c r="Y144" s="24">
        <v>363271</v>
      </c>
      <c r="Z144" s="24">
        <v>377873</v>
      </c>
      <c r="AA144" s="24">
        <v>66425</v>
      </c>
      <c r="AB144" s="24">
        <v>69967</v>
      </c>
      <c r="AC144" s="24">
        <v>146793</v>
      </c>
      <c r="AD144" s="24">
        <v>150779</v>
      </c>
      <c r="AE144" s="24">
        <v>13306</v>
      </c>
      <c r="AF144" s="24">
        <v>13467</v>
      </c>
      <c r="AG144" s="17">
        <v>0</v>
      </c>
      <c r="AH144" s="16" t="s">
        <v>58</v>
      </c>
      <c r="AI144" s="16" t="s">
        <v>49</v>
      </c>
      <c r="AJ144" s="16" t="s">
        <v>50</v>
      </c>
      <c r="AK144" s="16" t="s">
        <v>51</v>
      </c>
      <c r="AL144" s="25">
        <v>232000</v>
      </c>
      <c r="AM144" s="43">
        <f t="shared" si="11"/>
        <v>125.16226131125953</v>
      </c>
      <c r="AN144" s="16">
        <v>0</v>
      </c>
      <c r="AO144" s="16" t="s">
        <v>60</v>
      </c>
    </row>
    <row r="145" spans="1:41" ht="14.5" x14ac:dyDescent="0.35">
      <c r="A145" s="27" t="s">
        <v>584</v>
      </c>
      <c r="B145" s="16" t="s">
        <v>55</v>
      </c>
      <c r="C145" s="16" t="s">
        <v>43</v>
      </c>
      <c r="D145" s="16" t="s">
        <v>44</v>
      </c>
      <c r="E145" s="16" t="s">
        <v>585</v>
      </c>
      <c r="F145" s="16">
        <v>3</v>
      </c>
      <c r="G145" s="30" t="s">
        <v>586</v>
      </c>
      <c r="H145" s="16">
        <v>0</v>
      </c>
      <c r="I145" s="16" t="s">
        <v>47</v>
      </c>
      <c r="J145" s="16">
        <v>173.65</v>
      </c>
      <c r="K145" s="16">
        <v>3556</v>
      </c>
      <c r="L145" s="16">
        <v>3680</v>
      </c>
      <c r="M145" s="8">
        <v>77</v>
      </c>
      <c r="N145" s="21">
        <v>45290</v>
      </c>
      <c r="O145" s="7">
        <f t="shared" si="8"/>
        <v>30</v>
      </c>
      <c r="P145" s="22">
        <f t="shared" si="9"/>
        <v>2</v>
      </c>
      <c r="Q145" s="22">
        <f t="shared" si="10"/>
        <v>31</v>
      </c>
      <c r="R145" s="16">
        <v>33</v>
      </c>
      <c r="S145">
        <v>4.6201302466593202</v>
      </c>
      <c r="T145">
        <v>-74.098100880437897</v>
      </c>
      <c r="U145" s="22">
        <v>26527</v>
      </c>
      <c r="V145" s="22">
        <v>26948.666669999999</v>
      </c>
      <c r="W145" s="25">
        <v>12370</v>
      </c>
      <c r="X145" s="24">
        <v>12420</v>
      </c>
      <c r="Y145" s="24">
        <v>328134</v>
      </c>
      <c r="Z145" s="24">
        <v>334702</v>
      </c>
      <c r="AA145" s="24">
        <v>45514</v>
      </c>
      <c r="AB145" s="24">
        <v>50829</v>
      </c>
      <c r="AC145" s="24">
        <v>124888</v>
      </c>
      <c r="AD145" s="24">
        <v>128443</v>
      </c>
      <c r="AE145" s="24">
        <v>11496</v>
      </c>
      <c r="AF145" s="24">
        <v>11610</v>
      </c>
      <c r="AG145" s="17">
        <v>0</v>
      </c>
      <c r="AH145" s="16" t="s">
        <v>58</v>
      </c>
      <c r="AI145" s="16" t="s">
        <v>49</v>
      </c>
      <c r="AJ145" s="16" t="s">
        <v>124</v>
      </c>
      <c r="AK145" s="16" t="s">
        <v>51</v>
      </c>
      <c r="AL145" s="25">
        <v>232000</v>
      </c>
      <c r="AM145" s="43">
        <f t="shared" si="11"/>
        <v>66.20213072271811</v>
      </c>
      <c r="AN145" s="16" t="s">
        <v>52</v>
      </c>
      <c r="AO145" s="16" t="s">
        <v>53</v>
      </c>
    </row>
    <row r="146" spans="1:41" ht="14.5" x14ac:dyDescent="0.35">
      <c r="A146" s="27" t="s">
        <v>587</v>
      </c>
      <c r="B146" s="16" t="s">
        <v>55</v>
      </c>
      <c r="C146" s="16" t="s">
        <v>43</v>
      </c>
      <c r="D146" s="16" t="s">
        <v>44</v>
      </c>
      <c r="E146" s="16" t="s">
        <v>159</v>
      </c>
      <c r="F146" s="16">
        <v>3</v>
      </c>
      <c r="G146" s="30" t="s">
        <v>588</v>
      </c>
      <c r="H146" s="16">
        <v>0</v>
      </c>
      <c r="I146" s="16" t="s">
        <v>47</v>
      </c>
      <c r="J146" s="16">
        <v>147.63999999999999</v>
      </c>
      <c r="K146" s="16">
        <v>185</v>
      </c>
      <c r="L146" s="16">
        <v>619</v>
      </c>
      <c r="M146" s="8">
        <v>0</v>
      </c>
      <c r="N146" s="21">
        <v>43574</v>
      </c>
      <c r="O146" s="7">
        <f t="shared" si="8"/>
        <v>19</v>
      </c>
      <c r="P146" s="22">
        <f t="shared" si="9"/>
        <v>12</v>
      </c>
      <c r="Q146" s="22">
        <f t="shared" si="10"/>
        <v>30</v>
      </c>
      <c r="R146" s="16">
        <v>89</v>
      </c>
      <c r="S146">
        <v>4.59986510177455</v>
      </c>
      <c r="T146">
        <v>-74.074346972519905</v>
      </c>
      <c r="U146" s="22">
        <v>27362</v>
      </c>
      <c r="V146" s="22">
        <v>28918.666669999999</v>
      </c>
      <c r="W146" s="25">
        <v>10340</v>
      </c>
      <c r="X146" s="24">
        <v>10529</v>
      </c>
      <c r="Y146" s="24">
        <v>282926</v>
      </c>
      <c r="Z146" s="24">
        <v>304492</v>
      </c>
      <c r="AA146" s="24">
        <v>21183</v>
      </c>
      <c r="AB146" s="24">
        <v>22581</v>
      </c>
      <c r="AC146" s="24">
        <v>102011</v>
      </c>
      <c r="AD146" s="24">
        <v>106445</v>
      </c>
      <c r="AE146" s="24">
        <v>22421</v>
      </c>
      <c r="AF146" s="24">
        <v>22628</v>
      </c>
      <c r="AG146" s="17">
        <v>0</v>
      </c>
      <c r="AH146" s="16" t="s">
        <v>58</v>
      </c>
      <c r="AI146" s="16" t="s">
        <v>49</v>
      </c>
      <c r="AJ146" s="16" t="s">
        <v>124</v>
      </c>
      <c r="AK146" s="16" t="s">
        <v>51</v>
      </c>
      <c r="AL146" s="25">
        <v>232000</v>
      </c>
      <c r="AM146" s="43">
        <f t="shared" si="11"/>
        <v>151.86263885125985</v>
      </c>
      <c r="AN146" s="16" t="s">
        <v>52</v>
      </c>
      <c r="AO146" s="16" t="s">
        <v>60</v>
      </c>
    </row>
    <row r="147" spans="1:41" ht="14.5" x14ac:dyDescent="0.35">
      <c r="A147" s="27" t="s">
        <v>589</v>
      </c>
      <c r="B147" s="16" t="s">
        <v>42</v>
      </c>
      <c r="C147" s="16" t="s">
        <v>43</v>
      </c>
      <c r="D147" s="16" t="s">
        <v>44</v>
      </c>
      <c r="E147" s="16" t="s">
        <v>500</v>
      </c>
      <c r="F147" s="16">
        <v>3</v>
      </c>
      <c r="G147" s="30" t="s">
        <v>590</v>
      </c>
      <c r="H147" s="16">
        <v>0</v>
      </c>
      <c r="I147" s="16" t="s">
        <v>47</v>
      </c>
      <c r="J147" s="16">
        <v>96.15</v>
      </c>
      <c r="K147" s="16">
        <v>0</v>
      </c>
      <c r="L147" s="16">
        <v>5411</v>
      </c>
      <c r="M147" s="8">
        <v>145</v>
      </c>
      <c r="N147" s="21">
        <v>46052</v>
      </c>
      <c r="O147" s="7">
        <f t="shared" si="8"/>
        <v>30</v>
      </c>
      <c r="P147" s="22">
        <f t="shared" si="9"/>
        <v>2</v>
      </c>
      <c r="Q147" s="22">
        <f t="shared" si="10"/>
        <v>31</v>
      </c>
      <c r="R147" s="16">
        <v>8</v>
      </c>
      <c r="S147">
        <v>4.7329396583484096</v>
      </c>
      <c r="T147">
        <v>-74.023832351371595</v>
      </c>
      <c r="U147" s="22">
        <v>11718</v>
      </c>
      <c r="V147" s="22">
        <v>10135.833329999999</v>
      </c>
      <c r="W147" s="25">
        <v>9988</v>
      </c>
      <c r="X147" s="24">
        <v>9890</v>
      </c>
      <c r="Y147" s="24">
        <v>117037</v>
      </c>
      <c r="Z147" s="24">
        <v>100246</v>
      </c>
      <c r="AA147" s="24">
        <v>134</v>
      </c>
      <c r="AB147" s="42">
        <v>-98</v>
      </c>
      <c r="AC147" s="24">
        <v>45670</v>
      </c>
      <c r="AD147" s="24">
        <v>39220</v>
      </c>
      <c r="AE147" s="24">
        <v>8500</v>
      </c>
      <c r="AF147" s="24">
        <v>8446</v>
      </c>
      <c r="AG147" s="17">
        <v>1.0504</v>
      </c>
      <c r="AH147" s="16" t="s">
        <v>58</v>
      </c>
      <c r="AI147" s="16" t="s">
        <v>49</v>
      </c>
      <c r="AJ147" s="16" t="s">
        <v>124</v>
      </c>
      <c r="AK147" s="16" t="s">
        <v>65</v>
      </c>
      <c r="AL147" s="25">
        <v>232000</v>
      </c>
      <c r="AM147" s="43">
        <f t="shared" si="11"/>
        <v>88.403536141445656</v>
      </c>
      <c r="AN147" s="16" t="s">
        <v>591</v>
      </c>
      <c r="AO147" s="16" t="s">
        <v>53</v>
      </c>
    </row>
    <row r="148" spans="1:41" ht="14.5" x14ac:dyDescent="0.35">
      <c r="A148" s="27" t="s">
        <v>592</v>
      </c>
      <c r="B148" s="16" t="s">
        <v>55</v>
      </c>
      <c r="C148" s="16" t="s">
        <v>43</v>
      </c>
      <c r="D148" s="16" t="s">
        <v>44</v>
      </c>
      <c r="E148" s="16" t="s">
        <v>463</v>
      </c>
      <c r="F148" s="16">
        <v>3</v>
      </c>
      <c r="G148" s="30" t="s">
        <v>593</v>
      </c>
      <c r="H148" s="16" t="s">
        <v>594</v>
      </c>
      <c r="I148" s="16" t="s">
        <v>102</v>
      </c>
      <c r="J148" s="16">
        <v>143.19999999999999</v>
      </c>
      <c r="K148" s="16">
        <v>400</v>
      </c>
      <c r="L148" s="16">
        <v>5320</v>
      </c>
      <c r="M148" s="8">
        <v>135</v>
      </c>
      <c r="N148" s="21">
        <v>46073</v>
      </c>
      <c r="O148" s="7">
        <f t="shared" si="8"/>
        <v>20</v>
      </c>
      <c r="P148" s="22">
        <f t="shared" si="9"/>
        <v>9</v>
      </c>
      <c r="Q148" s="22">
        <f t="shared" si="10"/>
        <v>28</v>
      </c>
      <c r="R148" s="16">
        <v>7</v>
      </c>
      <c r="S148">
        <v>4.6147049386442696</v>
      </c>
      <c r="T148">
        <v>-74.070548300199704</v>
      </c>
      <c r="U148" s="22">
        <v>17398</v>
      </c>
      <c r="V148" s="22">
        <v>16415.333330000001</v>
      </c>
      <c r="W148" s="25">
        <v>10606</v>
      </c>
      <c r="X148" s="24">
        <v>10819</v>
      </c>
      <c r="Y148" s="24">
        <v>184516</v>
      </c>
      <c r="Z148" s="24">
        <v>177595</v>
      </c>
      <c r="AA148" s="24">
        <v>-246</v>
      </c>
      <c r="AB148" s="42">
        <v>4608</v>
      </c>
      <c r="AC148" s="24">
        <v>71662</v>
      </c>
      <c r="AD148" s="24">
        <v>68439</v>
      </c>
      <c r="AE148" s="24">
        <v>18900</v>
      </c>
      <c r="AF148" s="24">
        <v>15101</v>
      </c>
      <c r="AG148" s="17">
        <v>1.1539999999999999</v>
      </c>
      <c r="AH148" s="16" t="s">
        <v>136</v>
      </c>
      <c r="AI148" s="16" t="s">
        <v>49</v>
      </c>
      <c r="AJ148" s="16" t="s">
        <v>124</v>
      </c>
      <c r="AK148" s="16" t="s">
        <v>65</v>
      </c>
      <c r="AL148" s="25">
        <v>232000</v>
      </c>
      <c r="AM148" s="43">
        <f t="shared" si="11"/>
        <v>131.9832402234637</v>
      </c>
      <c r="AN148" s="16" t="s">
        <v>52</v>
      </c>
      <c r="AO148" s="16" t="s">
        <v>53</v>
      </c>
    </row>
    <row r="149" spans="1:41" ht="14.5" x14ac:dyDescent="0.35">
      <c r="A149" s="27" t="s">
        <v>595</v>
      </c>
      <c r="B149" s="16" t="s">
        <v>105</v>
      </c>
      <c r="C149" s="16" t="s">
        <v>157</v>
      </c>
      <c r="D149" s="16" t="s">
        <v>158</v>
      </c>
      <c r="E149" s="16" t="s">
        <v>596</v>
      </c>
      <c r="F149" s="16">
        <v>4</v>
      </c>
      <c r="G149" s="30" t="s">
        <v>597</v>
      </c>
      <c r="H149" s="16" t="s">
        <v>569</v>
      </c>
      <c r="I149" s="16" t="s">
        <v>102</v>
      </c>
      <c r="J149" s="16">
        <v>117.33</v>
      </c>
      <c r="K149" s="16">
        <v>0</v>
      </c>
      <c r="L149" s="16">
        <v>8322</v>
      </c>
      <c r="M149" s="8">
        <v>64</v>
      </c>
      <c r="N149" s="21">
        <v>45926</v>
      </c>
      <c r="O149" s="7">
        <f t="shared" si="8"/>
        <v>26</v>
      </c>
      <c r="P149" s="22">
        <f t="shared" si="9"/>
        <v>5</v>
      </c>
      <c r="Q149" s="22">
        <f t="shared" si="10"/>
        <v>30</v>
      </c>
      <c r="R149" s="16">
        <v>12</v>
      </c>
      <c r="S149">
        <v>6.2182435435908703</v>
      </c>
      <c r="T149">
        <v>-75.580238247832696</v>
      </c>
      <c r="U149" s="22">
        <v>31621</v>
      </c>
      <c r="V149" s="22">
        <v>29375.5</v>
      </c>
      <c r="W149" s="25">
        <v>9988</v>
      </c>
      <c r="X149" s="24">
        <v>9854</v>
      </c>
      <c r="Y149" s="24">
        <v>315837</v>
      </c>
      <c r="Z149" s="24">
        <v>289457</v>
      </c>
      <c r="AA149" s="24">
        <v>62604</v>
      </c>
      <c r="AB149" s="24">
        <v>53209</v>
      </c>
      <c r="AC149" s="24">
        <v>139394</v>
      </c>
      <c r="AD149" s="24">
        <v>126253</v>
      </c>
      <c r="AE149" s="24">
        <v>10068</v>
      </c>
      <c r="AF149" s="24">
        <v>10124</v>
      </c>
      <c r="AG149" s="17">
        <v>2.2284000000000002</v>
      </c>
      <c r="AH149" s="16" t="s">
        <v>64</v>
      </c>
      <c r="AI149" s="16" t="s">
        <v>49</v>
      </c>
      <c r="AJ149" s="16" t="s">
        <v>124</v>
      </c>
      <c r="AK149" s="16" t="s">
        <v>71</v>
      </c>
      <c r="AL149" s="25">
        <v>204160</v>
      </c>
      <c r="AM149" s="43">
        <f t="shared" si="11"/>
        <v>85.809255944771166</v>
      </c>
      <c r="AN149" s="16" t="s">
        <v>598</v>
      </c>
      <c r="AO149" s="16" t="s">
        <v>60</v>
      </c>
    </row>
    <row r="150" spans="1:41" ht="14.5" x14ac:dyDescent="0.35">
      <c r="A150" s="27" t="s">
        <v>599</v>
      </c>
      <c r="B150" s="16" t="s">
        <v>55</v>
      </c>
      <c r="C150" s="16" t="s">
        <v>43</v>
      </c>
      <c r="D150" s="16" t="s">
        <v>44</v>
      </c>
      <c r="E150" s="16" t="s">
        <v>473</v>
      </c>
      <c r="F150" s="16">
        <v>3</v>
      </c>
      <c r="G150" s="30" t="s">
        <v>473</v>
      </c>
      <c r="H150" s="16">
        <v>0</v>
      </c>
      <c r="I150" s="16" t="s">
        <v>47</v>
      </c>
      <c r="J150" s="16">
        <v>207.75</v>
      </c>
      <c r="K150" s="16">
        <v>192</v>
      </c>
      <c r="L150" s="16">
        <v>5924</v>
      </c>
      <c r="M150" s="8">
        <v>0</v>
      </c>
      <c r="N150" s="21">
        <v>40525</v>
      </c>
      <c r="O150" s="7">
        <f t="shared" si="8"/>
        <v>13</v>
      </c>
      <c r="P150" s="22">
        <f t="shared" si="9"/>
        <v>19</v>
      </c>
      <c r="Q150" s="22">
        <f t="shared" si="10"/>
        <v>31</v>
      </c>
      <c r="R150" s="16">
        <v>116</v>
      </c>
      <c r="S150">
        <v>4.6424577560581799</v>
      </c>
      <c r="T150">
        <v>-74.0648122719615</v>
      </c>
      <c r="U150" s="22">
        <v>22277</v>
      </c>
      <c r="V150" s="22">
        <v>22029</v>
      </c>
      <c r="W150" s="25">
        <v>10140</v>
      </c>
      <c r="X150" s="24">
        <v>10426</v>
      </c>
      <c r="Y150" s="24">
        <v>225887</v>
      </c>
      <c r="Z150" s="24">
        <v>229673</v>
      </c>
      <c r="AA150" s="24">
        <v>19257</v>
      </c>
      <c r="AB150" s="24">
        <v>18293</v>
      </c>
      <c r="AC150" s="24">
        <v>85857</v>
      </c>
      <c r="AD150" s="24">
        <v>85332</v>
      </c>
      <c r="AE150" s="24">
        <v>15261</v>
      </c>
      <c r="AF150" s="24">
        <v>15409</v>
      </c>
      <c r="AG150" s="17">
        <v>0</v>
      </c>
      <c r="AH150" s="16" t="s">
        <v>64</v>
      </c>
      <c r="AI150" s="16" t="s">
        <v>49</v>
      </c>
      <c r="AJ150" s="16" t="s">
        <v>124</v>
      </c>
      <c r="AK150" s="16" t="s">
        <v>51</v>
      </c>
      <c r="AL150" s="25">
        <v>204160</v>
      </c>
      <c r="AM150" s="43">
        <f t="shared" si="11"/>
        <v>73.458483754512642</v>
      </c>
      <c r="AN150" s="16" t="s">
        <v>600</v>
      </c>
      <c r="AO150" s="16" t="s">
        <v>60</v>
      </c>
    </row>
    <row r="151" spans="1:41" ht="14.5" x14ac:dyDescent="0.35">
      <c r="A151" s="32" t="s">
        <v>601</v>
      </c>
      <c r="B151" s="32" t="s">
        <v>42</v>
      </c>
      <c r="C151" s="32" t="s">
        <v>93</v>
      </c>
      <c r="D151" s="32" t="s">
        <v>281</v>
      </c>
      <c r="E151" s="32" t="s">
        <v>282</v>
      </c>
      <c r="F151" s="33">
        <v>3</v>
      </c>
      <c r="G151" s="30" t="s">
        <v>602</v>
      </c>
      <c r="H151" s="32" t="s">
        <v>64</v>
      </c>
      <c r="I151" s="32" t="s">
        <v>102</v>
      </c>
      <c r="J151" s="34">
        <v>124.21</v>
      </c>
      <c r="K151" s="33">
        <v>502</v>
      </c>
      <c r="L151" s="33">
        <v>1657</v>
      </c>
      <c r="M151" s="8">
        <v>76</v>
      </c>
      <c r="N151" s="35">
        <v>46295</v>
      </c>
      <c r="O151" s="7">
        <f t="shared" si="8"/>
        <v>30</v>
      </c>
      <c r="P151" s="22">
        <f t="shared" si="9"/>
        <v>1</v>
      </c>
      <c r="Q151" s="22">
        <f t="shared" si="10"/>
        <v>30</v>
      </c>
      <c r="R151" s="16">
        <v>0</v>
      </c>
      <c r="S151" s="36">
        <v>4.8610129999999998</v>
      </c>
      <c r="T151" s="36">
        <v>-74.059087000000005</v>
      </c>
      <c r="U151" s="22">
        <v>0</v>
      </c>
      <c r="V151" s="22">
        <v>0</v>
      </c>
      <c r="W151" s="25">
        <v>0</v>
      </c>
      <c r="X151" s="24">
        <v>0</v>
      </c>
      <c r="Y151" s="24">
        <v>0</v>
      </c>
      <c r="Z151" s="24">
        <v>0</v>
      </c>
      <c r="AA151" s="24">
        <v>0</v>
      </c>
      <c r="AB151" s="24">
        <v>0</v>
      </c>
      <c r="AC151" s="24">
        <v>0</v>
      </c>
      <c r="AD151" s="24">
        <v>0</v>
      </c>
      <c r="AE151" s="24">
        <v>0</v>
      </c>
      <c r="AF151" s="24">
        <v>0</v>
      </c>
      <c r="AG151" s="16">
        <v>0</v>
      </c>
      <c r="AH151" s="16" t="s">
        <v>64</v>
      </c>
      <c r="AI151" s="31" t="s">
        <v>49</v>
      </c>
      <c r="AJ151" s="31" t="s">
        <v>124</v>
      </c>
      <c r="AK151" s="31" t="s">
        <v>65</v>
      </c>
      <c r="AL151" s="37">
        <v>204160</v>
      </c>
      <c r="AM151" s="43">
        <f t="shared" si="11"/>
        <v>0</v>
      </c>
      <c r="AN151" s="16" t="s">
        <v>603</v>
      </c>
      <c r="AO151" s="16" t="s">
        <v>53</v>
      </c>
    </row>
    <row r="152" spans="1:41" ht="14.5" x14ac:dyDescent="0.35">
      <c r="A152" s="27" t="s">
        <v>604</v>
      </c>
      <c r="B152" s="16" t="s">
        <v>42</v>
      </c>
      <c r="C152" s="16" t="s">
        <v>93</v>
      </c>
      <c r="D152" s="16" t="s">
        <v>281</v>
      </c>
      <c r="E152" s="16" t="s">
        <v>282</v>
      </c>
      <c r="F152" s="16">
        <v>5</v>
      </c>
      <c r="G152" s="30" t="s">
        <v>605</v>
      </c>
      <c r="H152" s="16">
        <v>0</v>
      </c>
      <c r="I152" s="16" t="s">
        <v>47</v>
      </c>
      <c r="J152" s="16">
        <v>101.27</v>
      </c>
      <c r="K152" s="16">
        <v>1120</v>
      </c>
      <c r="L152" s="16">
        <v>100</v>
      </c>
      <c r="M152" s="8">
        <v>46</v>
      </c>
      <c r="N152" s="21">
        <v>45035</v>
      </c>
      <c r="O152" s="7">
        <f t="shared" si="8"/>
        <v>19</v>
      </c>
      <c r="P152" s="22">
        <f t="shared" si="9"/>
        <v>12</v>
      </c>
      <c r="Q152" s="22">
        <f t="shared" si="10"/>
        <v>30</v>
      </c>
      <c r="R152" s="16">
        <v>41</v>
      </c>
      <c r="S152">
        <v>4.8764958846035498</v>
      </c>
      <c r="T152">
        <v>-74.050142922014999</v>
      </c>
      <c r="U152" s="22">
        <v>12061</v>
      </c>
      <c r="V152" s="22">
        <v>11840</v>
      </c>
      <c r="W152" s="25">
        <v>16161</v>
      </c>
      <c r="X152" s="24">
        <v>16418</v>
      </c>
      <c r="Y152" s="24">
        <v>194912</v>
      </c>
      <c r="Z152" s="24">
        <v>194393</v>
      </c>
      <c r="AA152" s="24">
        <v>14874</v>
      </c>
      <c r="AB152" s="24">
        <v>10347</v>
      </c>
      <c r="AC152" s="24">
        <v>68870</v>
      </c>
      <c r="AD152" s="24">
        <v>66864</v>
      </c>
      <c r="AE152" s="24">
        <v>8700</v>
      </c>
      <c r="AF152" s="24">
        <v>8792</v>
      </c>
      <c r="AG152" s="17">
        <v>0</v>
      </c>
      <c r="AH152" s="16" t="s">
        <v>64</v>
      </c>
      <c r="AI152" s="16" t="s">
        <v>49</v>
      </c>
      <c r="AJ152" s="16" t="s">
        <v>124</v>
      </c>
      <c r="AK152" s="16" t="s">
        <v>51</v>
      </c>
      <c r="AL152" s="25">
        <v>204160</v>
      </c>
      <c r="AM152" s="43">
        <f t="shared" si="11"/>
        <v>85.908956255554457</v>
      </c>
      <c r="AN152" s="16" t="s">
        <v>606</v>
      </c>
      <c r="AO152" s="16" t="s">
        <v>60</v>
      </c>
    </row>
    <row r="153" spans="1:41" ht="14.5" x14ac:dyDescent="0.35">
      <c r="A153" s="27" t="s">
        <v>607</v>
      </c>
      <c r="B153" s="16" t="s">
        <v>119</v>
      </c>
      <c r="C153" s="16" t="s">
        <v>120</v>
      </c>
      <c r="D153" s="16" t="s">
        <v>121</v>
      </c>
      <c r="E153" s="16" t="s">
        <v>122</v>
      </c>
      <c r="F153" s="16">
        <v>3</v>
      </c>
      <c r="G153" s="30" t="s">
        <v>608</v>
      </c>
      <c r="H153" s="16">
        <v>0</v>
      </c>
      <c r="I153" s="16" t="s">
        <v>47</v>
      </c>
      <c r="J153" s="16">
        <v>121.12</v>
      </c>
      <c r="K153" s="16">
        <v>3559</v>
      </c>
      <c r="L153" s="16">
        <v>279</v>
      </c>
      <c r="M153" s="8">
        <v>107</v>
      </c>
      <c r="N153" s="21">
        <v>43728</v>
      </c>
      <c r="O153" s="7">
        <f t="shared" si="8"/>
        <v>20</v>
      </c>
      <c r="P153" s="22">
        <f t="shared" si="9"/>
        <v>11</v>
      </c>
      <c r="Q153" s="22">
        <f t="shared" si="10"/>
        <v>30</v>
      </c>
      <c r="R153" s="16">
        <v>84</v>
      </c>
      <c r="S153">
        <v>7.12517004462548</v>
      </c>
      <c r="T153">
        <v>-73.113897078180699</v>
      </c>
      <c r="U153" s="22">
        <v>19633</v>
      </c>
      <c r="V153" s="22">
        <v>18902.166669999999</v>
      </c>
      <c r="W153" s="25">
        <v>9808</v>
      </c>
      <c r="X153" s="24">
        <v>10089</v>
      </c>
      <c r="Y153" s="24">
        <v>192568</v>
      </c>
      <c r="Z153" s="24">
        <v>190696</v>
      </c>
      <c r="AA153" s="24">
        <v>12656</v>
      </c>
      <c r="AB153" s="24">
        <v>11725</v>
      </c>
      <c r="AC153" s="24">
        <v>76830</v>
      </c>
      <c r="AD153" s="24">
        <v>73818</v>
      </c>
      <c r="AE153" s="24">
        <v>7612</v>
      </c>
      <c r="AF153" s="24">
        <v>7429</v>
      </c>
      <c r="AG153" s="17">
        <v>0</v>
      </c>
      <c r="AH153" s="16" t="s">
        <v>58</v>
      </c>
      <c r="AI153" s="16" t="s">
        <v>49</v>
      </c>
      <c r="AJ153" s="16" t="s">
        <v>50</v>
      </c>
      <c r="AK153" s="16" t="s">
        <v>51</v>
      </c>
      <c r="AL153" s="25">
        <v>232000</v>
      </c>
      <c r="AM153" s="43">
        <f t="shared" si="11"/>
        <v>62.846763540290617</v>
      </c>
      <c r="AN153" s="16" t="s">
        <v>52</v>
      </c>
      <c r="AO153" s="16" t="s">
        <v>53</v>
      </c>
    </row>
    <row r="154" spans="1:41" ht="14.5" x14ac:dyDescent="0.35">
      <c r="A154" s="27" t="s">
        <v>609</v>
      </c>
      <c r="B154" s="16" t="s">
        <v>42</v>
      </c>
      <c r="C154" s="16" t="s">
        <v>43</v>
      </c>
      <c r="D154" s="16" t="s">
        <v>44</v>
      </c>
      <c r="E154" s="16" t="s">
        <v>68</v>
      </c>
      <c r="F154" s="16">
        <v>6</v>
      </c>
      <c r="G154" s="30" t="s">
        <v>610</v>
      </c>
      <c r="H154" s="16">
        <v>0</v>
      </c>
      <c r="I154" s="16" t="s">
        <v>102</v>
      </c>
      <c r="J154" s="16">
        <v>144.94</v>
      </c>
      <c r="K154" s="16">
        <v>18</v>
      </c>
      <c r="L154" s="16">
        <v>6483</v>
      </c>
      <c r="M154" s="8">
        <v>0</v>
      </c>
      <c r="N154" s="21">
        <v>42241</v>
      </c>
      <c r="O154" s="7">
        <f t="shared" si="8"/>
        <v>25</v>
      </c>
      <c r="P154" s="22">
        <f t="shared" si="9"/>
        <v>7</v>
      </c>
      <c r="Q154" s="22">
        <f t="shared" si="10"/>
        <v>31</v>
      </c>
      <c r="R154" s="16">
        <v>116</v>
      </c>
      <c r="S154">
        <v>4.6743903404179097</v>
      </c>
      <c r="T154">
        <v>-74.0534578289964</v>
      </c>
      <c r="U154" s="22">
        <v>22850</v>
      </c>
      <c r="V154" s="22">
        <v>20706.5</v>
      </c>
      <c r="W154" s="25">
        <v>11442</v>
      </c>
      <c r="X154" s="24">
        <v>12968</v>
      </c>
      <c r="Y154" s="24">
        <v>261438</v>
      </c>
      <c r="Z154" s="24">
        <v>268515</v>
      </c>
      <c r="AA154" s="24">
        <v>32612</v>
      </c>
      <c r="AB154" s="24">
        <v>31448</v>
      </c>
      <c r="AC154" s="24">
        <v>100100</v>
      </c>
      <c r="AD154" s="24">
        <v>101620</v>
      </c>
      <c r="AE154" s="24">
        <v>15226</v>
      </c>
      <c r="AF154" s="24">
        <v>15374</v>
      </c>
      <c r="AG154" s="17">
        <v>0</v>
      </c>
      <c r="AH154" s="16" t="s">
        <v>48</v>
      </c>
      <c r="AI154" s="16" t="s">
        <v>49</v>
      </c>
      <c r="AJ154" s="16" t="s">
        <v>76</v>
      </c>
      <c r="AK154" s="16" t="s">
        <v>51</v>
      </c>
      <c r="AL154" s="25">
        <v>241405</v>
      </c>
      <c r="AM154" s="43">
        <f t="shared" si="11"/>
        <v>105.0503656685525</v>
      </c>
      <c r="AN154" s="16">
        <v>0</v>
      </c>
      <c r="AO154" s="16" t="s">
        <v>60</v>
      </c>
    </row>
    <row r="155" spans="1:41" ht="14.5" x14ac:dyDescent="0.35">
      <c r="A155" s="27" t="s">
        <v>611</v>
      </c>
      <c r="B155" s="16" t="s">
        <v>42</v>
      </c>
      <c r="C155" s="16" t="s">
        <v>43</v>
      </c>
      <c r="D155" s="16" t="s">
        <v>44</v>
      </c>
      <c r="E155" s="16" t="s">
        <v>68</v>
      </c>
      <c r="F155" s="16">
        <v>5</v>
      </c>
      <c r="G155" s="30" t="s">
        <v>612</v>
      </c>
      <c r="H155" s="16">
        <v>0</v>
      </c>
      <c r="I155" s="16" t="s">
        <v>47</v>
      </c>
      <c r="J155" s="16">
        <v>269</v>
      </c>
      <c r="K155" s="16">
        <v>215</v>
      </c>
      <c r="L155" s="16">
        <v>4675</v>
      </c>
      <c r="M155" s="8">
        <v>43</v>
      </c>
      <c r="N155" s="21">
        <v>45015</v>
      </c>
      <c r="O155" s="7">
        <f t="shared" si="8"/>
        <v>30</v>
      </c>
      <c r="P155" s="22">
        <f t="shared" si="9"/>
        <v>2</v>
      </c>
      <c r="Q155" s="22">
        <f t="shared" si="10"/>
        <v>31</v>
      </c>
      <c r="R155" s="16">
        <v>42</v>
      </c>
      <c r="S155">
        <v>4.68220647405506</v>
      </c>
      <c r="T155">
        <v>-74.043348523684898</v>
      </c>
      <c r="U155" s="22">
        <v>23296</v>
      </c>
      <c r="V155" s="22">
        <v>22035.5</v>
      </c>
      <c r="W155" s="25">
        <v>9258</v>
      </c>
      <c r="X155" s="24">
        <v>9538</v>
      </c>
      <c r="Y155" s="24">
        <v>215683</v>
      </c>
      <c r="Z155" s="24">
        <v>210182</v>
      </c>
      <c r="AA155" s="24">
        <v>6075</v>
      </c>
      <c r="AB155" s="24">
        <v>3229</v>
      </c>
      <c r="AC155" s="24">
        <v>88899</v>
      </c>
      <c r="AD155" s="24">
        <v>84945</v>
      </c>
      <c r="AE155" s="24">
        <v>31100</v>
      </c>
      <c r="AF155" s="24">
        <v>30624</v>
      </c>
      <c r="AG155" s="17">
        <v>0</v>
      </c>
      <c r="AH155" s="16" t="s">
        <v>58</v>
      </c>
      <c r="AI155" s="16" t="s">
        <v>49</v>
      </c>
      <c r="AJ155" s="16" t="s">
        <v>50</v>
      </c>
      <c r="AK155" s="16" t="s">
        <v>51</v>
      </c>
      <c r="AL155" s="25">
        <v>232000</v>
      </c>
      <c r="AM155" s="43">
        <f t="shared" si="11"/>
        <v>115.61338289962825</v>
      </c>
      <c r="AN155" s="16" t="s">
        <v>52</v>
      </c>
      <c r="AO155" s="16" t="s">
        <v>53</v>
      </c>
    </row>
    <row r="156" spans="1:41" ht="14.5" x14ac:dyDescent="0.35">
      <c r="A156" s="27" t="s">
        <v>613</v>
      </c>
      <c r="B156" s="16" t="s">
        <v>42</v>
      </c>
      <c r="C156" s="16" t="s">
        <v>43</v>
      </c>
      <c r="D156" s="16" t="s">
        <v>44</v>
      </c>
      <c r="E156" s="16" t="s">
        <v>68</v>
      </c>
      <c r="F156" s="16">
        <v>5</v>
      </c>
      <c r="G156" s="30" t="s">
        <v>614</v>
      </c>
      <c r="H156" s="16">
        <v>0</v>
      </c>
      <c r="I156" s="16" t="s">
        <v>47</v>
      </c>
      <c r="J156" s="16">
        <v>162.53</v>
      </c>
      <c r="K156" s="16">
        <v>525</v>
      </c>
      <c r="L156" s="16">
        <v>4658</v>
      </c>
      <c r="M156" s="8">
        <v>137</v>
      </c>
      <c r="N156" s="21">
        <v>45272</v>
      </c>
      <c r="O156" s="7">
        <f t="shared" si="8"/>
        <v>12</v>
      </c>
      <c r="P156" s="22">
        <f t="shared" si="9"/>
        <v>20</v>
      </c>
      <c r="Q156" s="22">
        <f t="shared" si="10"/>
        <v>31</v>
      </c>
      <c r="R156" s="16">
        <v>33</v>
      </c>
      <c r="S156">
        <v>4.6830295924187704</v>
      </c>
      <c r="T156">
        <v>-74.048514526246095</v>
      </c>
      <c r="U156" s="22">
        <v>20717</v>
      </c>
      <c r="V156" s="22">
        <v>22029.666669999999</v>
      </c>
      <c r="W156" s="25">
        <v>10766</v>
      </c>
      <c r="X156" s="24">
        <v>10997</v>
      </c>
      <c r="Y156" s="24">
        <v>223029</v>
      </c>
      <c r="Z156" s="24">
        <v>242260</v>
      </c>
      <c r="AA156" s="24">
        <v>23335</v>
      </c>
      <c r="AB156" s="24">
        <v>28080</v>
      </c>
      <c r="AC156" s="24">
        <v>89179</v>
      </c>
      <c r="AD156" s="24">
        <v>95598</v>
      </c>
      <c r="AE156" s="24">
        <v>14054</v>
      </c>
      <c r="AF156" s="24">
        <v>14191</v>
      </c>
      <c r="AG156" s="17">
        <v>0</v>
      </c>
      <c r="AH156" s="16" t="s">
        <v>48</v>
      </c>
      <c r="AI156" s="16" t="s">
        <v>49</v>
      </c>
      <c r="AJ156" s="16" t="s">
        <v>76</v>
      </c>
      <c r="AK156" s="16" t="s">
        <v>51</v>
      </c>
      <c r="AL156" s="25">
        <v>241405</v>
      </c>
      <c r="AM156" s="43">
        <f t="shared" si="11"/>
        <v>86.470190118747311</v>
      </c>
      <c r="AN156" s="16" t="s">
        <v>507</v>
      </c>
      <c r="AO156" s="16" t="s">
        <v>60</v>
      </c>
    </row>
    <row r="157" spans="1:41" ht="14.5" x14ac:dyDescent="0.35">
      <c r="A157" s="27" t="s">
        <v>615</v>
      </c>
      <c r="B157" s="16" t="s">
        <v>42</v>
      </c>
      <c r="C157" s="16" t="s">
        <v>43</v>
      </c>
      <c r="D157" s="16" t="s">
        <v>44</v>
      </c>
      <c r="E157" s="16" t="s">
        <v>68</v>
      </c>
      <c r="F157" s="16">
        <v>6</v>
      </c>
      <c r="G157" s="30" t="s">
        <v>616</v>
      </c>
      <c r="H157" s="16" t="s">
        <v>617</v>
      </c>
      <c r="I157" s="16" t="s">
        <v>47</v>
      </c>
      <c r="J157" s="16">
        <v>129.56</v>
      </c>
      <c r="K157" s="16">
        <v>544</v>
      </c>
      <c r="L157" s="16">
        <v>3842</v>
      </c>
      <c r="M157" s="8">
        <v>107</v>
      </c>
      <c r="N157" s="21">
        <v>45714</v>
      </c>
      <c r="O157" s="7">
        <f t="shared" si="8"/>
        <v>26</v>
      </c>
      <c r="P157" s="22">
        <f t="shared" si="9"/>
        <v>3</v>
      </c>
      <c r="Q157" s="22">
        <f t="shared" si="10"/>
        <v>28</v>
      </c>
      <c r="R157" s="16">
        <v>19</v>
      </c>
      <c r="S157">
        <v>4.6767895834626998</v>
      </c>
      <c r="T157">
        <v>-74.052109305797799</v>
      </c>
      <c r="U157" s="22">
        <v>29076</v>
      </c>
      <c r="V157" s="22">
        <v>29798</v>
      </c>
      <c r="W157" s="25">
        <v>10489</v>
      </c>
      <c r="X157" s="24">
        <v>10646</v>
      </c>
      <c r="Y157" s="24">
        <v>304989</v>
      </c>
      <c r="Z157" s="24">
        <v>317228</v>
      </c>
      <c r="AA157" s="24">
        <v>36591</v>
      </c>
      <c r="AB157" s="24">
        <v>44946</v>
      </c>
      <c r="AC157" s="24">
        <v>122607</v>
      </c>
      <c r="AD157" s="24">
        <v>126093</v>
      </c>
      <c r="AE157" s="24">
        <v>18708</v>
      </c>
      <c r="AF157" s="24">
        <v>18884</v>
      </c>
      <c r="AG157" s="17">
        <v>1.964</v>
      </c>
      <c r="AH157" s="16" t="s">
        <v>58</v>
      </c>
      <c r="AI157" s="16" t="s">
        <v>49</v>
      </c>
      <c r="AJ157" s="16" t="s">
        <v>124</v>
      </c>
      <c r="AK157" s="16" t="s">
        <v>51</v>
      </c>
      <c r="AL157" s="25">
        <v>204160</v>
      </c>
      <c r="AM157" s="43">
        <f t="shared" si="11"/>
        <v>144.39641864773077</v>
      </c>
      <c r="AN157" s="16" t="s">
        <v>52</v>
      </c>
      <c r="AO157" s="16" t="s">
        <v>53</v>
      </c>
    </row>
    <row r="158" spans="1:41" ht="14.5" x14ac:dyDescent="0.35">
      <c r="A158" s="27" t="s">
        <v>618</v>
      </c>
      <c r="B158" s="16" t="s">
        <v>105</v>
      </c>
      <c r="C158" s="16" t="s">
        <v>106</v>
      </c>
      <c r="D158" s="16" t="s">
        <v>298</v>
      </c>
      <c r="E158" s="16" t="s">
        <v>619</v>
      </c>
      <c r="F158" s="16">
        <v>5</v>
      </c>
      <c r="G158" s="30" t="s">
        <v>620</v>
      </c>
      <c r="H158" s="16" t="s">
        <v>621</v>
      </c>
      <c r="I158" s="16" t="s">
        <v>102</v>
      </c>
      <c r="J158" s="16">
        <v>95.73</v>
      </c>
      <c r="K158" s="16">
        <v>0</v>
      </c>
      <c r="L158" s="16">
        <v>1215</v>
      </c>
      <c r="M158" s="8">
        <v>178</v>
      </c>
      <c r="N158" s="21">
        <v>46077</v>
      </c>
      <c r="O158" s="7">
        <f t="shared" si="8"/>
        <v>24</v>
      </c>
      <c r="P158" s="22">
        <f t="shared" si="9"/>
        <v>5</v>
      </c>
      <c r="Q158" s="22">
        <f t="shared" si="10"/>
        <v>28</v>
      </c>
      <c r="R158" s="16">
        <v>7</v>
      </c>
      <c r="S158">
        <v>4.8073519074568001</v>
      </c>
      <c r="T158">
        <v>-75.686222733523394</v>
      </c>
      <c r="U158" s="22">
        <v>14859</v>
      </c>
      <c r="V158" s="22">
        <v>16069.833329999999</v>
      </c>
      <c r="W158" s="25">
        <v>13465</v>
      </c>
      <c r="X158" s="24">
        <v>13834</v>
      </c>
      <c r="Y158" s="24">
        <v>200074</v>
      </c>
      <c r="Z158" s="24">
        <v>222304</v>
      </c>
      <c r="AA158" s="24">
        <v>-12642</v>
      </c>
      <c r="AB158" s="24">
        <v>22065</v>
      </c>
      <c r="AC158" s="24">
        <v>69421</v>
      </c>
      <c r="AD158" s="24">
        <v>84135</v>
      </c>
      <c r="AE158" s="24">
        <v>11000</v>
      </c>
      <c r="AF158" s="24">
        <v>10737</v>
      </c>
      <c r="AG158" s="17">
        <v>1.5243</v>
      </c>
      <c r="AH158" s="16" t="s">
        <v>58</v>
      </c>
      <c r="AI158" s="16" t="s">
        <v>49</v>
      </c>
      <c r="AJ158" s="16" t="s">
        <v>124</v>
      </c>
      <c r="AK158" s="16" t="s">
        <v>65</v>
      </c>
      <c r="AL158" s="25">
        <v>232000</v>
      </c>
      <c r="AM158" s="43">
        <f t="shared" si="11"/>
        <v>114.90650788676486</v>
      </c>
      <c r="AN158" s="16" t="s">
        <v>52</v>
      </c>
      <c r="AO158" s="16" t="s">
        <v>53</v>
      </c>
    </row>
    <row r="159" spans="1:41" ht="14.5" x14ac:dyDescent="0.35">
      <c r="A159" s="27" t="s">
        <v>622</v>
      </c>
      <c r="B159" s="16" t="s">
        <v>42</v>
      </c>
      <c r="C159" s="16" t="s">
        <v>43</v>
      </c>
      <c r="D159" s="16" t="s">
        <v>44</v>
      </c>
      <c r="E159" s="16" t="s">
        <v>68</v>
      </c>
      <c r="F159" s="16">
        <v>5</v>
      </c>
      <c r="G159" s="30" t="s">
        <v>623</v>
      </c>
      <c r="H159" s="16" t="s">
        <v>64</v>
      </c>
      <c r="I159" s="16" t="s">
        <v>47</v>
      </c>
      <c r="J159" s="16">
        <v>192.38</v>
      </c>
      <c r="K159" s="16">
        <v>1234</v>
      </c>
      <c r="L159" s="16">
        <v>5820</v>
      </c>
      <c r="M159" s="8">
        <v>146</v>
      </c>
      <c r="N159" s="21">
        <v>46234</v>
      </c>
      <c r="O159" s="7">
        <f t="shared" si="8"/>
        <v>31</v>
      </c>
      <c r="P159" s="22">
        <f t="shared" si="9"/>
        <v>1</v>
      </c>
      <c r="Q159" s="22">
        <f t="shared" si="10"/>
        <v>31</v>
      </c>
      <c r="R159" s="16">
        <v>2</v>
      </c>
      <c r="S159">
        <v>4.6809551999999996</v>
      </c>
      <c r="T159">
        <f>-74.420934</f>
        <v>-74.420934000000003</v>
      </c>
      <c r="U159" s="22">
        <v>11825</v>
      </c>
      <c r="V159" s="22">
        <v>6093</v>
      </c>
      <c r="W159" s="25">
        <v>9581</v>
      </c>
      <c r="X159" s="24">
        <v>9654</v>
      </c>
      <c r="Y159" s="24">
        <v>113293</v>
      </c>
      <c r="Z159" s="24">
        <v>58819</v>
      </c>
      <c r="AA159" s="42">
        <v>-6623</v>
      </c>
      <c r="AB159" s="42">
        <v>-5954</v>
      </c>
      <c r="AC159" s="24">
        <v>48171</v>
      </c>
      <c r="AD159" s="24">
        <v>26707</v>
      </c>
      <c r="AE159" s="24">
        <v>12686</v>
      </c>
      <c r="AF159" s="24">
        <v>6400</v>
      </c>
      <c r="AG159" s="17">
        <v>0</v>
      </c>
      <c r="AH159" s="16" t="s">
        <v>58</v>
      </c>
      <c r="AI159" s="16" t="s">
        <v>49</v>
      </c>
      <c r="AJ159" s="16" t="s">
        <v>124</v>
      </c>
      <c r="AK159" s="16" t="s">
        <v>65</v>
      </c>
      <c r="AL159" s="25">
        <v>204160</v>
      </c>
      <c r="AM159" s="43">
        <f t="shared" si="11"/>
        <v>65.94240565547355</v>
      </c>
      <c r="AN159" s="16" t="s">
        <v>624</v>
      </c>
      <c r="AO159" s="16" t="s">
        <v>53</v>
      </c>
    </row>
    <row r="160" spans="1:41" ht="14.5" x14ac:dyDescent="0.35">
      <c r="A160" s="27" t="s">
        <v>625</v>
      </c>
      <c r="B160" s="16" t="s">
        <v>105</v>
      </c>
      <c r="C160" s="16" t="s">
        <v>157</v>
      </c>
      <c r="D160" s="16" t="s">
        <v>158</v>
      </c>
      <c r="E160" s="16" t="s">
        <v>596</v>
      </c>
      <c r="F160" s="16">
        <v>5</v>
      </c>
      <c r="G160" s="30" t="s">
        <v>626</v>
      </c>
      <c r="H160" s="16" t="s">
        <v>627</v>
      </c>
      <c r="I160" s="16" t="s">
        <v>102</v>
      </c>
      <c r="J160" s="16">
        <v>174.72</v>
      </c>
      <c r="K160" s="16">
        <v>945</v>
      </c>
      <c r="L160" s="16">
        <v>6629</v>
      </c>
      <c r="M160" s="8">
        <v>81</v>
      </c>
      <c r="N160" s="21">
        <v>45836</v>
      </c>
      <c r="O160" s="7">
        <f t="shared" si="8"/>
        <v>28</v>
      </c>
      <c r="P160" s="22">
        <f t="shared" si="9"/>
        <v>3</v>
      </c>
      <c r="Q160" s="22">
        <f t="shared" si="10"/>
        <v>30</v>
      </c>
      <c r="R160" s="16">
        <v>15</v>
      </c>
      <c r="S160">
        <v>6.2254549306179996</v>
      </c>
      <c r="T160">
        <v>-75.574705910894394</v>
      </c>
      <c r="U160" s="22">
        <v>26146</v>
      </c>
      <c r="V160" s="22">
        <v>23143.166669999999</v>
      </c>
      <c r="W160" s="25">
        <v>12194</v>
      </c>
      <c r="X160" s="24">
        <v>11680</v>
      </c>
      <c r="Y160" s="24">
        <v>318810</v>
      </c>
      <c r="Z160" s="24">
        <v>270314</v>
      </c>
      <c r="AA160" s="24">
        <v>51917</v>
      </c>
      <c r="AB160" s="24">
        <v>37822</v>
      </c>
      <c r="AC160" s="24">
        <v>127099</v>
      </c>
      <c r="AD160" s="24">
        <v>107341</v>
      </c>
      <c r="AE160" s="24">
        <v>12977</v>
      </c>
      <c r="AF160" s="24">
        <v>12817</v>
      </c>
      <c r="AG160" s="17">
        <v>1.9967999999999999</v>
      </c>
      <c r="AH160" s="16" t="s">
        <v>58</v>
      </c>
      <c r="AI160" s="16" t="s">
        <v>49</v>
      </c>
      <c r="AJ160" s="16" t="s">
        <v>50</v>
      </c>
      <c r="AK160" s="16" t="s">
        <v>51</v>
      </c>
      <c r="AL160" s="25">
        <v>232000</v>
      </c>
      <c r="AM160" s="43">
        <f t="shared" si="11"/>
        <v>74.273122710622715</v>
      </c>
      <c r="AN160" s="16">
        <v>0</v>
      </c>
      <c r="AO160" s="16" t="s">
        <v>53</v>
      </c>
    </row>
    <row r="161" spans="1:41" ht="14.5" x14ac:dyDescent="0.35">
      <c r="A161" s="27" t="s">
        <v>628</v>
      </c>
      <c r="B161" s="16" t="s">
        <v>42</v>
      </c>
      <c r="C161" s="16" t="s">
        <v>43</v>
      </c>
      <c r="D161" s="16" t="s">
        <v>44</v>
      </c>
      <c r="E161" s="16" t="s">
        <v>399</v>
      </c>
      <c r="F161" s="16">
        <v>3</v>
      </c>
      <c r="G161" s="30" t="s">
        <v>56</v>
      </c>
      <c r="H161" s="16">
        <v>0</v>
      </c>
      <c r="I161" s="16" t="s">
        <v>47</v>
      </c>
      <c r="J161" s="16">
        <v>115.7</v>
      </c>
      <c r="K161" s="16">
        <v>2510</v>
      </c>
      <c r="L161" s="16">
        <v>530</v>
      </c>
      <c r="M161" s="8">
        <v>83</v>
      </c>
      <c r="N161" s="21">
        <v>44925</v>
      </c>
      <c r="O161" s="7">
        <f t="shared" si="8"/>
        <v>30</v>
      </c>
      <c r="P161" s="22">
        <f t="shared" si="9"/>
        <v>2</v>
      </c>
      <c r="Q161" s="22">
        <f t="shared" si="10"/>
        <v>31</v>
      </c>
      <c r="R161" s="16">
        <v>45</v>
      </c>
      <c r="S161">
        <v>4.7205548865195102</v>
      </c>
      <c r="T161">
        <v>-74.070648485833999</v>
      </c>
      <c r="U161" s="22">
        <v>21333</v>
      </c>
      <c r="V161" s="22">
        <v>20590.833330000001</v>
      </c>
      <c r="W161" s="25">
        <v>11611</v>
      </c>
      <c r="X161" s="24">
        <v>11927</v>
      </c>
      <c r="Y161" s="24">
        <v>247688</v>
      </c>
      <c r="Z161" s="24">
        <v>245581</v>
      </c>
      <c r="AA161" s="24">
        <v>15555</v>
      </c>
      <c r="AB161" s="24">
        <v>19382</v>
      </c>
      <c r="AC161" s="24">
        <v>84158</v>
      </c>
      <c r="AD161" s="24">
        <v>82839</v>
      </c>
      <c r="AE161" s="24">
        <v>12354</v>
      </c>
      <c r="AF161" s="24">
        <v>12477</v>
      </c>
      <c r="AG161" s="17">
        <v>0</v>
      </c>
      <c r="AH161" s="16" t="s">
        <v>58</v>
      </c>
      <c r="AI161" s="16" t="s">
        <v>49</v>
      </c>
      <c r="AJ161" s="16" t="s">
        <v>124</v>
      </c>
      <c r="AK161" s="16" t="s">
        <v>51</v>
      </c>
      <c r="AL161" s="25">
        <v>204160</v>
      </c>
      <c r="AM161" s="43">
        <f t="shared" si="11"/>
        <v>106.7761452031115</v>
      </c>
      <c r="AN161" s="16" t="s">
        <v>624</v>
      </c>
      <c r="AO161" s="16" t="s">
        <v>53</v>
      </c>
    </row>
    <row r="162" spans="1:41" ht="14.5" x14ac:dyDescent="0.35">
      <c r="A162" s="27" t="s">
        <v>629</v>
      </c>
      <c r="B162" s="16" t="s">
        <v>55</v>
      </c>
      <c r="C162" s="16" t="s">
        <v>43</v>
      </c>
      <c r="D162" s="16" t="s">
        <v>44</v>
      </c>
      <c r="E162" s="16" t="s">
        <v>630</v>
      </c>
      <c r="F162" s="16">
        <v>3</v>
      </c>
      <c r="G162" s="30" t="s">
        <v>631</v>
      </c>
      <c r="H162" s="16">
        <v>0</v>
      </c>
      <c r="I162" s="16" t="s">
        <v>47</v>
      </c>
      <c r="J162" s="16">
        <v>137.65</v>
      </c>
      <c r="K162" s="16">
        <v>3209</v>
      </c>
      <c r="L162" s="16">
        <v>710</v>
      </c>
      <c r="M162" s="8">
        <v>94</v>
      </c>
      <c r="N162" s="21">
        <v>45286</v>
      </c>
      <c r="O162" s="7">
        <f t="shared" si="8"/>
        <v>26</v>
      </c>
      <c r="P162" s="22">
        <f t="shared" si="9"/>
        <v>6</v>
      </c>
      <c r="Q162" s="22">
        <f t="shared" si="10"/>
        <v>31</v>
      </c>
      <c r="R162" s="16">
        <v>33</v>
      </c>
      <c r="S162">
        <v>4.6107897521801897</v>
      </c>
      <c r="T162">
        <v>-74.174179007995505</v>
      </c>
      <c r="U162" s="22">
        <v>22023</v>
      </c>
      <c r="V162" s="22">
        <v>20145.166669999999</v>
      </c>
      <c r="W162" s="25">
        <v>12363</v>
      </c>
      <c r="X162" s="24">
        <v>12819</v>
      </c>
      <c r="Y162" s="24">
        <v>272276</v>
      </c>
      <c r="Z162" s="24">
        <v>258241</v>
      </c>
      <c r="AA162" s="24">
        <v>30910</v>
      </c>
      <c r="AB162" s="24">
        <v>25127</v>
      </c>
      <c r="AC162" s="24">
        <v>87638</v>
      </c>
      <c r="AD162" s="24">
        <v>81873</v>
      </c>
      <c r="AE162" s="24">
        <v>8047</v>
      </c>
      <c r="AF162" s="24">
        <v>8134</v>
      </c>
      <c r="AG162" s="17">
        <v>0</v>
      </c>
      <c r="AH162" s="16" t="s">
        <v>82</v>
      </c>
      <c r="AI162" s="16" t="s">
        <v>49</v>
      </c>
      <c r="AJ162" s="16" t="s">
        <v>124</v>
      </c>
      <c r="AK162" s="16" t="s">
        <v>51</v>
      </c>
      <c r="AL162" s="25">
        <v>204160</v>
      </c>
      <c r="AM162" s="43">
        <f t="shared" si="11"/>
        <v>58.459861968761352</v>
      </c>
      <c r="AN162" s="16" t="s">
        <v>632</v>
      </c>
      <c r="AO162" s="16" t="s">
        <v>53</v>
      </c>
    </row>
    <row r="163" spans="1:41" ht="14.5" x14ac:dyDescent="0.35">
      <c r="A163" s="27" t="s">
        <v>633</v>
      </c>
      <c r="B163" s="16" t="s">
        <v>55</v>
      </c>
      <c r="C163" s="16" t="s">
        <v>43</v>
      </c>
      <c r="D163" s="16" t="s">
        <v>44</v>
      </c>
      <c r="E163" s="16" t="s">
        <v>634</v>
      </c>
      <c r="F163" s="16">
        <v>4</v>
      </c>
      <c r="G163" s="30" t="s">
        <v>635</v>
      </c>
      <c r="H163" s="16">
        <v>0</v>
      </c>
      <c r="I163" s="16" t="s">
        <v>47</v>
      </c>
      <c r="J163" s="16">
        <v>142.59</v>
      </c>
      <c r="K163" s="16">
        <v>1059</v>
      </c>
      <c r="L163" s="16">
        <v>860</v>
      </c>
      <c r="M163" s="8">
        <v>132</v>
      </c>
      <c r="N163" s="21">
        <v>44778</v>
      </c>
      <c r="O163" s="7">
        <f t="shared" si="8"/>
        <v>5</v>
      </c>
      <c r="P163" s="22">
        <f t="shared" si="9"/>
        <v>27</v>
      </c>
      <c r="Q163" s="22">
        <f t="shared" si="10"/>
        <v>31</v>
      </c>
      <c r="R163" s="16">
        <v>49</v>
      </c>
      <c r="S163">
        <v>4.6303780287458496</v>
      </c>
      <c r="T163">
        <v>-74.082773210460005</v>
      </c>
      <c r="U163" s="22">
        <v>26109</v>
      </c>
      <c r="V163" s="22">
        <v>28537.833330000001</v>
      </c>
      <c r="W163" s="25">
        <v>11480</v>
      </c>
      <c r="X163" s="24">
        <v>11805</v>
      </c>
      <c r="Y163" s="24">
        <v>299732</v>
      </c>
      <c r="Z163" s="24">
        <v>336874</v>
      </c>
      <c r="AA163" s="24">
        <v>34957</v>
      </c>
      <c r="AB163" s="24">
        <v>46150</v>
      </c>
      <c r="AC163" s="24">
        <v>109275</v>
      </c>
      <c r="AD163" s="24">
        <v>118533</v>
      </c>
      <c r="AE163" s="24">
        <v>9484</v>
      </c>
      <c r="AF163" s="24">
        <v>9297</v>
      </c>
      <c r="AG163" s="17">
        <v>0</v>
      </c>
      <c r="AH163" s="16" t="s">
        <v>58</v>
      </c>
      <c r="AI163" s="16" t="s">
        <v>49</v>
      </c>
      <c r="AJ163" s="16" t="s">
        <v>124</v>
      </c>
      <c r="AK163" s="16" t="s">
        <v>51</v>
      </c>
      <c r="AL163" s="25">
        <v>204160</v>
      </c>
      <c r="AM163" s="43">
        <f t="shared" si="11"/>
        <v>66.512378147135138</v>
      </c>
      <c r="AN163" s="16">
        <v>0</v>
      </c>
      <c r="AO163" s="16" t="s">
        <v>60</v>
      </c>
    </row>
    <row r="164" spans="1:41" ht="14.5" x14ac:dyDescent="0.35">
      <c r="A164" s="27" t="s">
        <v>636</v>
      </c>
      <c r="B164" s="16" t="s">
        <v>105</v>
      </c>
      <c r="C164" s="16" t="s">
        <v>112</v>
      </c>
      <c r="D164" s="16" t="s">
        <v>113</v>
      </c>
      <c r="E164" s="16" t="s">
        <v>268</v>
      </c>
      <c r="F164" s="16">
        <v>5</v>
      </c>
      <c r="G164" s="30" t="s">
        <v>637</v>
      </c>
      <c r="H164" s="16">
        <v>0</v>
      </c>
      <c r="I164" s="16" t="s">
        <v>47</v>
      </c>
      <c r="J164" s="16">
        <v>107.14</v>
      </c>
      <c r="K164" s="16">
        <v>812</v>
      </c>
      <c r="L164" s="16">
        <v>1200</v>
      </c>
      <c r="M164" s="8">
        <v>53</v>
      </c>
      <c r="N164" s="21">
        <v>45462</v>
      </c>
      <c r="O164" s="7">
        <f t="shared" si="8"/>
        <v>19</v>
      </c>
      <c r="P164" s="22">
        <f t="shared" si="9"/>
        <v>12</v>
      </c>
      <c r="Q164" s="22">
        <f t="shared" si="10"/>
        <v>30</v>
      </c>
      <c r="R164" s="16">
        <v>27</v>
      </c>
      <c r="S164">
        <v>3.4635932233595099</v>
      </c>
      <c r="T164">
        <v>-76.528189365366103</v>
      </c>
      <c r="U164" s="22">
        <v>5376</v>
      </c>
      <c r="V164" s="22">
        <v>16653.166669999999</v>
      </c>
      <c r="W164" s="25">
        <v>9720</v>
      </c>
      <c r="X164" s="24">
        <v>9664</v>
      </c>
      <c r="Y164" s="24">
        <v>52255</v>
      </c>
      <c r="Z164" s="24">
        <v>160936</v>
      </c>
      <c r="AA164" s="24">
        <v>-200997</v>
      </c>
      <c r="AB164" s="24">
        <v>-21436</v>
      </c>
      <c r="AC164" s="24">
        <v>-118197</v>
      </c>
      <c r="AD164" s="24">
        <v>45671</v>
      </c>
      <c r="AE164" s="24">
        <v>9951</v>
      </c>
      <c r="AF164" s="24">
        <v>9846</v>
      </c>
      <c r="AG164" s="17">
        <v>0</v>
      </c>
      <c r="AH164" s="16" t="s">
        <v>64</v>
      </c>
      <c r="AI164" s="16" t="s">
        <v>49</v>
      </c>
      <c r="AJ164" s="16" t="s">
        <v>124</v>
      </c>
      <c r="AK164" s="16" t="s">
        <v>51</v>
      </c>
      <c r="AL164" s="25">
        <v>204160</v>
      </c>
      <c r="AM164" s="43">
        <f t="shared" si="11"/>
        <v>92.878476759380248</v>
      </c>
      <c r="AN164" s="16" t="s">
        <v>638</v>
      </c>
      <c r="AO164" s="16" t="s">
        <v>60</v>
      </c>
    </row>
    <row r="165" spans="1:41" ht="14.5" x14ac:dyDescent="0.35">
      <c r="A165" s="27" t="s">
        <v>639</v>
      </c>
      <c r="B165" s="16" t="s">
        <v>42</v>
      </c>
      <c r="C165" s="16" t="s">
        <v>43</v>
      </c>
      <c r="D165" s="16" t="s">
        <v>44</v>
      </c>
      <c r="E165" s="16" t="s">
        <v>308</v>
      </c>
      <c r="F165" s="16">
        <v>4</v>
      </c>
      <c r="G165" s="30" t="s">
        <v>640</v>
      </c>
      <c r="H165" s="16">
        <v>0</v>
      </c>
      <c r="I165" s="16" t="s">
        <v>47</v>
      </c>
      <c r="J165" s="16">
        <v>186.81</v>
      </c>
      <c r="K165" s="16">
        <v>384</v>
      </c>
      <c r="L165" s="16">
        <v>4000</v>
      </c>
      <c r="M165" s="8">
        <v>0</v>
      </c>
      <c r="N165" s="21">
        <v>45535</v>
      </c>
      <c r="O165" s="7">
        <f t="shared" si="8"/>
        <v>31</v>
      </c>
      <c r="P165" s="22">
        <f t="shared" si="9"/>
        <v>1</v>
      </c>
      <c r="Q165" s="22">
        <f t="shared" si="10"/>
        <v>31</v>
      </c>
      <c r="R165" s="16">
        <v>25</v>
      </c>
      <c r="S165">
        <v>4.73495030417428</v>
      </c>
      <c r="T165">
        <v>-74.070156456235097</v>
      </c>
      <c r="U165" s="22">
        <v>18162</v>
      </c>
      <c r="V165" s="22">
        <v>18385</v>
      </c>
      <c r="W165" s="25">
        <v>10427</v>
      </c>
      <c r="X165" s="24">
        <v>10517</v>
      </c>
      <c r="Y165" s="24">
        <v>189373</v>
      </c>
      <c r="Z165" s="24">
        <v>193346</v>
      </c>
      <c r="AA165" s="24">
        <v>36799</v>
      </c>
      <c r="AB165" s="24">
        <v>38578</v>
      </c>
      <c r="AC165" s="24">
        <v>85676</v>
      </c>
      <c r="AD165" s="24">
        <v>86758</v>
      </c>
      <c r="AE165" s="24">
        <v>0</v>
      </c>
      <c r="AF165" s="24">
        <v>1874</v>
      </c>
      <c r="AG165" s="17">
        <v>0</v>
      </c>
      <c r="AH165" s="16" t="s">
        <v>58</v>
      </c>
      <c r="AI165" s="16" t="s">
        <v>49</v>
      </c>
      <c r="AJ165" s="16" t="s">
        <v>124</v>
      </c>
      <c r="AK165" s="16" t="s">
        <v>51</v>
      </c>
      <c r="AL165" s="25">
        <v>204160</v>
      </c>
      <c r="AM165" s="43">
        <f t="shared" si="11"/>
        <v>0</v>
      </c>
      <c r="AN165" s="16">
        <v>0</v>
      </c>
      <c r="AO165" s="16" t="s">
        <v>53</v>
      </c>
    </row>
    <row r="166" spans="1:41" ht="14.5" x14ac:dyDescent="0.35">
      <c r="A166" s="27" t="s">
        <v>641</v>
      </c>
      <c r="B166" s="16" t="s">
        <v>105</v>
      </c>
      <c r="C166" s="16" t="s">
        <v>157</v>
      </c>
      <c r="D166" s="16" t="s">
        <v>158</v>
      </c>
      <c r="E166" s="16" t="s">
        <v>642</v>
      </c>
      <c r="F166" s="16">
        <v>2</v>
      </c>
      <c r="G166" s="30" t="s">
        <v>643</v>
      </c>
      <c r="H166" s="16" t="s">
        <v>644</v>
      </c>
      <c r="I166" s="16" t="s">
        <v>47</v>
      </c>
      <c r="J166" s="16">
        <v>88.61</v>
      </c>
      <c r="K166" s="16">
        <v>501</v>
      </c>
      <c r="L166" s="16">
        <v>2047</v>
      </c>
      <c r="M166" s="8">
        <v>193</v>
      </c>
      <c r="N166" s="21">
        <v>46265</v>
      </c>
      <c r="O166" s="7">
        <f t="shared" si="8"/>
        <v>31</v>
      </c>
      <c r="P166" s="22">
        <f t="shared" si="9"/>
        <v>1</v>
      </c>
      <c r="Q166" s="22">
        <f t="shared" si="10"/>
        <v>31</v>
      </c>
      <c r="R166" s="16">
        <v>0</v>
      </c>
      <c r="S166" s="29">
        <v>6.2512400000000001</v>
      </c>
      <c r="T166" s="29">
        <v>-75.620827000000006</v>
      </c>
      <c r="U166" s="22">
        <v>203</v>
      </c>
      <c r="V166" s="22">
        <v>203</v>
      </c>
      <c r="W166" s="25">
        <v>12538</v>
      </c>
      <c r="X166" s="24">
        <v>12538</v>
      </c>
      <c r="Y166" s="24">
        <v>2545</v>
      </c>
      <c r="Z166" s="24">
        <v>2545</v>
      </c>
      <c r="AA166" s="24">
        <v>-11205</v>
      </c>
      <c r="AB166" s="24">
        <v>-11205</v>
      </c>
      <c r="AC166" s="24">
        <v>5397</v>
      </c>
      <c r="AD166" s="24">
        <v>5397</v>
      </c>
      <c r="AE166" s="24">
        <v>0</v>
      </c>
      <c r="AF166" s="24">
        <v>0</v>
      </c>
      <c r="AG166" s="17">
        <v>0</v>
      </c>
      <c r="AH166" s="16" t="s">
        <v>64</v>
      </c>
      <c r="AI166" s="16" t="s">
        <v>49</v>
      </c>
      <c r="AJ166" s="16" t="s">
        <v>124</v>
      </c>
      <c r="AK166" s="16" t="s">
        <v>65</v>
      </c>
      <c r="AL166" s="25">
        <v>232000</v>
      </c>
      <c r="AM166" s="43">
        <f t="shared" si="11"/>
        <v>0</v>
      </c>
      <c r="AN166" s="16" t="s">
        <v>645</v>
      </c>
      <c r="AO166" s="16" t="s">
        <v>60</v>
      </c>
    </row>
    <row r="167" spans="1:41" ht="14.5" x14ac:dyDescent="0.35">
      <c r="A167" s="27" t="s">
        <v>646</v>
      </c>
      <c r="B167" s="16" t="s">
        <v>55</v>
      </c>
      <c r="C167" s="16" t="s">
        <v>43</v>
      </c>
      <c r="D167" s="16" t="s">
        <v>44</v>
      </c>
      <c r="E167" s="16" t="s">
        <v>647</v>
      </c>
      <c r="F167" s="16">
        <v>4</v>
      </c>
      <c r="G167" s="30" t="s">
        <v>648</v>
      </c>
      <c r="H167" s="16">
        <v>0</v>
      </c>
      <c r="I167" s="16" t="s">
        <v>47</v>
      </c>
      <c r="J167" s="16">
        <v>111.6</v>
      </c>
      <c r="K167" s="16">
        <v>817</v>
      </c>
      <c r="L167" s="16">
        <v>720</v>
      </c>
      <c r="M167" s="8">
        <v>69</v>
      </c>
      <c r="N167" s="21">
        <v>44853</v>
      </c>
      <c r="O167" s="7">
        <f t="shared" si="8"/>
        <v>19</v>
      </c>
      <c r="P167" s="22">
        <f t="shared" si="9"/>
        <v>13</v>
      </c>
      <c r="Q167" s="22">
        <f t="shared" si="10"/>
        <v>31</v>
      </c>
      <c r="R167" s="16">
        <v>47</v>
      </c>
      <c r="S167">
        <v>4.6261714576918704</v>
      </c>
      <c r="T167">
        <v>-74.080090228676994</v>
      </c>
      <c r="U167" s="22">
        <v>12811</v>
      </c>
      <c r="V167" s="22">
        <v>12424.166670000001</v>
      </c>
      <c r="W167" s="25">
        <v>11230</v>
      </c>
      <c r="X167" s="24">
        <v>12266</v>
      </c>
      <c r="Y167" s="24">
        <v>143867</v>
      </c>
      <c r="Z167" s="24">
        <v>152391</v>
      </c>
      <c r="AA167" s="42">
        <v>-4185</v>
      </c>
      <c r="AB167" s="42">
        <v>2002</v>
      </c>
      <c r="AC167" s="24">
        <v>52760</v>
      </c>
      <c r="AD167" s="24">
        <v>53667</v>
      </c>
      <c r="AE167" s="24">
        <v>8661</v>
      </c>
      <c r="AF167" s="24">
        <v>8577</v>
      </c>
      <c r="AG167" s="17">
        <v>0</v>
      </c>
      <c r="AH167" s="16" t="s">
        <v>82</v>
      </c>
      <c r="AI167" s="16" t="s">
        <v>49</v>
      </c>
      <c r="AJ167" s="16" t="s">
        <v>124</v>
      </c>
      <c r="AK167" s="16" t="s">
        <v>51</v>
      </c>
      <c r="AL167" s="25">
        <v>204160</v>
      </c>
      <c r="AM167" s="43">
        <f t="shared" si="11"/>
        <v>77.607526881720432</v>
      </c>
      <c r="AN167" s="16" t="s">
        <v>52</v>
      </c>
      <c r="AO167" s="16" t="s">
        <v>53</v>
      </c>
    </row>
    <row r="168" spans="1:41" ht="14.5" x14ac:dyDescent="0.35">
      <c r="A168" s="27" t="s">
        <v>649</v>
      </c>
      <c r="B168" s="16" t="s">
        <v>119</v>
      </c>
      <c r="C168" s="16" t="s">
        <v>120</v>
      </c>
      <c r="D168" s="16" t="s">
        <v>121</v>
      </c>
      <c r="E168" s="16" t="s">
        <v>650</v>
      </c>
      <c r="F168" s="16">
        <v>3</v>
      </c>
      <c r="G168" s="30" t="s">
        <v>651</v>
      </c>
      <c r="H168" s="16">
        <v>0</v>
      </c>
      <c r="I168" s="16" t="s">
        <v>47</v>
      </c>
      <c r="J168" s="16">
        <v>136</v>
      </c>
      <c r="K168" s="16">
        <v>1207</v>
      </c>
      <c r="L168" s="16">
        <v>512</v>
      </c>
      <c r="M168" s="8">
        <v>60</v>
      </c>
      <c r="N168" s="21">
        <v>45260</v>
      </c>
      <c r="O168" s="7">
        <f t="shared" si="8"/>
        <v>30</v>
      </c>
      <c r="P168" s="22">
        <f t="shared" si="9"/>
        <v>1</v>
      </c>
      <c r="Q168" s="22">
        <f t="shared" si="10"/>
        <v>30</v>
      </c>
      <c r="R168" s="16">
        <v>34</v>
      </c>
      <c r="S168">
        <v>7.10940131411318</v>
      </c>
      <c r="T168">
        <v>-73.116522837860899</v>
      </c>
      <c r="U168" s="22">
        <v>17237</v>
      </c>
      <c r="V168" s="22">
        <v>16336.666670000001</v>
      </c>
      <c r="W168" s="25">
        <v>12517</v>
      </c>
      <c r="X168" s="24">
        <v>12637</v>
      </c>
      <c r="Y168" s="24">
        <v>215762</v>
      </c>
      <c r="Z168" s="24">
        <v>206453</v>
      </c>
      <c r="AA168" s="24">
        <v>17108</v>
      </c>
      <c r="AB168" s="24">
        <v>20336</v>
      </c>
      <c r="AC168" s="24">
        <v>83031</v>
      </c>
      <c r="AD168" s="24">
        <v>80028</v>
      </c>
      <c r="AE168" s="24">
        <v>9772</v>
      </c>
      <c r="AF168" s="24">
        <v>9873</v>
      </c>
      <c r="AG168" s="17">
        <v>0</v>
      </c>
      <c r="AH168" s="16" t="s">
        <v>58</v>
      </c>
      <c r="AI168" s="16" t="s">
        <v>49</v>
      </c>
      <c r="AJ168" s="16" t="s">
        <v>124</v>
      </c>
      <c r="AK168" s="16" t="s">
        <v>51</v>
      </c>
      <c r="AL168" s="25">
        <v>204160</v>
      </c>
      <c r="AM168" s="43">
        <f t="shared" si="11"/>
        <v>71.852941176470594</v>
      </c>
      <c r="AN168" s="16" t="s">
        <v>652</v>
      </c>
      <c r="AO168" s="16" t="s">
        <v>53</v>
      </c>
    </row>
    <row r="169" spans="1:41" ht="14.5" x14ac:dyDescent="0.35">
      <c r="A169" s="27" t="s">
        <v>653</v>
      </c>
      <c r="B169" s="16" t="s">
        <v>55</v>
      </c>
      <c r="C169" s="16" t="s">
        <v>43</v>
      </c>
      <c r="D169" s="16" t="s">
        <v>44</v>
      </c>
      <c r="E169" s="16" t="s">
        <v>139</v>
      </c>
      <c r="F169" s="16">
        <v>4</v>
      </c>
      <c r="G169" s="30" t="s">
        <v>654</v>
      </c>
      <c r="H169" s="16">
        <v>0</v>
      </c>
      <c r="I169" s="16" t="s">
        <v>102</v>
      </c>
      <c r="J169" s="16">
        <v>201.46</v>
      </c>
      <c r="K169" s="16">
        <v>3</v>
      </c>
      <c r="L169" s="16">
        <v>15814</v>
      </c>
      <c r="M169" s="8">
        <v>0</v>
      </c>
      <c r="N169" s="21">
        <v>42132</v>
      </c>
      <c r="O169" s="7">
        <f t="shared" si="8"/>
        <v>8</v>
      </c>
      <c r="P169" s="22">
        <f t="shared" si="9"/>
        <v>24</v>
      </c>
      <c r="Q169" s="22">
        <f t="shared" si="10"/>
        <v>31</v>
      </c>
      <c r="R169" s="16">
        <v>116</v>
      </c>
      <c r="S169">
        <v>4.6832949818410503</v>
      </c>
      <c r="T169">
        <v>-74.119609776776997</v>
      </c>
      <c r="U169" s="22">
        <v>52783</v>
      </c>
      <c r="V169" s="22">
        <v>53429.833330000001</v>
      </c>
      <c r="W169" s="25">
        <v>12817</v>
      </c>
      <c r="X169" s="24">
        <v>13141</v>
      </c>
      <c r="Y169" s="24">
        <v>676525</v>
      </c>
      <c r="Z169" s="24">
        <v>702137</v>
      </c>
      <c r="AA169" s="24">
        <v>152604</v>
      </c>
      <c r="AB169" s="24">
        <v>142023</v>
      </c>
      <c r="AC169" s="24">
        <v>277439</v>
      </c>
      <c r="AD169" s="24">
        <v>272456</v>
      </c>
      <c r="AE169" s="24">
        <v>15358</v>
      </c>
      <c r="AF169" s="24">
        <v>15610</v>
      </c>
      <c r="AG169" s="17">
        <v>0</v>
      </c>
      <c r="AH169" s="16" t="s">
        <v>136</v>
      </c>
      <c r="AI169" s="16" t="s">
        <v>49</v>
      </c>
      <c r="AJ169" s="16" t="s">
        <v>76</v>
      </c>
      <c r="AK169" s="16" t="s">
        <v>51</v>
      </c>
      <c r="AL169" s="25">
        <v>241405</v>
      </c>
      <c r="AM169" s="43">
        <f t="shared" si="11"/>
        <v>76.233495482974291</v>
      </c>
      <c r="AN169" s="16" t="s">
        <v>374</v>
      </c>
      <c r="AO169" s="16" t="s">
        <v>60</v>
      </c>
    </row>
    <row r="170" spans="1:41" ht="14.5" x14ac:dyDescent="0.35">
      <c r="A170" s="27" t="s">
        <v>655</v>
      </c>
      <c r="B170" s="16" t="s">
        <v>42</v>
      </c>
      <c r="C170" s="16" t="s">
        <v>43</v>
      </c>
      <c r="D170" s="16" t="s">
        <v>44</v>
      </c>
      <c r="E170" s="16" t="s">
        <v>344</v>
      </c>
      <c r="F170" s="16">
        <v>4</v>
      </c>
      <c r="G170" s="30" t="s">
        <v>656</v>
      </c>
      <c r="H170" s="16" t="s">
        <v>657</v>
      </c>
      <c r="I170" s="16" t="s">
        <v>47</v>
      </c>
      <c r="J170" s="16">
        <v>141.69999999999999</v>
      </c>
      <c r="K170" s="16">
        <v>728</v>
      </c>
      <c r="L170" s="16">
        <v>720</v>
      </c>
      <c r="M170" s="8">
        <v>0</v>
      </c>
      <c r="N170" s="21">
        <v>45808</v>
      </c>
      <c r="O170" s="7">
        <f t="shared" si="8"/>
        <v>31</v>
      </c>
      <c r="P170" s="22">
        <f t="shared" si="9"/>
        <v>1</v>
      </c>
      <c r="Q170" s="22">
        <f t="shared" si="10"/>
        <v>31</v>
      </c>
      <c r="R170" s="16">
        <v>16</v>
      </c>
      <c r="S170">
        <v>4.6972786801095596</v>
      </c>
      <c r="T170">
        <v>-74.087113063307797</v>
      </c>
      <c r="U170" s="22">
        <v>27581</v>
      </c>
      <c r="V170" s="22">
        <v>24456</v>
      </c>
      <c r="W170" s="25">
        <v>9825</v>
      </c>
      <c r="X170" s="24">
        <v>9913</v>
      </c>
      <c r="Y170" s="24">
        <v>270985</v>
      </c>
      <c r="Z170" s="24">
        <v>242432</v>
      </c>
      <c r="AA170" s="24">
        <v>40371</v>
      </c>
      <c r="AB170" s="24">
        <v>38289</v>
      </c>
      <c r="AC170" s="24">
        <v>112204</v>
      </c>
      <c r="AD170" s="24">
        <v>103219</v>
      </c>
      <c r="AE170" s="24">
        <v>12699</v>
      </c>
      <c r="AF170" s="24">
        <v>12674</v>
      </c>
      <c r="AG170" s="17">
        <v>1.9335</v>
      </c>
      <c r="AH170" s="16" t="s">
        <v>58</v>
      </c>
      <c r="AI170" s="16" t="s">
        <v>49</v>
      </c>
      <c r="AJ170" s="16" t="s">
        <v>50</v>
      </c>
      <c r="AK170" s="16" t="s">
        <v>51</v>
      </c>
      <c r="AL170" s="25">
        <v>232000</v>
      </c>
      <c r="AM170" s="43">
        <f t="shared" si="11"/>
        <v>89.618913196894852</v>
      </c>
      <c r="AN170" s="16">
        <v>0</v>
      </c>
      <c r="AO170" s="16" t="s">
        <v>60</v>
      </c>
    </row>
    <row r="171" spans="1:41" ht="14.5" x14ac:dyDescent="0.35">
      <c r="A171" s="27" t="s">
        <v>658</v>
      </c>
      <c r="B171" s="16" t="s">
        <v>42</v>
      </c>
      <c r="C171" s="16" t="s">
        <v>43</v>
      </c>
      <c r="D171" s="16" t="s">
        <v>44</v>
      </c>
      <c r="E171" s="16" t="s">
        <v>45</v>
      </c>
      <c r="F171" s="16">
        <v>5</v>
      </c>
      <c r="G171" s="30" t="s">
        <v>659</v>
      </c>
      <c r="H171" s="16" t="s">
        <v>660</v>
      </c>
      <c r="I171" s="16" t="s">
        <v>47</v>
      </c>
      <c r="J171" s="16">
        <v>121.48</v>
      </c>
      <c r="K171" s="16">
        <v>2056</v>
      </c>
      <c r="L171" s="16">
        <v>1719</v>
      </c>
      <c r="M171" s="8">
        <v>67</v>
      </c>
      <c r="N171" s="21">
        <v>45724</v>
      </c>
      <c r="O171" s="7">
        <f t="shared" si="8"/>
        <v>8</v>
      </c>
      <c r="P171" s="22">
        <f t="shared" si="9"/>
        <v>24</v>
      </c>
      <c r="Q171" s="22">
        <f t="shared" si="10"/>
        <v>31</v>
      </c>
      <c r="R171" s="16">
        <v>18</v>
      </c>
      <c r="S171">
        <v>4.7187825857801604</v>
      </c>
      <c r="T171">
        <v>-74.046758657753202</v>
      </c>
      <c r="U171" s="22">
        <v>25677</v>
      </c>
      <c r="V171" s="22">
        <v>25788.333330000001</v>
      </c>
      <c r="W171" s="25">
        <v>10737</v>
      </c>
      <c r="X171" s="24">
        <v>11223</v>
      </c>
      <c r="Y171" s="24">
        <v>275695</v>
      </c>
      <c r="Z171" s="24">
        <v>289417</v>
      </c>
      <c r="AA171" s="24">
        <v>37891</v>
      </c>
      <c r="AB171" s="24">
        <v>42172</v>
      </c>
      <c r="AC171" s="24">
        <v>109189</v>
      </c>
      <c r="AD171" s="24">
        <v>112613</v>
      </c>
      <c r="AE171" s="24">
        <v>13138</v>
      </c>
      <c r="AF171" s="24">
        <v>13288</v>
      </c>
      <c r="AG171" s="17">
        <v>1.2139</v>
      </c>
      <c r="AH171" s="16" t="s">
        <v>136</v>
      </c>
      <c r="AI171" s="16" t="s">
        <v>49</v>
      </c>
      <c r="AJ171" s="16" t="s">
        <v>76</v>
      </c>
      <c r="AK171" s="16" t="s">
        <v>51</v>
      </c>
      <c r="AL171" s="25">
        <v>241405</v>
      </c>
      <c r="AM171" s="43">
        <f t="shared" si="11"/>
        <v>108.14948962792229</v>
      </c>
      <c r="AN171" s="16" t="s">
        <v>374</v>
      </c>
      <c r="AO171" s="16" t="s">
        <v>60</v>
      </c>
    </row>
    <row r="172" spans="1:41" ht="14.5" x14ac:dyDescent="0.35">
      <c r="A172" s="27" t="s">
        <v>661</v>
      </c>
      <c r="B172" s="16" t="s">
        <v>105</v>
      </c>
      <c r="C172" s="16" t="s">
        <v>106</v>
      </c>
      <c r="D172" s="16" t="s">
        <v>298</v>
      </c>
      <c r="E172" s="16" t="s">
        <v>662</v>
      </c>
      <c r="F172" s="16">
        <v>5</v>
      </c>
      <c r="G172" s="30" t="s">
        <v>663</v>
      </c>
      <c r="H172" s="16" t="s">
        <v>664</v>
      </c>
      <c r="I172" s="16" t="s">
        <v>47</v>
      </c>
      <c r="J172" s="16">
        <v>107.39</v>
      </c>
      <c r="K172" s="16">
        <v>1135</v>
      </c>
      <c r="L172" s="16">
        <v>341</v>
      </c>
      <c r="M172" s="8">
        <v>74</v>
      </c>
      <c r="N172" s="21">
        <v>45504</v>
      </c>
      <c r="O172" s="7">
        <f t="shared" si="8"/>
        <v>31</v>
      </c>
      <c r="P172" s="22">
        <f t="shared" si="9"/>
        <v>1</v>
      </c>
      <c r="Q172" s="22">
        <f t="shared" si="10"/>
        <v>31</v>
      </c>
      <c r="R172" s="16">
        <v>26</v>
      </c>
      <c r="S172">
        <v>4.8006388208331403</v>
      </c>
      <c r="T172">
        <v>-75.742968236575095</v>
      </c>
      <c r="U172" s="22">
        <v>4195</v>
      </c>
      <c r="V172" s="22">
        <v>12581.833329999999</v>
      </c>
      <c r="W172" s="25">
        <v>15201</v>
      </c>
      <c r="X172" s="24">
        <v>14411</v>
      </c>
      <c r="Y172" s="24">
        <v>63770</v>
      </c>
      <c r="Z172" s="24">
        <v>181318</v>
      </c>
      <c r="AA172" s="24">
        <v>-208470</v>
      </c>
      <c r="AB172" s="24">
        <v>-24174</v>
      </c>
      <c r="AC172" s="24">
        <v>-114993</v>
      </c>
      <c r="AD172" s="24">
        <v>43421</v>
      </c>
      <c r="AE172" s="24">
        <v>10504</v>
      </c>
      <c r="AF172" s="24">
        <v>10281</v>
      </c>
      <c r="AG172" s="17">
        <v>0</v>
      </c>
      <c r="AH172" s="16" t="s">
        <v>58</v>
      </c>
      <c r="AI172" s="16" t="s">
        <v>49</v>
      </c>
      <c r="AJ172" s="16" t="s">
        <v>50</v>
      </c>
      <c r="AK172" s="16" t="s">
        <v>51</v>
      </c>
      <c r="AL172" s="25">
        <v>232000</v>
      </c>
      <c r="AM172" s="43">
        <f t="shared" si="11"/>
        <v>97.81171431231958</v>
      </c>
      <c r="AN172" s="16" t="s">
        <v>370</v>
      </c>
      <c r="AO172" s="16" t="s">
        <v>60</v>
      </c>
    </row>
    <row r="173" spans="1:41" ht="14.5" x14ac:dyDescent="0.35">
      <c r="A173" s="27" t="s">
        <v>665</v>
      </c>
      <c r="B173" s="16" t="s">
        <v>55</v>
      </c>
      <c r="C173" s="16" t="s">
        <v>43</v>
      </c>
      <c r="D173" s="16" t="s">
        <v>44</v>
      </c>
      <c r="E173" s="16" t="s">
        <v>473</v>
      </c>
      <c r="F173" s="16">
        <v>3</v>
      </c>
      <c r="G173" s="30" t="s">
        <v>666</v>
      </c>
      <c r="H173" s="16">
        <v>0</v>
      </c>
      <c r="I173" s="16" t="s">
        <v>47</v>
      </c>
      <c r="J173" s="16">
        <v>135.09</v>
      </c>
      <c r="K173" s="16">
        <v>695</v>
      </c>
      <c r="L173" s="16">
        <v>8464</v>
      </c>
      <c r="M173" s="8">
        <v>0</v>
      </c>
      <c r="N173" s="21">
        <v>40092</v>
      </c>
      <c r="O173" s="7">
        <f t="shared" si="8"/>
        <v>6</v>
      </c>
      <c r="P173" s="22">
        <f t="shared" si="9"/>
        <v>26</v>
      </c>
      <c r="Q173" s="22">
        <f t="shared" si="10"/>
        <v>31</v>
      </c>
      <c r="R173" s="16">
        <v>116</v>
      </c>
      <c r="S173">
        <v>4.6505133430154899</v>
      </c>
      <c r="T173">
        <v>-74.063243301216005</v>
      </c>
      <c r="U173" s="22">
        <v>30949</v>
      </c>
      <c r="V173" s="22">
        <v>29614.666669999999</v>
      </c>
      <c r="W173" s="25">
        <v>11361</v>
      </c>
      <c r="X173" s="24">
        <v>11414</v>
      </c>
      <c r="Y173" s="24">
        <v>351601</v>
      </c>
      <c r="Z173" s="24">
        <v>338009</v>
      </c>
      <c r="AA173" s="24">
        <v>50916</v>
      </c>
      <c r="AB173" s="24">
        <v>44279</v>
      </c>
      <c r="AC173" s="24">
        <v>123559</v>
      </c>
      <c r="AD173" s="24">
        <v>117591</v>
      </c>
      <c r="AE173" s="24">
        <v>14120</v>
      </c>
      <c r="AF173" s="24">
        <v>13777</v>
      </c>
      <c r="AG173" s="17">
        <v>0</v>
      </c>
      <c r="AH173" s="16" t="s">
        <v>58</v>
      </c>
      <c r="AI173" s="16" t="s">
        <v>49</v>
      </c>
      <c r="AJ173" s="16" t="s">
        <v>50</v>
      </c>
      <c r="AK173" s="16" t="s">
        <v>51</v>
      </c>
      <c r="AL173" s="25">
        <v>232000</v>
      </c>
      <c r="AM173" s="43">
        <f t="shared" si="11"/>
        <v>104.52291065215782</v>
      </c>
      <c r="AN173" s="16" t="s">
        <v>52</v>
      </c>
      <c r="AO173" s="16" t="s">
        <v>60</v>
      </c>
    </row>
    <row r="174" spans="1:41" ht="14.5" x14ac:dyDescent="0.35">
      <c r="A174" s="27" t="s">
        <v>667</v>
      </c>
      <c r="B174" s="16" t="s">
        <v>42</v>
      </c>
      <c r="C174" s="16" t="s">
        <v>43</v>
      </c>
      <c r="D174" s="16" t="s">
        <v>44</v>
      </c>
      <c r="E174" s="16" t="s">
        <v>668</v>
      </c>
      <c r="F174" s="16">
        <v>3</v>
      </c>
      <c r="G174" s="30" t="s">
        <v>669</v>
      </c>
      <c r="H174" s="16">
        <v>0</v>
      </c>
      <c r="I174" s="16" t="s">
        <v>47</v>
      </c>
      <c r="J174" s="16">
        <v>104.4</v>
      </c>
      <c r="K174" s="16">
        <v>2386</v>
      </c>
      <c r="L174" s="16">
        <v>306</v>
      </c>
      <c r="M174" s="8">
        <v>0</v>
      </c>
      <c r="N174" s="21">
        <v>44457</v>
      </c>
      <c r="O174" s="7">
        <f t="shared" si="8"/>
        <v>18</v>
      </c>
      <c r="P174" s="22">
        <f t="shared" si="9"/>
        <v>13</v>
      </c>
      <c r="Q174" s="22">
        <f t="shared" si="10"/>
        <v>30</v>
      </c>
      <c r="R174" s="16">
        <v>60</v>
      </c>
      <c r="S174">
        <v>4.7401188481737897</v>
      </c>
      <c r="T174">
        <v>-74.0943711165108</v>
      </c>
      <c r="U174" s="22">
        <v>20285</v>
      </c>
      <c r="V174" s="22">
        <v>20440.666669999999</v>
      </c>
      <c r="W174" s="25">
        <v>12071</v>
      </c>
      <c r="X174" s="24">
        <v>12129</v>
      </c>
      <c r="Y174" s="24">
        <v>244865</v>
      </c>
      <c r="Z174" s="24">
        <v>247919</v>
      </c>
      <c r="AA174" s="24">
        <v>18762</v>
      </c>
      <c r="AB174" s="24">
        <v>16904</v>
      </c>
      <c r="AC174" s="24">
        <v>81644</v>
      </c>
      <c r="AD174" s="24">
        <v>79831</v>
      </c>
      <c r="AE174" s="24">
        <v>10105</v>
      </c>
      <c r="AF174" s="24">
        <v>9796</v>
      </c>
      <c r="AG174" s="17">
        <v>0</v>
      </c>
      <c r="AH174" s="16" t="s">
        <v>452</v>
      </c>
      <c r="AI174" s="16" t="s">
        <v>49</v>
      </c>
      <c r="AJ174" s="16" t="s">
        <v>50</v>
      </c>
      <c r="AK174" s="16" t="s">
        <v>51</v>
      </c>
      <c r="AL174" s="25">
        <v>232000</v>
      </c>
      <c r="AM174" s="43">
        <f t="shared" si="11"/>
        <v>96.791187739463595</v>
      </c>
      <c r="AN174" s="16" t="s">
        <v>141</v>
      </c>
      <c r="AO174" s="16" t="s">
        <v>53</v>
      </c>
    </row>
    <row r="175" spans="1:41" ht="14.5" x14ac:dyDescent="0.35">
      <c r="A175" s="27" t="s">
        <v>670</v>
      </c>
      <c r="B175" s="16" t="s">
        <v>55</v>
      </c>
      <c r="C175" s="16" t="s">
        <v>43</v>
      </c>
      <c r="D175" s="16" t="s">
        <v>44</v>
      </c>
      <c r="E175" s="16" t="s">
        <v>671</v>
      </c>
      <c r="F175" s="16">
        <v>3</v>
      </c>
      <c r="G175" s="30" t="s">
        <v>672</v>
      </c>
      <c r="H175" s="16">
        <v>0</v>
      </c>
      <c r="I175" s="16" t="s">
        <v>47</v>
      </c>
      <c r="J175" s="16">
        <v>122.81</v>
      </c>
      <c r="K175" s="16">
        <v>1695</v>
      </c>
      <c r="L175" s="16">
        <v>870</v>
      </c>
      <c r="M175" s="8">
        <v>45</v>
      </c>
      <c r="N175" s="21">
        <v>45441</v>
      </c>
      <c r="O175" s="7">
        <f t="shared" si="8"/>
        <v>29</v>
      </c>
      <c r="P175" s="22">
        <f t="shared" si="9"/>
        <v>3</v>
      </c>
      <c r="Q175" s="22">
        <f t="shared" si="10"/>
        <v>31</v>
      </c>
      <c r="R175" s="16">
        <v>28</v>
      </c>
      <c r="S175">
        <v>4.5724025577725502</v>
      </c>
      <c r="T175">
        <v>-74.098167519227701</v>
      </c>
      <c r="U175" s="22">
        <v>18533</v>
      </c>
      <c r="V175" s="22">
        <v>18105.833330000001</v>
      </c>
      <c r="W175" s="25">
        <v>12666</v>
      </c>
      <c r="X175" s="24">
        <v>12749</v>
      </c>
      <c r="Y175" s="24">
        <v>234747</v>
      </c>
      <c r="Z175" s="24">
        <v>230823</v>
      </c>
      <c r="AA175" s="24">
        <v>18628</v>
      </c>
      <c r="AB175" s="24">
        <v>20045</v>
      </c>
      <c r="AC175" s="24">
        <v>76510</v>
      </c>
      <c r="AD175" s="24">
        <v>74530</v>
      </c>
      <c r="AE175" s="24">
        <v>6634</v>
      </c>
      <c r="AF175" s="24">
        <v>6545</v>
      </c>
      <c r="AG175" s="17">
        <v>0</v>
      </c>
      <c r="AH175" s="16" t="s">
        <v>58</v>
      </c>
      <c r="AI175" s="16" t="s">
        <v>49</v>
      </c>
      <c r="AJ175" s="16" t="s">
        <v>124</v>
      </c>
      <c r="AK175" s="16" t="s">
        <v>51</v>
      </c>
      <c r="AL175" s="25">
        <v>204160</v>
      </c>
      <c r="AM175" s="43">
        <f t="shared" si="11"/>
        <v>54.018402410227182</v>
      </c>
      <c r="AN175" s="16">
        <v>0</v>
      </c>
      <c r="AO175" s="16" t="s">
        <v>60</v>
      </c>
    </row>
    <row r="176" spans="1:41" ht="14.5" x14ac:dyDescent="0.35">
      <c r="A176" s="27" t="s">
        <v>673</v>
      </c>
      <c r="B176" s="16" t="s">
        <v>119</v>
      </c>
      <c r="C176" s="16" t="s">
        <v>120</v>
      </c>
      <c r="D176" s="16" t="s">
        <v>121</v>
      </c>
      <c r="E176" s="16" t="s">
        <v>674</v>
      </c>
      <c r="F176" s="16">
        <v>3</v>
      </c>
      <c r="G176" s="30" t="s">
        <v>675</v>
      </c>
      <c r="H176" s="16">
        <v>0</v>
      </c>
      <c r="I176" s="16" t="s">
        <v>47</v>
      </c>
      <c r="J176" s="16">
        <v>80</v>
      </c>
      <c r="K176" s="16">
        <v>2024</v>
      </c>
      <c r="L176" s="16">
        <v>2215</v>
      </c>
      <c r="M176" s="8">
        <v>157</v>
      </c>
      <c r="N176" s="21">
        <v>45351</v>
      </c>
      <c r="O176" s="7">
        <f t="shared" si="8"/>
        <v>29</v>
      </c>
      <c r="P176" s="22">
        <f t="shared" si="9"/>
        <v>1</v>
      </c>
      <c r="Q176" s="22">
        <f t="shared" si="10"/>
        <v>29</v>
      </c>
      <c r="R176" s="16">
        <v>31</v>
      </c>
      <c r="S176">
        <v>7.1357734830722999</v>
      </c>
      <c r="T176">
        <v>-73.127805886029805</v>
      </c>
      <c r="U176" s="22">
        <v>21738</v>
      </c>
      <c r="V176" s="22">
        <v>20927.333330000001</v>
      </c>
      <c r="W176" s="25">
        <v>11717</v>
      </c>
      <c r="X176" s="24">
        <v>11661</v>
      </c>
      <c r="Y176" s="24">
        <v>254713</v>
      </c>
      <c r="Z176" s="24">
        <v>244032</v>
      </c>
      <c r="AA176" s="24">
        <v>28152</v>
      </c>
      <c r="AB176" s="24">
        <v>27569</v>
      </c>
      <c r="AC176" s="24">
        <v>94181</v>
      </c>
      <c r="AD176" s="24">
        <v>88343</v>
      </c>
      <c r="AE176" s="24">
        <v>8292</v>
      </c>
      <c r="AF176" s="24">
        <v>8381</v>
      </c>
      <c r="AG176" s="17">
        <v>0</v>
      </c>
      <c r="AH176" s="16" t="s">
        <v>217</v>
      </c>
      <c r="AI176" s="16" t="s">
        <v>49</v>
      </c>
      <c r="AJ176" s="16" t="s">
        <v>50</v>
      </c>
      <c r="AK176" s="16" t="s">
        <v>51</v>
      </c>
      <c r="AL176" s="25">
        <v>232000</v>
      </c>
      <c r="AM176" s="43">
        <f t="shared" si="11"/>
        <v>103.65</v>
      </c>
      <c r="AN176" s="16" t="s">
        <v>449</v>
      </c>
      <c r="AO176" s="16" t="s">
        <v>60</v>
      </c>
    </row>
    <row r="177" spans="1:41" ht="14.5" x14ac:dyDescent="0.35">
      <c r="A177" s="27" t="s">
        <v>676</v>
      </c>
      <c r="B177" s="16" t="s">
        <v>55</v>
      </c>
      <c r="C177" s="16" t="s">
        <v>43</v>
      </c>
      <c r="D177" s="16" t="s">
        <v>44</v>
      </c>
      <c r="E177" s="16" t="s">
        <v>634</v>
      </c>
      <c r="F177" s="16">
        <v>3</v>
      </c>
      <c r="G177" s="30" t="s">
        <v>677</v>
      </c>
      <c r="H177" s="16">
        <v>0</v>
      </c>
      <c r="I177" s="16" t="s">
        <v>102</v>
      </c>
      <c r="J177" s="16">
        <v>144</v>
      </c>
      <c r="K177" s="16">
        <v>877</v>
      </c>
      <c r="L177" s="16">
        <v>961</v>
      </c>
      <c r="M177" s="8">
        <v>141</v>
      </c>
      <c r="N177" s="21">
        <v>43788</v>
      </c>
      <c r="O177" s="7">
        <f t="shared" si="8"/>
        <v>19</v>
      </c>
      <c r="P177" s="22">
        <f t="shared" si="9"/>
        <v>12</v>
      </c>
      <c r="Q177" s="22">
        <f t="shared" si="10"/>
        <v>30</v>
      </c>
      <c r="R177" s="16">
        <v>82</v>
      </c>
      <c r="S177">
        <v>4.6276204111647701</v>
      </c>
      <c r="T177">
        <v>-74.090959319428407</v>
      </c>
      <c r="U177" s="22">
        <v>16616</v>
      </c>
      <c r="V177" s="22">
        <v>18299</v>
      </c>
      <c r="W177" s="25">
        <v>11340</v>
      </c>
      <c r="X177" s="24">
        <v>11303</v>
      </c>
      <c r="Y177" s="24">
        <v>188427</v>
      </c>
      <c r="Z177" s="24">
        <v>206838</v>
      </c>
      <c r="AA177" s="24">
        <v>12206</v>
      </c>
      <c r="AB177" s="24">
        <v>18865</v>
      </c>
      <c r="AC177" s="24">
        <v>70343</v>
      </c>
      <c r="AD177" s="24">
        <v>76652</v>
      </c>
      <c r="AE177" s="24">
        <v>10658</v>
      </c>
      <c r="AF177" s="24">
        <v>10331</v>
      </c>
      <c r="AG177" s="17">
        <v>0</v>
      </c>
      <c r="AH177" s="16" t="s">
        <v>58</v>
      </c>
      <c r="AI177" s="16" t="s">
        <v>49</v>
      </c>
      <c r="AJ177" s="16" t="s">
        <v>50</v>
      </c>
      <c r="AK177" s="16" t="s">
        <v>51</v>
      </c>
      <c r="AL177" s="25">
        <v>232000</v>
      </c>
      <c r="AM177" s="43">
        <f t="shared" si="11"/>
        <v>74.013888888888886</v>
      </c>
      <c r="AN177" s="16" t="s">
        <v>678</v>
      </c>
      <c r="AO177" s="16" t="s">
        <v>60</v>
      </c>
    </row>
    <row r="178" spans="1:41" ht="14.5" x14ac:dyDescent="0.35">
      <c r="A178" s="27" t="s">
        <v>679</v>
      </c>
      <c r="B178" s="16" t="s">
        <v>42</v>
      </c>
      <c r="C178" s="16" t="s">
        <v>126</v>
      </c>
      <c r="D178" s="16" t="s">
        <v>127</v>
      </c>
      <c r="E178" s="16" t="s">
        <v>333</v>
      </c>
      <c r="F178" s="16">
        <v>5</v>
      </c>
      <c r="G178" s="30" t="s">
        <v>680</v>
      </c>
      <c r="H178" s="16">
        <v>0</v>
      </c>
      <c r="I178" s="16" t="s">
        <v>47</v>
      </c>
      <c r="J178" s="16">
        <v>130.06</v>
      </c>
      <c r="K178" s="16">
        <v>756</v>
      </c>
      <c r="L178" s="16">
        <v>2605</v>
      </c>
      <c r="M178" s="8">
        <v>61</v>
      </c>
      <c r="N178" s="21">
        <v>45443</v>
      </c>
      <c r="O178" s="7">
        <f t="shared" si="8"/>
        <v>31</v>
      </c>
      <c r="P178" s="22">
        <f t="shared" si="9"/>
        <v>1</v>
      </c>
      <c r="Q178" s="22">
        <f t="shared" si="10"/>
        <v>31</v>
      </c>
      <c r="R178" s="16">
        <v>28</v>
      </c>
      <c r="S178">
        <v>5.54545818491549</v>
      </c>
      <c r="T178">
        <v>-73.350614593981504</v>
      </c>
      <c r="U178" s="22">
        <v>18837</v>
      </c>
      <c r="V178" s="22">
        <v>18190.333330000001</v>
      </c>
      <c r="W178" s="25">
        <v>11774</v>
      </c>
      <c r="X178" s="24">
        <v>11636</v>
      </c>
      <c r="Y178" s="24">
        <v>221784</v>
      </c>
      <c r="Z178" s="24">
        <v>211654</v>
      </c>
      <c r="AA178" s="24">
        <v>23071</v>
      </c>
      <c r="AB178" s="24">
        <v>16928</v>
      </c>
      <c r="AC178" s="24">
        <v>86427</v>
      </c>
      <c r="AD178" s="24">
        <v>80543</v>
      </c>
      <c r="AE178" s="24">
        <v>12776</v>
      </c>
      <c r="AF178" s="24">
        <v>12593</v>
      </c>
      <c r="AG178" s="17">
        <v>0</v>
      </c>
      <c r="AH178" s="16" t="s">
        <v>48</v>
      </c>
      <c r="AI178" s="16" t="s">
        <v>49</v>
      </c>
      <c r="AJ178" s="16" t="s">
        <v>50</v>
      </c>
      <c r="AK178" s="16" t="s">
        <v>51</v>
      </c>
      <c r="AL178" s="25">
        <v>232000</v>
      </c>
      <c r="AM178" s="43">
        <f t="shared" si="11"/>
        <v>98.231585422112872</v>
      </c>
      <c r="AN178" s="16" t="s">
        <v>52</v>
      </c>
      <c r="AO178" s="16" t="s">
        <v>60</v>
      </c>
    </row>
    <row r="179" spans="1:41" ht="14.5" x14ac:dyDescent="0.35">
      <c r="A179" s="27" t="s">
        <v>681</v>
      </c>
      <c r="B179" s="16" t="s">
        <v>55</v>
      </c>
      <c r="C179" s="16" t="s">
        <v>43</v>
      </c>
      <c r="D179" s="16" t="s">
        <v>44</v>
      </c>
      <c r="E179" s="16" t="s">
        <v>463</v>
      </c>
      <c r="F179" s="16">
        <v>3</v>
      </c>
      <c r="G179" s="30" t="s">
        <v>682</v>
      </c>
      <c r="H179" s="16">
        <v>0</v>
      </c>
      <c r="I179" s="16" t="s">
        <v>102</v>
      </c>
      <c r="J179" s="16">
        <v>205.99</v>
      </c>
      <c r="K179" s="16">
        <v>368</v>
      </c>
      <c r="L179" s="16">
        <v>7904</v>
      </c>
      <c r="M179" s="8">
        <v>0</v>
      </c>
      <c r="N179" s="21">
        <v>41132</v>
      </c>
      <c r="O179" s="7">
        <f t="shared" si="8"/>
        <v>11</v>
      </c>
      <c r="P179" s="22">
        <f t="shared" si="9"/>
        <v>21</v>
      </c>
      <c r="Q179" s="22">
        <f t="shared" si="10"/>
        <v>31</v>
      </c>
      <c r="R179" s="16">
        <v>116</v>
      </c>
      <c r="S179">
        <v>4.6149821121024797</v>
      </c>
      <c r="T179">
        <v>-74.069557608278203</v>
      </c>
      <c r="U179" s="22">
        <v>31219</v>
      </c>
      <c r="V179" s="22">
        <v>31468.833330000001</v>
      </c>
      <c r="W179" s="25">
        <v>12460</v>
      </c>
      <c r="X179" s="24">
        <v>12396</v>
      </c>
      <c r="Y179" s="24">
        <v>388984</v>
      </c>
      <c r="Z179" s="24">
        <v>390093</v>
      </c>
      <c r="AA179" s="24">
        <v>27372</v>
      </c>
      <c r="AB179" s="24">
        <v>26211</v>
      </c>
      <c r="AC179" s="24">
        <v>137606</v>
      </c>
      <c r="AD179" s="24">
        <v>134235</v>
      </c>
      <c r="AE179" s="24">
        <v>30106</v>
      </c>
      <c r="AF179" s="24">
        <v>30472</v>
      </c>
      <c r="AG179" s="17">
        <v>0</v>
      </c>
      <c r="AH179" s="16" t="s">
        <v>58</v>
      </c>
      <c r="AI179" s="16" t="s">
        <v>49</v>
      </c>
      <c r="AJ179" s="16" t="s">
        <v>124</v>
      </c>
      <c r="AK179" s="16" t="s">
        <v>51</v>
      </c>
      <c r="AL179" s="25">
        <v>204160</v>
      </c>
      <c r="AM179" s="43">
        <f t="shared" si="11"/>
        <v>146.15272586047865</v>
      </c>
      <c r="AN179" s="16" t="s">
        <v>683</v>
      </c>
      <c r="AO179" s="16" t="s">
        <v>53</v>
      </c>
    </row>
    <row r="180" spans="1:41" ht="14.5" x14ac:dyDescent="0.35">
      <c r="A180" s="27" t="s">
        <v>684</v>
      </c>
      <c r="B180" s="16" t="s">
        <v>55</v>
      </c>
      <c r="C180" s="16" t="s">
        <v>43</v>
      </c>
      <c r="D180" s="16" t="s">
        <v>44</v>
      </c>
      <c r="E180" s="16" t="s">
        <v>473</v>
      </c>
      <c r="F180" s="16">
        <v>3</v>
      </c>
      <c r="G180" s="30" t="s">
        <v>685</v>
      </c>
      <c r="H180" s="16" t="s">
        <v>686</v>
      </c>
      <c r="I180" s="16" t="s">
        <v>47</v>
      </c>
      <c r="J180" s="16">
        <v>123.53</v>
      </c>
      <c r="K180" s="16">
        <v>2300</v>
      </c>
      <c r="L180" s="16">
        <v>2630</v>
      </c>
      <c r="M180" s="8">
        <v>95</v>
      </c>
      <c r="N180" s="21">
        <v>45737</v>
      </c>
      <c r="O180" s="7">
        <f t="shared" si="8"/>
        <v>21</v>
      </c>
      <c r="P180" s="22">
        <f t="shared" si="9"/>
        <v>11</v>
      </c>
      <c r="Q180" s="22">
        <f t="shared" si="10"/>
        <v>31</v>
      </c>
      <c r="R180" s="16">
        <v>18</v>
      </c>
      <c r="S180">
        <v>4.6421823662437403</v>
      </c>
      <c r="T180">
        <v>-74.062609037125597</v>
      </c>
      <c r="U180" s="22">
        <v>20460</v>
      </c>
      <c r="V180" s="22">
        <v>19474.666669999999</v>
      </c>
      <c r="W180" s="25">
        <v>11278</v>
      </c>
      <c r="X180" s="24">
        <v>11292</v>
      </c>
      <c r="Y180" s="24">
        <v>230741</v>
      </c>
      <c r="Z180" s="24">
        <v>219902</v>
      </c>
      <c r="AA180" s="24">
        <v>32594</v>
      </c>
      <c r="AB180" s="24">
        <v>25891</v>
      </c>
      <c r="AC180" s="24">
        <v>91132</v>
      </c>
      <c r="AD180" s="24">
        <v>84751</v>
      </c>
      <c r="AE180" s="24">
        <v>10510</v>
      </c>
      <c r="AF180" s="24">
        <v>10617</v>
      </c>
      <c r="AG180" s="17">
        <v>1.4073</v>
      </c>
      <c r="AH180" s="16" t="s">
        <v>58</v>
      </c>
      <c r="AI180" s="16" t="s">
        <v>49</v>
      </c>
      <c r="AJ180" s="16" t="s">
        <v>50</v>
      </c>
      <c r="AK180" s="16" t="s">
        <v>51</v>
      </c>
      <c r="AL180" s="25">
        <v>232000</v>
      </c>
      <c r="AM180" s="43">
        <f t="shared" si="11"/>
        <v>85.080547235489348</v>
      </c>
      <c r="AN180" s="16">
        <v>140</v>
      </c>
      <c r="AO180" s="16" t="s">
        <v>53</v>
      </c>
    </row>
    <row r="181" spans="1:41" ht="14.5" x14ac:dyDescent="0.35">
      <c r="A181" s="27" t="s">
        <v>687</v>
      </c>
      <c r="B181" s="16" t="s">
        <v>183</v>
      </c>
      <c r="C181" s="16" t="s">
        <v>184</v>
      </c>
      <c r="D181" s="16" t="s">
        <v>185</v>
      </c>
      <c r="E181" s="16" t="s">
        <v>186</v>
      </c>
      <c r="F181" s="16">
        <v>4</v>
      </c>
      <c r="G181" s="30" t="s">
        <v>688</v>
      </c>
      <c r="H181" s="16" t="s">
        <v>689</v>
      </c>
      <c r="I181" s="16" t="s">
        <v>47</v>
      </c>
      <c r="J181" s="16">
        <v>125.3</v>
      </c>
      <c r="K181" s="16">
        <v>884</v>
      </c>
      <c r="L181" s="16">
        <v>1764</v>
      </c>
      <c r="M181" s="8">
        <v>94</v>
      </c>
      <c r="N181" s="21">
        <v>45611</v>
      </c>
      <c r="O181" s="7">
        <f t="shared" si="8"/>
        <v>15</v>
      </c>
      <c r="P181" s="22">
        <f t="shared" si="9"/>
        <v>16</v>
      </c>
      <c r="Q181" s="22">
        <f t="shared" si="10"/>
        <v>30</v>
      </c>
      <c r="R181" s="16">
        <v>22</v>
      </c>
      <c r="S181">
        <v>10.990558774943301</v>
      </c>
      <c r="T181">
        <v>-74.805581052343598</v>
      </c>
      <c r="U181" s="22">
        <v>20924</v>
      </c>
      <c r="V181" s="22">
        <v>19789.666669999999</v>
      </c>
      <c r="W181" s="25">
        <v>10869</v>
      </c>
      <c r="X181" s="24">
        <v>10803</v>
      </c>
      <c r="Y181" s="24">
        <v>227426</v>
      </c>
      <c r="Z181" s="24">
        <v>213782</v>
      </c>
      <c r="AA181" s="24">
        <v>11817</v>
      </c>
      <c r="AB181" s="24">
        <v>13486</v>
      </c>
      <c r="AC181" s="24">
        <v>93009</v>
      </c>
      <c r="AD181" s="24">
        <v>87345</v>
      </c>
      <c r="AE181" s="24">
        <v>10520</v>
      </c>
      <c r="AF181" s="24">
        <v>10627</v>
      </c>
      <c r="AG181" s="17">
        <v>0</v>
      </c>
      <c r="AH181" s="16" t="s">
        <v>58</v>
      </c>
      <c r="AI181" s="16" t="s">
        <v>49</v>
      </c>
      <c r="AJ181" s="16" t="s">
        <v>50</v>
      </c>
      <c r="AK181" s="16" t="s">
        <v>51</v>
      </c>
      <c r="AL181" s="25">
        <v>232000</v>
      </c>
      <c r="AM181" s="43">
        <f t="shared" si="11"/>
        <v>83.958499600957708</v>
      </c>
      <c r="AN181" s="16" t="s">
        <v>690</v>
      </c>
      <c r="AO181" s="16" t="s">
        <v>60</v>
      </c>
    </row>
    <row r="182" spans="1:41" ht="14.5" x14ac:dyDescent="0.35">
      <c r="A182" s="27" t="s">
        <v>691</v>
      </c>
      <c r="B182" s="16" t="s">
        <v>105</v>
      </c>
      <c r="C182" s="16" t="s">
        <v>157</v>
      </c>
      <c r="D182" s="16" t="s">
        <v>158</v>
      </c>
      <c r="E182" s="16" t="s">
        <v>263</v>
      </c>
      <c r="F182" s="16">
        <v>4</v>
      </c>
      <c r="G182" s="30" t="s">
        <v>692</v>
      </c>
      <c r="H182" s="16" t="s">
        <v>693</v>
      </c>
      <c r="I182" s="16" t="s">
        <v>47</v>
      </c>
      <c r="J182" s="16">
        <v>158.59</v>
      </c>
      <c r="K182" s="16">
        <v>2507</v>
      </c>
      <c r="L182" s="16">
        <v>1521</v>
      </c>
      <c r="M182" s="8">
        <v>461</v>
      </c>
      <c r="N182" s="21">
        <v>45584</v>
      </c>
      <c r="O182" s="7">
        <f t="shared" si="8"/>
        <v>19</v>
      </c>
      <c r="P182" s="22">
        <f t="shared" si="9"/>
        <v>13</v>
      </c>
      <c r="Q182" s="22">
        <f t="shared" si="10"/>
        <v>31</v>
      </c>
      <c r="R182" s="16">
        <v>23</v>
      </c>
      <c r="S182">
        <v>6.2615464368782003</v>
      </c>
      <c r="T182">
        <v>-75.588486225080402</v>
      </c>
      <c r="U182" s="22">
        <v>20161</v>
      </c>
      <c r="V182" s="22">
        <v>16690</v>
      </c>
      <c r="W182" s="25">
        <v>14337</v>
      </c>
      <c r="X182" s="24">
        <v>14890</v>
      </c>
      <c r="Y182" s="24">
        <v>289053</v>
      </c>
      <c r="Z182" s="24">
        <v>248519</v>
      </c>
      <c r="AA182" s="24">
        <v>36811</v>
      </c>
      <c r="AB182" s="24">
        <v>22449</v>
      </c>
      <c r="AC182" s="24">
        <v>106578</v>
      </c>
      <c r="AD182" s="24">
        <v>90116</v>
      </c>
      <c r="AE182" s="24">
        <v>12635</v>
      </c>
      <c r="AF182" s="24">
        <v>12602</v>
      </c>
      <c r="AG182" s="17">
        <v>0</v>
      </c>
      <c r="AH182" s="16" t="s">
        <v>90</v>
      </c>
      <c r="AI182" s="16" t="s">
        <v>49</v>
      </c>
      <c r="AJ182" s="16" t="s">
        <v>50</v>
      </c>
      <c r="AK182" s="16" t="s">
        <v>51</v>
      </c>
      <c r="AL182" s="25">
        <v>232000</v>
      </c>
      <c r="AM182" s="43">
        <f t="shared" si="11"/>
        <v>79.670849359984871</v>
      </c>
      <c r="AN182" s="16" t="s">
        <v>694</v>
      </c>
      <c r="AO182" s="16" t="s">
        <v>53</v>
      </c>
    </row>
    <row r="183" spans="1:41" ht="14.5" x14ac:dyDescent="0.35">
      <c r="A183" s="27" t="s">
        <v>695</v>
      </c>
      <c r="B183" s="16" t="s">
        <v>105</v>
      </c>
      <c r="C183" s="16" t="s">
        <v>106</v>
      </c>
      <c r="D183" s="16" t="s">
        <v>298</v>
      </c>
      <c r="E183" s="16" t="s">
        <v>696</v>
      </c>
      <c r="F183" s="16">
        <v>5</v>
      </c>
      <c r="G183" s="30" t="s">
        <v>697</v>
      </c>
      <c r="H183" s="16">
        <v>0</v>
      </c>
      <c r="I183" s="16" t="s">
        <v>47</v>
      </c>
      <c r="J183" s="16">
        <v>90</v>
      </c>
      <c r="K183" s="16">
        <v>477</v>
      </c>
      <c r="L183" s="16">
        <v>3823</v>
      </c>
      <c r="M183" s="8">
        <v>64</v>
      </c>
      <c r="N183" s="21">
        <v>44821</v>
      </c>
      <c r="O183" s="7">
        <f t="shared" si="8"/>
        <v>17</v>
      </c>
      <c r="P183" s="22">
        <f t="shared" si="9"/>
        <v>14</v>
      </c>
      <c r="Q183" s="22">
        <f t="shared" si="10"/>
        <v>30</v>
      </c>
      <c r="R183" s="16">
        <v>48</v>
      </c>
      <c r="S183">
        <v>4.8124935088551899</v>
      </c>
      <c r="T183">
        <v>-75.694541156606107</v>
      </c>
      <c r="U183" s="22">
        <v>8516</v>
      </c>
      <c r="V183" s="22">
        <v>17580</v>
      </c>
      <c r="W183" s="25">
        <v>10208</v>
      </c>
      <c r="X183" s="24">
        <v>10770</v>
      </c>
      <c r="Y183" s="24">
        <v>86927</v>
      </c>
      <c r="Z183" s="24">
        <v>189335</v>
      </c>
      <c r="AA183" s="24">
        <v>-52746</v>
      </c>
      <c r="AB183" s="24">
        <v>1658</v>
      </c>
      <c r="AC183" s="24">
        <v>22685</v>
      </c>
      <c r="AD183" s="24">
        <v>70340</v>
      </c>
      <c r="AE183" s="24">
        <v>15035</v>
      </c>
      <c r="AF183" s="24">
        <v>14586</v>
      </c>
      <c r="AG183" s="17">
        <v>0</v>
      </c>
      <c r="AH183" s="16" t="s">
        <v>82</v>
      </c>
      <c r="AI183" s="16" t="s">
        <v>49</v>
      </c>
      <c r="AJ183" s="16" t="s">
        <v>50</v>
      </c>
      <c r="AK183" s="16" t="s">
        <v>51</v>
      </c>
      <c r="AL183" s="25">
        <v>232000</v>
      </c>
      <c r="AM183" s="43">
        <f t="shared" si="11"/>
        <v>167.05555555555554</v>
      </c>
      <c r="AN183" s="16" t="s">
        <v>52</v>
      </c>
      <c r="AO183" s="16" t="s">
        <v>53</v>
      </c>
    </row>
    <row r="184" spans="1:41" ht="14.5" x14ac:dyDescent="0.35">
      <c r="A184" s="27" t="s">
        <v>698</v>
      </c>
      <c r="B184" s="16" t="s">
        <v>183</v>
      </c>
      <c r="C184" s="16" t="s">
        <v>184</v>
      </c>
      <c r="D184" s="16" t="s">
        <v>185</v>
      </c>
      <c r="E184" s="16" t="s">
        <v>347</v>
      </c>
      <c r="F184" s="16">
        <v>5</v>
      </c>
      <c r="G184" s="30" t="s">
        <v>699</v>
      </c>
      <c r="H184" s="16">
        <v>0</v>
      </c>
      <c r="I184" s="16" t="s">
        <v>47</v>
      </c>
      <c r="J184" s="16">
        <v>74.06</v>
      </c>
      <c r="K184" s="16">
        <v>659</v>
      </c>
      <c r="L184" s="16">
        <v>1350</v>
      </c>
      <c r="M184" s="8">
        <v>86</v>
      </c>
      <c r="N184" s="21">
        <v>45373</v>
      </c>
      <c r="O184" s="7">
        <f t="shared" si="8"/>
        <v>22</v>
      </c>
      <c r="P184" s="22">
        <f t="shared" si="9"/>
        <v>10</v>
      </c>
      <c r="Q184" s="22">
        <f t="shared" si="10"/>
        <v>31</v>
      </c>
      <c r="R184" s="16">
        <v>30</v>
      </c>
      <c r="S184">
        <v>11.0034593066562</v>
      </c>
      <c r="T184">
        <v>-74.824774704455194</v>
      </c>
      <c r="U184" s="22">
        <v>20036</v>
      </c>
      <c r="V184" s="22">
        <v>20052.5</v>
      </c>
      <c r="W184" s="25">
        <v>13007</v>
      </c>
      <c r="X184" s="24">
        <v>12672</v>
      </c>
      <c r="Y184" s="24">
        <v>260617</v>
      </c>
      <c r="Z184" s="24">
        <v>254104</v>
      </c>
      <c r="AA184" s="24">
        <v>11718</v>
      </c>
      <c r="AB184" s="24">
        <v>8558</v>
      </c>
      <c r="AC184" s="24">
        <v>98471</v>
      </c>
      <c r="AD184" s="24">
        <v>95887</v>
      </c>
      <c r="AE184" s="24">
        <v>9015</v>
      </c>
      <c r="AF184" s="24">
        <v>10986</v>
      </c>
      <c r="AG184" s="17">
        <v>0</v>
      </c>
      <c r="AH184" s="16" t="s">
        <v>58</v>
      </c>
      <c r="AI184" s="16" t="s">
        <v>49</v>
      </c>
      <c r="AJ184" s="16" t="s">
        <v>50</v>
      </c>
      <c r="AK184" s="16" t="s">
        <v>51</v>
      </c>
      <c r="AL184" s="25">
        <v>232000</v>
      </c>
      <c r="AM184" s="43">
        <f t="shared" si="11"/>
        <v>121.72562786929517</v>
      </c>
      <c r="AN184" s="16" t="s">
        <v>72</v>
      </c>
      <c r="AO184" s="16" t="s">
        <v>60</v>
      </c>
    </row>
    <row r="185" spans="1:41" ht="14.5" x14ac:dyDescent="0.35">
      <c r="A185" s="27" t="s">
        <v>700</v>
      </c>
      <c r="B185" s="16" t="s">
        <v>105</v>
      </c>
      <c r="C185" s="16" t="s">
        <v>157</v>
      </c>
      <c r="D185" s="16" t="s">
        <v>158</v>
      </c>
      <c r="E185" s="16" t="s">
        <v>596</v>
      </c>
      <c r="F185" s="16">
        <v>6</v>
      </c>
      <c r="G185" s="30" t="s">
        <v>701</v>
      </c>
      <c r="H185" s="16" t="s">
        <v>702</v>
      </c>
      <c r="I185" s="16" t="s">
        <v>102</v>
      </c>
      <c r="J185" s="16">
        <v>138.54</v>
      </c>
      <c r="K185" s="16">
        <v>1606</v>
      </c>
      <c r="L185" s="16">
        <v>4790</v>
      </c>
      <c r="M185" s="8">
        <v>67</v>
      </c>
      <c r="N185" s="21">
        <v>45869</v>
      </c>
      <c r="O185" s="7">
        <f t="shared" si="8"/>
        <v>31</v>
      </c>
      <c r="P185" s="22">
        <f t="shared" si="9"/>
        <v>1</v>
      </c>
      <c r="Q185" s="22">
        <f t="shared" si="10"/>
        <v>31</v>
      </c>
      <c r="R185" s="16">
        <v>14</v>
      </c>
      <c r="S185">
        <v>6.1996025947513296</v>
      </c>
      <c r="T185">
        <v>-75.572334785915999</v>
      </c>
      <c r="U185" s="22">
        <v>17086</v>
      </c>
      <c r="V185" s="22">
        <v>15966</v>
      </c>
      <c r="W185" s="25">
        <v>11644</v>
      </c>
      <c r="X185" s="24">
        <v>11661</v>
      </c>
      <c r="Y185" s="24">
        <v>198953</v>
      </c>
      <c r="Z185" s="24">
        <v>186177</v>
      </c>
      <c r="AA185" s="24">
        <v>8097</v>
      </c>
      <c r="AB185" s="24">
        <v>7316</v>
      </c>
      <c r="AC185" s="24">
        <v>78867</v>
      </c>
      <c r="AD185" s="24">
        <v>74071</v>
      </c>
      <c r="AE185" s="24">
        <v>16673</v>
      </c>
      <c r="AF185" s="24">
        <v>16373</v>
      </c>
      <c r="AG185" s="17">
        <v>1.0932999999999999</v>
      </c>
      <c r="AH185" s="16" t="s">
        <v>58</v>
      </c>
      <c r="AI185" s="16" t="s">
        <v>49</v>
      </c>
      <c r="AJ185" s="16" t="s">
        <v>50</v>
      </c>
      <c r="AK185" s="16" t="s">
        <v>71</v>
      </c>
      <c r="AL185" s="25">
        <v>232000</v>
      </c>
      <c r="AM185" s="43">
        <f t="shared" si="11"/>
        <v>120.3479139598672</v>
      </c>
      <c r="AN185" s="16" t="s">
        <v>703</v>
      </c>
      <c r="AO185" s="16" t="s">
        <v>60</v>
      </c>
    </row>
    <row r="186" spans="1:41" ht="14.5" x14ac:dyDescent="0.35">
      <c r="A186" s="27" t="s">
        <v>704</v>
      </c>
      <c r="B186" s="16" t="s">
        <v>55</v>
      </c>
      <c r="C186" s="16" t="s">
        <v>43</v>
      </c>
      <c r="D186" s="16" t="s">
        <v>44</v>
      </c>
      <c r="E186" s="16" t="s">
        <v>705</v>
      </c>
      <c r="F186" s="16">
        <v>3</v>
      </c>
      <c r="G186" s="30" t="s">
        <v>706</v>
      </c>
      <c r="H186" s="16">
        <v>0</v>
      </c>
      <c r="I186" s="16" t="s">
        <v>47</v>
      </c>
      <c r="J186" s="16">
        <v>71.06</v>
      </c>
      <c r="K186" s="16">
        <v>192</v>
      </c>
      <c r="L186" s="16">
        <v>1285</v>
      </c>
      <c r="M186" s="8">
        <v>62</v>
      </c>
      <c r="N186" s="21">
        <v>43399</v>
      </c>
      <c r="O186" s="7">
        <f t="shared" si="8"/>
        <v>26</v>
      </c>
      <c r="P186" s="22">
        <f t="shared" si="9"/>
        <v>6</v>
      </c>
      <c r="Q186" s="22">
        <f t="shared" si="10"/>
        <v>31</v>
      </c>
      <c r="R186" s="16">
        <v>95</v>
      </c>
      <c r="S186">
        <v>4.7022136921354303</v>
      </c>
      <c r="T186">
        <v>-74.117364857848401</v>
      </c>
      <c r="U186" s="22">
        <v>29249</v>
      </c>
      <c r="V186" s="22">
        <v>28659.5</v>
      </c>
      <c r="W186" s="25">
        <v>12001</v>
      </c>
      <c r="X186" s="24">
        <v>11649</v>
      </c>
      <c r="Y186" s="24">
        <v>351025</v>
      </c>
      <c r="Z186" s="24">
        <v>333853</v>
      </c>
      <c r="AA186" s="24">
        <v>41370</v>
      </c>
      <c r="AB186" s="24">
        <v>41110</v>
      </c>
      <c r="AC186" s="24">
        <v>122325</v>
      </c>
      <c r="AD186" s="24">
        <v>115560</v>
      </c>
      <c r="AE186" s="24">
        <v>15946</v>
      </c>
      <c r="AF186" s="24">
        <v>16184</v>
      </c>
      <c r="AG186" s="17">
        <v>0</v>
      </c>
      <c r="AH186" s="16" t="s">
        <v>58</v>
      </c>
      <c r="AI186" s="16" t="s">
        <v>49</v>
      </c>
      <c r="AJ186" s="16" t="s">
        <v>124</v>
      </c>
      <c r="AK186" s="16" t="s">
        <v>51</v>
      </c>
      <c r="AL186" s="25">
        <v>204160</v>
      </c>
      <c r="AM186" s="43">
        <f t="shared" si="11"/>
        <v>224.40191387559807</v>
      </c>
      <c r="AN186" s="16" t="s">
        <v>707</v>
      </c>
      <c r="AO186" s="16" t="s">
        <v>60</v>
      </c>
    </row>
    <row r="187" spans="1:41" ht="14.5" x14ac:dyDescent="0.35">
      <c r="A187" s="27" t="s">
        <v>708</v>
      </c>
      <c r="B187" s="16" t="s">
        <v>119</v>
      </c>
      <c r="C187" s="16" t="s">
        <v>120</v>
      </c>
      <c r="D187" s="16" t="s">
        <v>121</v>
      </c>
      <c r="E187" s="16" t="s">
        <v>709</v>
      </c>
      <c r="F187" s="16">
        <v>3</v>
      </c>
      <c r="G187" s="30" t="s">
        <v>710</v>
      </c>
      <c r="H187" s="16">
        <v>0</v>
      </c>
      <c r="I187" s="16" t="s">
        <v>47</v>
      </c>
      <c r="J187" s="16">
        <v>124</v>
      </c>
      <c r="K187" s="16">
        <v>1207</v>
      </c>
      <c r="L187" s="16">
        <v>512</v>
      </c>
      <c r="M187" s="8">
        <v>54</v>
      </c>
      <c r="N187" s="21">
        <v>45282</v>
      </c>
      <c r="O187" s="7">
        <f t="shared" si="8"/>
        <v>22</v>
      </c>
      <c r="P187" s="22">
        <f t="shared" si="9"/>
        <v>10</v>
      </c>
      <c r="Q187" s="22">
        <f t="shared" si="10"/>
        <v>31</v>
      </c>
      <c r="R187" s="16">
        <v>33</v>
      </c>
      <c r="S187">
        <v>7.0829040800760303</v>
      </c>
      <c r="T187">
        <v>-73.121305344170196</v>
      </c>
      <c r="U187" s="22">
        <v>23402</v>
      </c>
      <c r="V187" s="22">
        <v>22031.333330000001</v>
      </c>
      <c r="W187" s="25">
        <v>10693</v>
      </c>
      <c r="X187" s="24">
        <v>11071</v>
      </c>
      <c r="Y187" s="24">
        <v>250237</v>
      </c>
      <c r="Z187" s="24">
        <v>243910</v>
      </c>
      <c r="AA187" s="24">
        <v>18454</v>
      </c>
      <c r="AB187" s="24">
        <v>21111</v>
      </c>
      <c r="AC187" s="24">
        <v>85865</v>
      </c>
      <c r="AD187" s="24">
        <v>81981</v>
      </c>
      <c r="AE187" s="24">
        <v>8622</v>
      </c>
      <c r="AF187" s="24">
        <v>8714</v>
      </c>
      <c r="AG187" s="17">
        <v>0</v>
      </c>
      <c r="AH187" s="16" t="s">
        <v>82</v>
      </c>
      <c r="AI187" s="16" t="s">
        <v>49</v>
      </c>
      <c r="AJ187" s="16" t="s">
        <v>50</v>
      </c>
      <c r="AK187" s="16" t="s">
        <v>51</v>
      </c>
      <c r="AL187" s="25">
        <v>232000</v>
      </c>
      <c r="AM187" s="43">
        <f t="shared" si="11"/>
        <v>69.532258064516128</v>
      </c>
      <c r="AN187" s="16" t="s">
        <v>162</v>
      </c>
      <c r="AO187" s="16" t="s">
        <v>53</v>
      </c>
    </row>
    <row r="188" spans="1:41" ht="14.5" x14ac:dyDescent="0.35">
      <c r="A188" s="27" t="s">
        <v>711</v>
      </c>
      <c r="B188" s="16" t="s">
        <v>55</v>
      </c>
      <c r="C188" s="16" t="s">
        <v>43</v>
      </c>
      <c r="D188" s="16" t="s">
        <v>44</v>
      </c>
      <c r="E188" s="16" t="s">
        <v>407</v>
      </c>
      <c r="F188" s="16">
        <v>3</v>
      </c>
      <c r="G188" s="30" t="s">
        <v>712</v>
      </c>
      <c r="H188" s="16">
        <v>0</v>
      </c>
      <c r="I188" s="16" t="s">
        <v>47</v>
      </c>
      <c r="J188" s="16">
        <v>113.71</v>
      </c>
      <c r="K188" s="16">
        <v>244</v>
      </c>
      <c r="L188" s="16">
        <v>1741</v>
      </c>
      <c r="M188" s="8">
        <v>170</v>
      </c>
      <c r="N188" s="21">
        <v>43938</v>
      </c>
      <c r="O188" s="7">
        <f t="shared" si="8"/>
        <v>17</v>
      </c>
      <c r="P188" s="22">
        <f t="shared" si="9"/>
        <v>14</v>
      </c>
      <c r="Q188" s="22">
        <f t="shared" si="10"/>
        <v>30</v>
      </c>
      <c r="R188" s="16">
        <v>77</v>
      </c>
      <c r="S188">
        <v>4.6765778725591503</v>
      </c>
      <c r="T188">
        <v>-74.119253279920102</v>
      </c>
      <c r="U188" s="22">
        <v>13537</v>
      </c>
      <c r="V188" s="22">
        <v>14736.666670000001</v>
      </c>
      <c r="W188" s="25">
        <v>10147</v>
      </c>
      <c r="X188" s="24">
        <v>10577</v>
      </c>
      <c r="Y188" s="24">
        <v>137360</v>
      </c>
      <c r="Z188" s="24">
        <v>155864</v>
      </c>
      <c r="AA188" s="24">
        <v>2579</v>
      </c>
      <c r="AB188" s="24">
        <v>11547</v>
      </c>
      <c r="AC188" s="24">
        <v>57796</v>
      </c>
      <c r="AD188" s="24">
        <v>65417</v>
      </c>
      <c r="AE188" s="24">
        <v>15189</v>
      </c>
      <c r="AF188" s="24">
        <v>15335</v>
      </c>
      <c r="AG188" s="17">
        <v>0</v>
      </c>
      <c r="AH188" s="16" t="s">
        <v>136</v>
      </c>
      <c r="AI188" s="16" t="s">
        <v>49</v>
      </c>
      <c r="AJ188" s="16" t="s">
        <v>76</v>
      </c>
      <c r="AK188" s="16" t="s">
        <v>51</v>
      </c>
      <c r="AL188" s="25">
        <v>232000</v>
      </c>
      <c r="AM188" s="43">
        <f t="shared" si="11"/>
        <v>133.57664233576642</v>
      </c>
      <c r="AN188" s="16">
        <v>0</v>
      </c>
      <c r="AO188" s="16" t="s">
        <v>60</v>
      </c>
    </row>
    <row r="189" spans="1:41" ht="14.5" x14ac:dyDescent="0.35">
      <c r="A189" s="27" t="s">
        <v>713</v>
      </c>
      <c r="B189" s="16" t="s">
        <v>119</v>
      </c>
      <c r="C189" s="16" t="s">
        <v>120</v>
      </c>
      <c r="D189" s="16" t="s">
        <v>220</v>
      </c>
      <c r="E189" s="16" t="s">
        <v>221</v>
      </c>
      <c r="F189" s="16">
        <v>4</v>
      </c>
      <c r="G189" s="30" t="s">
        <v>714</v>
      </c>
      <c r="H189" s="16">
        <v>0</v>
      </c>
      <c r="I189" s="16" t="s">
        <v>429</v>
      </c>
      <c r="J189" s="16">
        <v>103.61</v>
      </c>
      <c r="K189" s="16">
        <v>880</v>
      </c>
      <c r="L189" s="16">
        <v>423</v>
      </c>
      <c r="M189" s="8">
        <v>15</v>
      </c>
      <c r="N189" s="21">
        <v>43706</v>
      </c>
      <c r="O189" s="7">
        <f t="shared" si="8"/>
        <v>29</v>
      </c>
      <c r="P189" s="22">
        <f t="shared" si="9"/>
        <v>3</v>
      </c>
      <c r="Q189" s="22">
        <f t="shared" si="10"/>
        <v>31</v>
      </c>
      <c r="R189" s="16">
        <v>85</v>
      </c>
      <c r="S189">
        <v>7.0584480476423401</v>
      </c>
      <c r="T189">
        <v>-73.0876516005452</v>
      </c>
      <c r="U189" s="22">
        <v>16586</v>
      </c>
      <c r="V189" s="22">
        <v>16205.166670000001</v>
      </c>
      <c r="W189" s="25">
        <v>13332</v>
      </c>
      <c r="X189" s="24">
        <v>13191</v>
      </c>
      <c r="Y189" s="24">
        <v>221118</v>
      </c>
      <c r="Z189" s="24">
        <v>213768</v>
      </c>
      <c r="AA189" s="24">
        <v>22407</v>
      </c>
      <c r="AB189" s="24">
        <v>24574</v>
      </c>
      <c r="AC189" s="24">
        <v>83804</v>
      </c>
      <c r="AD189" s="24">
        <v>80303</v>
      </c>
      <c r="AE189" s="24">
        <v>6894</v>
      </c>
      <c r="AF189" s="24">
        <v>6715</v>
      </c>
      <c r="AG189" s="17">
        <v>0</v>
      </c>
      <c r="AH189" s="16" t="s">
        <v>48</v>
      </c>
      <c r="AI189" s="16" t="s">
        <v>49</v>
      </c>
      <c r="AJ189" s="16" t="s">
        <v>76</v>
      </c>
      <c r="AK189" s="16" t="s">
        <v>51</v>
      </c>
      <c r="AL189" s="25">
        <v>241405</v>
      </c>
      <c r="AM189" s="43">
        <f t="shared" si="11"/>
        <v>66.537978959559894</v>
      </c>
      <c r="AN189" s="16" t="s">
        <v>52</v>
      </c>
      <c r="AO189" s="16" t="s">
        <v>53</v>
      </c>
    </row>
    <row r="190" spans="1:41" ht="14.5" x14ac:dyDescent="0.35">
      <c r="A190" s="27" t="s">
        <v>715</v>
      </c>
      <c r="B190" s="16" t="s">
        <v>105</v>
      </c>
      <c r="C190" s="16" t="s">
        <v>157</v>
      </c>
      <c r="D190" s="16" t="s">
        <v>158</v>
      </c>
      <c r="E190" s="16" t="s">
        <v>263</v>
      </c>
      <c r="F190" s="16">
        <v>4</v>
      </c>
      <c r="G190" s="30" t="s">
        <v>716</v>
      </c>
      <c r="H190" s="16" t="s">
        <v>717</v>
      </c>
      <c r="I190" s="16" t="s">
        <v>718</v>
      </c>
      <c r="J190" s="16">
        <v>112.23</v>
      </c>
      <c r="K190" s="16">
        <v>1573</v>
      </c>
      <c r="L190" s="16">
        <v>2855</v>
      </c>
      <c r="M190" s="8">
        <v>103</v>
      </c>
      <c r="N190" s="21">
        <v>45548</v>
      </c>
      <c r="O190" s="7">
        <f t="shared" si="8"/>
        <v>13</v>
      </c>
      <c r="P190" s="22">
        <f t="shared" si="9"/>
        <v>18</v>
      </c>
      <c r="Q190" s="22">
        <f t="shared" si="10"/>
        <v>30</v>
      </c>
      <c r="R190" s="16">
        <v>24</v>
      </c>
      <c r="S190">
        <v>6.2604086555611698</v>
      </c>
      <c r="T190">
        <v>-75.585269693211302</v>
      </c>
      <c r="U190" s="22">
        <v>19674</v>
      </c>
      <c r="V190" s="22">
        <v>17114.333330000001</v>
      </c>
      <c r="W190" s="25">
        <v>13063</v>
      </c>
      <c r="X190" s="24">
        <v>13145</v>
      </c>
      <c r="Y190" s="24">
        <v>256995</v>
      </c>
      <c r="Z190" s="24">
        <v>224975</v>
      </c>
      <c r="AA190" s="24">
        <v>30806</v>
      </c>
      <c r="AB190" s="24">
        <v>19374</v>
      </c>
      <c r="AC190" s="24">
        <v>95276</v>
      </c>
      <c r="AD190" s="24">
        <v>82448</v>
      </c>
      <c r="AE190" s="24">
        <v>10917</v>
      </c>
      <c r="AF190" s="24">
        <v>10693</v>
      </c>
      <c r="AG190" s="17">
        <v>0</v>
      </c>
      <c r="AH190" s="16" t="s">
        <v>58</v>
      </c>
      <c r="AI190" s="16" t="s">
        <v>49</v>
      </c>
      <c r="AJ190" s="16" t="s">
        <v>50</v>
      </c>
      <c r="AK190" s="16" t="s">
        <v>51</v>
      </c>
      <c r="AL190" s="25">
        <v>232000</v>
      </c>
      <c r="AM190" s="43">
        <f t="shared" si="11"/>
        <v>97.273456295108261</v>
      </c>
      <c r="AN190" s="16" t="s">
        <v>719</v>
      </c>
      <c r="AO190" s="16" t="s">
        <v>53</v>
      </c>
    </row>
    <row r="191" spans="1:41" ht="14.5" x14ac:dyDescent="0.35">
      <c r="A191" s="27" t="s">
        <v>720</v>
      </c>
      <c r="B191" s="16" t="s">
        <v>105</v>
      </c>
      <c r="C191" s="16" t="s">
        <v>106</v>
      </c>
      <c r="D191" s="16" t="s">
        <v>107</v>
      </c>
      <c r="E191" s="16" t="s">
        <v>721</v>
      </c>
      <c r="F191" s="16">
        <v>4</v>
      </c>
      <c r="G191" s="30" t="s">
        <v>722</v>
      </c>
      <c r="H191" s="16">
        <v>0</v>
      </c>
      <c r="I191" s="16" t="s">
        <v>718</v>
      </c>
      <c r="J191" s="16">
        <v>71.86</v>
      </c>
      <c r="K191" s="16">
        <v>560</v>
      </c>
      <c r="L191" s="16">
        <v>1475</v>
      </c>
      <c r="M191" s="8">
        <v>49</v>
      </c>
      <c r="N191" s="21">
        <v>45343</v>
      </c>
      <c r="O191" s="7">
        <f t="shared" si="8"/>
        <v>21</v>
      </c>
      <c r="P191" s="22">
        <f t="shared" si="9"/>
        <v>9</v>
      </c>
      <c r="Q191" s="22">
        <f t="shared" si="10"/>
        <v>29</v>
      </c>
      <c r="R191" s="16">
        <v>31</v>
      </c>
      <c r="S191">
        <v>4.8291262642032597</v>
      </c>
      <c r="T191">
        <v>-75.679164474219107</v>
      </c>
      <c r="U191" s="22">
        <v>13982</v>
      </c>
      <c r="V191" s="22">
        <v>13388.666670000001</v>
      </c>
      <c r="W191" s="25">
        <v>13832</v>
      </c>
      <c r="X191" s="24">
        <v>13534</v>
      </c>
      <c r="Y191" s="24">
        <v>193403</v>
      </c>
      <c r="Z191" s="24">
        <v>181201</v>
      </c>
      <c r="AA191" s="24">
        <v>-1231</v>
      </c>
      <c r="AB191" s="24">
        <v>7952</v>
      </c>
      <c r="AC191" s="24">
        <v>68424</v>
      </c>
      <c r="AD191" s="24">
        <v>64974</v>
      </c>
      <c r="AE191" s="24">
        <v>7187</v>
      </c>
      <c r="AF191" s="24">
        <v>7266</v>
      </c>
      <c r="AG191" s="17">
        <v>0</v>
      </c>
      <c r="AH191" s="16" t="s">
        <v>58</v>
      </c>
      <c r="AI191" s="16" t="s">
        <v>49</v>
      </c>
      <c r="AJ191" s="16" t="s">
        <v>124</v>
      </c>
      <c r="AK191" s="16" t="s">
        <v>51</v>
      </c>
      <c r="AL191" s="25">
        <v>204160</v>
      </c>
      <c r="AM191" s="43">
        <f t="shared" si="11"/>
        <v>100.01391594767604</v>
      </c>
      <c r="AN191" s="16" t="s">
        <v>723</v>
      </c>
      <c r="AO191" s="16" t="s">
        <v>53</v>
      </c>
    </row>
    <row r="192" spans="1:41" ht="14.5" x14ac:dyDescent="0.35">
      <c r="A192" s="27" t="s">
        <v>724</v>
      </c>
      <c r="B192" s="16" t="s">
        <v>42</v>
      </c>
      <c r="C192" s="16" t="s">
        <v>43</v>
      </c>
      <c r="D192" s="16" t="s">
        <v>44</v>
      </c>
      <c r="E192" s="16" t="s">
        <v>272</v>
      </c>
      <c r="F192" s="16">
        <v>4</v>
      </c>
      <c r="G192" s="30" t="s">
        <v>725</v>
      </c>
      <c r="H192" s="16" t="s">
        <v>726</v>
      </c>
      <c r="I192" s="16" t="s">
        <v>718</v>
      </c>
      <c r="J192" s="16">
        <v>126.07</v>
      </c>
      <c r="K192" s="16">
        <v>2531</v>
      </c>
      <c r="L192" s="16">
        <v>380</v>
      </c>
      <c r="M192" s="8">
        <v>49</v>
      </c>
      <c r="N192" s="21">
        <v>45742</v>
      </c>
      <c r="O192" s="7">
        <f t="shared" si="8"/>
        <v>26</v>
      </c>
      <c r="P192" s="22">
        <f t="shared" si="9"/>
        <v>6</v>
      </c>
      <c r="Q192" s="22">
        <f t="shared" si="10"/>
        <v>31</v>
      </c>
      <c r="R192" s="16">
        <v>18</v>
      </c>
      <c r="S192">
        <v>4.6878416983373103</v>
      </c>
      <c r="T192">
        <v>-74.074896857266495</v>
      </c>
      <c r="U192" s="22">
        <v>13556</v>
      </c>
      <c r="V192" s="22">
        <v>13542.166670000001</v>
      </c>
      <c r="W192" s="25">
        <v>10471</v>
      </c>
      <c r="X192" s="24">
        <v>10776</v>
      </c>
      <c r="Y192" s="24">
        <v>141946</v>
      </c>
      <c r="Z192" s="24">
        <v>145930</v>
      </c>
      <c r="AA192" s="24">
        <v>3721</v>
      </c>
      <c r="AB192" s="42" t="s">
        <v>727</v>
      </c>
      <c r="AC192" s="24">
        <v>55510</v>
      </c>
      <c r="AD192" s="24">
        <v>54453</v>
      </c>
      <c r="AE192" s="24">
        <v>11561</v>
      </c>
      <c r="AF192" s="24">
        <v>11506</v>
      </c>
      <c r="AG192" s="17">
        <v>1.1523000000000001</v>
      </c>
      <c r="AH192" s="16" t="s">
        <v>58</v>
      </c>
      <c r="AI192" s="16" t="s">
        <v>49</v>
      </c>
      <c r="AJ192" s="16" t="s">
        <v>50</v>
      </c>
      <c r="AK192" s="16" t="s">
        <v>51</v>
      </c>
      <c r="AL192" s="25">
        <v>232000</v>
      </c>
      <c r="AM192" s="43">
        <f t="shared" si="11"/>
        <v>91.703022130562388</v>
      </c>
      <c r="AN192" s="16" t="s">
        <v>370</v>
      </c>
      <c r="AO192" s="16" t="s">
        <v>60</v>
      </c>
    </row>
    <row r="193" spans="1:41" ht="14.5" x14ac:dyDescent="0.35">
      <c r="A193" s="27" t="s">
        <v>728</v>
      </c>
      <c r="B193" s="16" t="s">
        <v>42</v>
      </c>
      <c r="C193" s="16" t="s">
        <v>43</v>
      </c>
      <c r="D193" s="16" t="s">
        <v>44</v>
      </c>
      <c r="E193" s="16" t="s">
        <v>549</v>
      </c>
      <c r="F193" s="16">
        <v>5</v>
      </c>
      <c r="G193" s="30" t="s">
        <v>729</v>
      </c>
      <c r="H193" s="16" t="s">
        <v>730</v>
      </c>
      <c r="I193" s="16" t="s">
        <v>718</v>
      </c>
      <c r="J193" s="16">
        <v>121.06</v>
      </c>
      <c r="K193" s="16">
        <v>1048</v>
      </c>
      <c r="L193" s="16">
        <v>1099</v>
      </c>
      <c r="M193" s="8">
        <v>52</v>
      </c>
      <c r="N193" s="21">
        <v>46071</v>
      </c>
      <c r="O193" s="7">
        <f t="shared" si="8"/>
        <v>18</v>
      </c>
      <c r="P193" s="22">
        <f t="shared" si="9"/>
        <v>11</v>
      </c>
      <c r="Q193" s="22">
        <f t="shared" si="10"/>
        <v>28</v>
      </c>
      <c r="R193" s="16">
        <v>7</v>
      </c>
      <c r="S193">
        <v>4.6519570343941599</v>
      </c>
      <c r="T193">
        <v>-74.056697982641495</v>
      </c>
      <c r="U193" s="22">
        <v>21317</v>
      </c>
      <c r="V193" s="22">
        <v>20406.166669999999</v>
      </c>
      <c r="W193" s="25">
        <v>10517</v>
      </c>
      <c r="X193" s="24">
        <v>10868</v>
      </c>
      <c r="Y193" s="24">
        <v>224200</v>
      </c>
      <c r="Z193" s="24">
        <v>221777</v>
      </c>
      <c r="AA193" s="24">
        <v>19116</v>
      </c>
      <c r="AB193" s="24">
        <v>23047</v>
      </c>
      <c r="AC193" s="24">
        <v>89535</v>
      </c>
      <c r="AD193" s="24">
        <v>88826</v>
      </c>
      <c r="AE193" s="24">
        <v>13000</v>
      </c>
      <c r="AF193" s="24">
        <v>13940</v>
      </c>
      <c r="AG193" s="17">
        <v>1.4944</v>
      </c>
      <c r="AH193" s="16" t="s">
        <v>82</v>
      </c>
      <c r="AI193" s="16" t="s">
        <v>49</v>
      </c>
      <c r="AJ193" s="16" t="s">
        <v>50</v>
      </c>
      <c r="AK193" s="16" t="s">
        <v>65</v>
      </c>
      <c r="AL193" s="25">
        <v>204160</v>
      </c>
      <c r="AM193" s="43">
        <f t="shared" si="11"/>
        <v>107.38476788369404</v>
      </c>
      <c r="AN193" s="16" t="s">
        <v>731</v>
      </c>
      <c r="AO193" s="16" t="s">
        <v>53</v>
      </c>
    </row>
    <row r="194" spans="1:41" ht="14.5" x14ac:dyDescent="0.35">
      <c r="A194" s="27" t="s">
        <v>732</v>
      </c>
      <c r="B194" s="16" t="s">
        <v>105</v>
      </c>
      <c r="C194" s="16" t="s">
        <v>112</v>
      </c>
      <c r="D194" s="16" t="s">
        <v>113</v>
      </c>
      <c r="E194" s="16" t="s">
        <v>114</v>
      </c>
      <c r="F194" s="16">
        <v>4</v>
      </c>
      <c r="G194" s="30" t="s">
        <v>733</v>
      </c>
      <c r="H194" s="16">
        <v>0</v>
      </c>
      <c r="I194" s="16" t="s">
        <v>718</v>
      </c>
      <c r="J194" s="16">
        <v>100.45</v>
      </c>
      <c r="K194" s="16">
        <v>253</v>
      </c>
      <c r="L194" s="16">
        <v>1350</v>
      </c>
      <c r="M194" s="8">
        <v>48</v>
      </c>
      <c r="N194" s="21">
        <v>45257</v>
      </c>
      <c r="O194" s="7">
        <f t="shared" ref="O194:O257" si="12">DAY(N194)</f>
        <v>27</v>
      </c>
      <c r="P194" s="22">
        <f t="shared" ref="P194:P257" si="13">Q194-O194+1</f>
        <v>4</v>
      </c>
      <c r="Q194" s="22">
        <f t="shared" ref="Q194:Q257" si="14">DAY(EOMONTH(N194,0))</f>
        <v>30</v>
      </c>
      <c r="R194" s="16">
        <v>34</v>
      </c>
      <c r="S194">
        <v>3.4171441334765098</v>
      </c>
      <c r="T194">
        <v>-76.539604911332006</v>
      </c>
      <c r="U194" s="22">
        <v>12911</v>
      </c>
      <c r="V194" s="22">
        <v>14743.166670000001</v>
      </c>
      <c r="W194" s="25">
        <v>12352</v>
      </c>
      <c r="X194" s="24">
        <v>11993</v>
      </c>
      <c r="Y194" s="24">
        <v>159478</v>
      </c>
      <c r="Z194" s="24">
        <v>176810</v>
      </c>
      <c r="AA194" s="24">
        <v>-5808</v>
      </c>
      <c r="AB194" s="24">
        <v>4951</v>
      </c>
      <c r="AC194" s="24">
        <v>63568</v>
      </c>
      <c r="AD194" s="24">
        <v>67357</v>
      </c>
      <c r="AE194" s="24">
        <v>8852</v>
      </c>
      <c r="AF194" s="24">
        <v>8945</v>
      </c>
      <c r="AG194" s="17">
        <v>0</v>
      </c>
      <c r="AH194" s="16" t="s">
        <v>82</v>
      </c>
      <c r="AI194" s="16" t="s">
        <v>49</v>
      </c>
      <c r="AJ194" s="16" t="s">
        <v>50</v>
      </c>
      <c r="AK194" s="16" t="s">
        <v>51</v>
      </c>
      <c r="AL194" s="25">
        <v>232000</v>
      </c>
      <c r="AM194" s="43">
        <f t="shared" ref="AM194:AM257" si="15">AE194/J194</f>
        <v>88.123444499751116</v>
      </c>
      <c r="AN194" s="16" t="s">
        <v>370</v>
      </c>
      <c r="AO194" s="16" t="s">
        <v>53</v>
      </c>
    </row>
    <row r="195" spans="1:41" ht="14.5" x14ac:dyDescent="0.35">
      <c r="A195" s="27" t="s">
        <v>734</v>
      </c>
      <c r="B195" s="16" t="s">
        <v>105</v>
      </c>
      <c r="C195" s="16" t="s">
        <v>112</v>
      </c>
      <c r="D195" s="16" t="s">
        <v>113</v>
      </c>
      <c r="E195" s="16" t="s">
        <v>735</v>
      </c>
      <c r="F195" s="16">
        <v>4</v>
      </c>
      <c r="G195" s="30" t="s">
        <v>736</v>
      </c>
      <c r="H195" s="16">
        <v>0</v>
      </c>
      <c r="I195" s="16" t="s">
        <v>718</v>
      </c>
      <c r="J195" s="16">
        <v>111.07</v>
      </c>
      <c r="K195" s="16">
        <v>1075</v>
      </c>
      <c r="L195" s="16">
        <v>654</v>
      </c>
      <c r="M195" s="8">
        <v>65</v>
      </c>
      <c r="N195" s="21">
        <v>45290</v>
      </c>
      <c r="O195" s="7">
        <f t="shared" si="12"/>
        <v>30</v>
      </c>
      <c r="P195" s="22">
        <f t="shared" si="13"/>
        <v>2</v>
      </c>
      <c r="Q195" s="22">
        <f t="shared" si="14"/>
        <v>31</v>
      </c>
      <c r="R195" s="16">
        <v>33</v>
      </c>
      <c r="S195">
        <v>3.3843948079359301</v>
      </c>
      <c r="T195">
        <v>-76.524078970889306</v>
      </c>
      <c r="U195" s="22">
        <v>21126</v>
      </c>
      <c r="V195" s="22">
        <v>19343.5</v>
      </c>
      <c r="W195" s="25">
        <v>14902</v>
      </c>
      <c r="X195" s="24">
        <v>14422</v>
      </c>
      <c r="Y195" s="24">
        <v>314827</v>
      </c>
      <c r="Z195" s="24">
        <v>278977</v>
      </c>
      <c r="AA195" s="24">
        <v>40521</v>
      </c>
      <c r="AB195" s="24">
        <v>29826</v>
      </c>
      <c r="AC195" s="24">
        <v>123449</v>
      </c>
      <c r="AD195" s="24">
        <v>106117</v>
      </c>
      <c r="AE195" s="24">
        <v>11496</v>
      </c>
      <c r="AF195" s="24">
        <v>11612</v>
      </c>
      <c r="AG195" s="17">
        <v>0</v>
      </c>
      <c r="AH195" s="16" t="s">
        <v>82</v>
      </c>
      <c r="AI195" s="16" t="s">
        <v>49</v>
      </c>
      <c r="AJ195" s="16" t="s">
        <v>124</v>
      </c>
      <c r="AK195" s="16" t="s">
        <v>51</v>
      </c>
      <c r="AL195" s="25">
        <v>204160</v>
      </c>
      <c r="AM195" s="43">
        <f t="shared" si="15"/>
        <v>103.5022958494643</v>
      </c>
      <c r="AN195" s="16" t="s">
        <v>598</v>
      </c>
      <c r="AO195" s="16" t="s">
        <v>60</v>
      </c>
    </row>
    <row r="196" spans="1:41" ht="14.5" x14ac:dyDescent="0.35">
      <c r="A196" s="27" t="s">
        <v>737</v>
      </c>
      <c r="B196" s="16" t="s">
        <v>119</v>
      </c>
      <c r="C196" s="16" t="s">
        <v>120</v>
      </c>
      <c r="D196" s="16" t="s">
        <v>738</v>
      </c>
      <c r="E196" s="16" t="s">
        <v>739</v>
      </c>
      <c r="F196" s="16">
        <v>3</v>
      </c>
      <c r="G196" s="30" t="s">
        <v>740</v>
      </c>
      <c r="H196" s="16">
        <v>0</v>
      </c>
      <c r="I196" s="16" t="s">
        <v>429</v>
      </c>
      <c r="J196" s="16">
        <v>126</v>
      </c>
      <c r="K196" s="16">
        <v>507</v>
      </c>
      <c r="L196" s="16">
        <v>175</v>
      </c>
      <c r="M196" s="8">
        <v>62</v>
      </c>
      <c r="N196" s="21">
        <v>45517</v>
      </c>
      <c r="O196" s="7">
        <f t="shared" si="12"/>
        <v>13</v>
      </c>
      <c r="P196" s="22">
        <f t="shared" si="13"/>
        <v>19</v>
      </c>
      <c r="Q196" s="22">
        <f t="shared" si="14"/>
        <v>31</v>
      </c>
      <c r="R196" s="16">
        <v>25</v>
      </c>
      <c r="S196">
        <v>7.0664511790488804</v>
      </c>
      <c r="T196">
        <v>-73.164284750676003</v>
      </c>
      <c r="U196" s="22">
        <v>15389</v>
      </c>
      <c r="V196" s="22">
        <v>15248</v>
      </c>
      <c r="W196" s="25">
        <v>11871</v>
      </c>
      <c r="X196" s="24">
        <v>12191</v>
      </c>
      <c r="Y196" s="24">
        <v>182679</v>
      </c>
      <c r="Z196" s="24">
        <v>185893</v>
      </c>
      <c r="AA196" s="24">
        <v>6274</v>
      </c>
      <c r="AB196" s="24">
        <v>8443</v>
      </c>
      <c r="AC196" s="24">
        <v>65414</v>
      </c>
      <c r="AD196" s="24">
        <v>63463</v>
      </c>
      <c r="AE196" s="24">
        <v>8292</v>
      </c>
      <c r="AF196" s="24">
        <v>8042</v>
      </c>
      <c r="AG196" s="17">
        <v>0</v>
      </c>
      <c r="AH196" s="16" t="s">
        <v>58</v>
      </c>
      <c r="AI196" s="16" t="s">
        <v>49</v>
      </c>
      <c r="AJ196" s="16" t="s">
        <v>50</v>
      </c>
      <c r="AK196" s="16" t="s">
        <v>51</v>
      </c>
      <c r="AL196" s="25">
        <v>232000</v>
      </c>
      <c r="AM196" s="43">
        <f t="shared" si="15"/>
        <v>65.80952380952381</v>
      </c>
      <c r="AN196" s="16" t="s">
        <v>52</v>
      </c>
      <c r="AO196" s="16" t="s">
        <v>53</v>
      </c>
    </row>
    <row r="197" spans="1:41" ht="14.5" x14ac:dyDescent="0.35">
      <c r="A197" s="27" t="s">
        <v>741</v>
      </c>
      <c r="B197" s="16" t="s">
        <v>55</v>
      </c>
      <c r="C197" s="16" t="s">
        <v>43</v>
      </c>
      <c r="D197" s="16" t="s">
        <v>44</v>
      </c>
      <c r="E197" s="16" t="s">
        <v>286</v>
      </c>
      <c r="F197" s="16">
        <v>3</v>
      </c>
      <c r="G197" s="30" t="s">
        <v>742</v>
      </c>
      <c r="H197" s="16">
        <v>0</v>
      </c>
      <c r="I197" s="16" t="s">
        <v>718</v>
      </c>
      <c r="J197" s="16">
        <v>94.83</v>
      </c>
      <c r="K197" s="16">
        <v>1251</v>
      </c>
      <c r="L197" s="16">
        <v>1264</v>
      </c>
      <c r="M197" s="8">
        <v>47</v>
      </c>
      <c r="N197" s="21">
        <v>45073</v>
      </c>
      <c r="O197" s="7">
        <f t="shared" si="12"/>
        <v>27</v>
      </c>
      <c r="P197" s="22">
        <f t="shared" si="13"/>
        <v>5</v>
      </c>
      <c r="Q197" s="22">
        <f t="shared" si="14"/>
        <v>31</v>
      </c>
      <c r="R197" s="16">
        <v>40</v>
      </c>
      <c r="S197">
        <v>4.6106835763384204</v>
      </c>
      <c r="T197">
        <v>-74.141526226173895</v>
      </c>
      <c r="U197" s="22">
        <v>17112</v>
      </c>
      <c r="V197" s="22">
        <v>16656.833330000001</v>
      </c>
      <c r="W197" s="25">
        <v>12191</v>
      </c>
      <c r="X197" s="24">
        <v>12296</v>
      </c>
      <c r="Y197" s="24">
        <v>208607</v>
      </c>
      <c r="Z197" s="24">
        <v>204812</v>
      </c>
      <c r="AA197" s="24">
        <v>21820</v>
      </c>
      <c r="AB197" s="24">
        <v>18599</v>
      </c>
      <c r="AC197" s="24">
        <v>73751</v>
      </c>
      <c r="AD197" s="24">
        <v>71057</v>
      </c>
      <c r="AE197" s="24">
        <v>7854</v>
      </c>
      <c r="AF197" s="24">
        <v>7854</v>
      </c>
      <c r="AG197" s="17">
        <v>0</v>
      </c>
      <c r="AH197" s="16" t="s">
        <v>58</v>
      </c>
      <c r="AI197" s="16" t="s">
        <v>49</v>
      </c>
      <c r="AJ197" s="16" t="s">
        <v>50</v>
      </c>
      <c r="AK197" s="16" t="s">
        <v>51</v>
      </c>
      <c r="AL197" s="25">
        <v>232000</v>
      </c>
      <c r="AM197" s="43">
        <f t="shared" si="15"/>
        <v>82.821891806390383</v>
      </c>
      <c r="AN197" s="16" t="s">
        <v>678</v>
      </c>
      <c r="AO197" s="16" t="s">
        <v>60</v>
      </c>
    </row>
    <row r="198" spans="1:41" ht="14.5" x14ac:dyDescent="0.35">
      <c r="A198" s="27" t="s">
        <v>743</v>
      </c>
      <c r="B198" s="26" t="s">
        <v>42</v>
      </c>
      <c r="C198" s="16" t="s">
        <v>93</v>
      </c>
      <c r="D198" s="16" t="s">
        <v>744</v>
      </c>
      <c r="E198" s="16" t="s">
        <v>745</v>
      </c>
      <c r="F198" s="16">
        <v>3</v>
      </c>
      <c r="G198" s="30" t="s">
        <v>746</v>
      </c>
      <c r="H198" s="16">
        <v>0</v>
      </c>
      <c r="I198" s="16" t="s">
        <v>718</v>
      </c>
      <c r="J198" s="16">
        <v>123.91</v>
      </c>
      <c r="K198" s="16">
        <v>200</v>
      </c>
      <c r="L198" s="16">
        <v>2900</v>
      </c>
      <c r="M198" s="8">
        <v>41</v>
      </c>
      <c r="N198" s="21">
        <v>45471</v>
      </c>
      <c r="O198" s="7">
        <f t="shared" si="12"/>
        <v>28</v>
      </c>
      <c r="P198" s="22">
        <f t="shared" si="13"/>
        <v>3</v>
      </c>
      <c r="Q198" s="22">
        <f t="shared" si="14"/>
        <v>30</v>
      </c>
      <c r="R198" s="16">
        <v>27</v>
      </c>
      <c r="S198">
        <v>5.0232811744667902</v>
      </c>
      <c r="T198">
        <v>-74.001288348574406</v>
      </c>
      <c r="U198" s="22">
        <v>20362</v>
      </c>
      <c r="V198" s="22">
        <v>20766.166669999999</v>
      </c>
      <c r="W198" s="25">
        <v>10467</v>
      </c>
      <c r="X198" s="24">
        <v>10351</v>
      </c>
      <c r="Y198" s="24">
        <v>213131</v>
      </c>
      <c r="Z198" s="24">
        <v>214956</v>
      </c>
      <c r="AA198" s="24">
        <v>22680</v>
      </c>
      <c r="AB198" s="24">
        <v>23906</v>
      </c>
      <c r="AC198" s="24">
        <v>81969</v>
      </c>
      <c r="AD198" s="24">
        <v>82384</v>
      </c>
      <c r="AE198" s="24">
        <v>9619</v>
      </c>
      <c r="AF198" s="24">
        <v>9474</v>
      </c>
      <c r="AG198" s="17">
        <v>0</v>
      </c>
      <c r="AH198" s="16" t="s">
        <v>82</v>
      </c>
      <c r="AI198" s="16" t="s">
        <v>49</v>
      </c>
      <c r="AJ198" s="16" t="s">
        <v>124</v>
      </c>
      <c r="AK198" s="16" t="s">
        <v>51</v>
      </c>
      <c r="AL198" s="25">
        <v>204160</v>
      </c>
      <c r="AM198" s="43">
        <f t="shared" si="15"/>
        <v>77.628924219191347</v>
      </c>
      <c r="AN198" s="16" t="s">
        <v>747</v>
      </c>
      <c r="AO198" s="16" t="s">
        <v>53</v>
      </c>
    </row>
    <row r="199" spans="1:41" ht="14.5" x14ac:dyDescent="0.35">
      <c r="A199" s="27" t="s">
        <v>748</v>
      </c>
      <c r="B199" s="16" t="s">
        <v>42</v>
      </c>
      <c r="C199" s="16" t="s">
        <v>93</v>
      </c>
      <c r="D199" s="16" t="s">
        <v>749</v>
      </c>
      <c r="E199" s="16" t="s">
        <v>750</v>
      </c>
      <c r="F199" s="16">
        <v>6</v>
      </c>
      <c r="G199" s="30" t="s">
        <v>751</v>
      </c>
      <c r="H199" s="16">
        <v>0</v>
      </c>
      <c r="I199" s="16" t="s">
        <v>429</v>
      </c>
      <c r="J199" s="16">
        <v>117.67</v>
      </c>
      <c r="K199" s="16">
        <v>1210</v>
      </c>
      <c r="L199" s="16">
        <v>395</v>
      </c>
      <c r="M199" s="8">
        <v>0</v>
      </c>
      <c r="N199" s="21">
        <v>45138</v>
      </c>
      <c r="O199" s="7">
        <f t="shared" si="12"/>
        <v>31</v>
      </c>
      <c r="P199" s="22">
        <f t="shared" si="13"/>
        <v>1</v>
      </c>
      <c r="Q199" s="22">
        <f t="shared" si="14"/>
        <v>31</v>
      </c>
      <c r="R199" s="16">
        <v>38</v>
      </c>
      <c r="S199">
        <v>4.8023748969828803</v>
      </c>
      <c r="T199">
        <v>-74.096828315329006</v>
      </c>
      <c r="U199" s="22">
        <v>17109</v>
      </c>
      <c r="V199" s="22">
        <v>16767</v>
      </c>
      <c r="W199" s="25">
        <v>15895</v>
      </c>
      <c r="X199" s="24">
        <v>15917</v>
      </c>
      <c r="Y199" s="24">
        <v>271953</v>
      </c>
      <c r="Z199" s="24">
        <v>266874</v>
      </c>
      <c r="AA199" s="24">
        <v>38563</v>
      </c>
      <c r="AB199" s="24">
        <v>36704</v>
      </c>
      <c r="AC199" s="24">
        <v>102179</v>
      </c>
      <c r="AD199" s="24">
        <v>98712</v>
      </c>
      <c r="AE199" s="24">
        <v>8845</v>
      </c>
      <c r="AF199" s="24">
        <v>8656</v>
      </c>
      <c r="AG199" s="17">
        <v>0</v>
      </c>
      <c r="AH199" s="16" t="s">
        <v>217</v>
      </c>
      <c r="AI199" s="16" t="s">
        <v>49</v>
      </c>
      <c r="AJ199" s="16" t="s">
        <v>50</v>
      </c>
      <c r="AK199" s="16" t="s">
        <v>51</v>
      </c>
      <c r="AL199" s="25">
        <v>232000</v>
      </c>
      <c r="AM199" s="43">
        <f t="shared" si="15"/>
        <v>75.167842270757205</v>
      </c>
      <c r="AN199" s="16" t="s">
        <v>52</v>
      </c>
      <c r="AO199" s="16" t="s">
        <v>53</v>
      </c>
    </row>
    <row r="200" spans="1:41" ht="14.5" x14ac:dyDescent="0.35">
      <c r="A200" s="32" t="s">
        <v>752</v>
      </c>
      <c r="B200" s="32" t="s">
        <v>183</v>
      </c>
      <c r="C200" s="32" t="s">
        <v>490</v>
      </c>
      <c r="D200" s="32" t="s">
        <v>491</v>
      </c>
      <c r="E200" s="32"/>
      <c r="F200" s="33">
        <v>3</v>
      </c>
      <c r="G200" s="30" t="s">
        <v>753</v>
      </c>
      <c r="H200" s="32" t="s">
        <v>64</v>
      </c>
      <c r="I200" s="32" t="s">
        <v>718</v>
      </c>
      <c r="J200" s="34">
        <v>103.55</v>
      </c>
      <c r="K200" s="33">
        <v>614</v>
      </c>
      <c r="L200" s="33">
        <v>750</v>
      </c>
      <c r="M200" s="8">
        <v>45</v>
      </c>
      <c r="N200" s="35">
        <v>46295</v>
      </c>
      <c r="O200" s="7">
        <f t="shared" si="12"/>
        <v>30</v>
      </c>
      <c r="P200" s="22">
        <f t="shared" si="13"/>
        <v>1</v>
      </c>
      <c r="Q200" s="22">
        <f t="shared" si="14"/>
        <v>30</v>
      </c>
      <c r="R200" s="16">
        <v>0</v>
      </c>
      <c r="S200" s="36">
        <v>10.404325</v>
      </c>
      <c r="T200" s="36">
        <v>-75.522706999999997</v>
      </c>
      <c r="U200" s="22">
        <v>0</v>
      </c>
      <c r="V200" s="22">
        <v>0</v>
      </c>
      <c r="W200" s="25">
        <v>0</v>
      </c>
      <c r="X200" s="24">
        <v>0</v>
      </c>
      <c r="Y200" s="24">
        <v>0</v>
      </c>
      <c r="Z200" s="24">
        <v>0</v>
      </c>
      <c r="AA200" s="24">
        <v>0</v>
      </c>
      <c r="AB200" s="24">
        <v>0</v>
      </c>
      <c r="AC200" s="24">
        <v>0</v>
      </c>
      <c r="AD200" s="24">
        <v>0</v>
      </c>
      <c r="AE200" s="24">
        <v>0</v>
      </c>
      <c r="AF200" s="24">
        <v>0</v>
      </c>
      <c r="AG200" s="16">
        <v>0</v>
      </c>
      <c r="AH200" s="16" t="s">
        <v>64</v>
      </c>
      <c r="AI200" s="31" t="s">
        <v>49</v>
      </c>
      <c r="AJ200" s="31" t="s">
        <v>50</v>
      </c>
      <c r="AK200" s="31" t="s">
        <v>65</v>
      </c>
      <c r="AL200" s="37">
        <v>232000</v>
      </c>
      <c r="AM200" s="43">
        <f t="shared" si="15"/>
        <v>0</v>
      </c>
      <c r="AN200" s="16" t="s">
        <v>754</v>
      </c>
      <c r="AO200" s="16" t="s">
        <v>60</v>
      </c>
    </row>
    <row r="201" spans="1:41" ht="14.5" x14ac:dyDescent="0.35">
      <c r="A201" s="27" t="s">
        <v>755</v>
      </c>
      <c r="B201" s="16" t="s">
        <v>55</v>
      </c>
      <c r="C201" s="16" t="s">
        <v>43</v>
      </c>
      <c r="D201" s="16" t="s">
        <v>44</v>
      </c>
      <c r="E201" s="16" t="s">
        <v>372</v>
      </c>
      <c r="F201" s="16">
        <v>3</v>
      </c>
      <c r="G201" s="30" t="s">
        <v>756</v>
      </c>
      <c r="H201" s="16">
        <v>0</v>
      </c>
      <c r="I201" s="16" t="s">
        <v>718</v>
      </c>
      <c r="J201" s="16">
        <v>115.42</v>
      </c>
      <c r="K201" s="16">
        <v>1927</v>
      </c>
      <c r="L201" s="16">
        <v>1000</v>
      </c>
      <c r="M201" s="8">
        <v>25</v>
      </c>
      <c r="N201" s="21">
        <v>45226</v>
      </c>
      <c r="O201" s="7">
        <f t="shared" si="12"/>
        <v>27</v>
      </c>
      <c r="P201" s="22">
        <f t="shared" si="13"/>
        <v>5</v>
      </c>
      <c r="Q201" s="22">
        <f t="shared" si="14"/>
        <v>31</v>
      </c>
      <c r="R201" s="16">
        <v>35</v>
      </c>
      <c r="S201">
        <v>4.6775962116443397</v>
      </c>
      <c r="T201">
        <v>-74.1500434141971</v>
      </c>
      <c r="U201" s="22">
        <v>21479</v>
      </c>
      <c r="V201" s="22">
        <v>20928.666669999999</v>
      </c>
      <c r="W201" s="25">
        <v>13319</v>
      </c>
      <c r="X201" s="24">
        <v>13497</v>
      </c>
      <c r="Y201" s="24">
        <v>286073</v>
      </c>
      <c r="Z201" s="24">
        <v>282475</v>
      </c>
      <c r="AA201" s="24">
        <v>32848</v>
      </c>
      <c r="AB201" s="24">
        <v>33757</v>
      </c>
      <c r="AC201" s="24">
        <v>94862</v>
      </c>
      <c r="AD201" s="24">
        <v>91028</v>
      </c>
      <c r="AE201" s="24">
        <v>8622</v>
      </c>
      <c r="AF201" s="24">
        <v>8714</v>
      </c>
      <c r="AG201" s="17">
        <v>0</v>
      </c>
      <c r="AH201" s="16" t="s">
        <v>217</v>
      </c>
      <c r="AI201" s="16" t="s">
        <v>49</v>
      </c>
      <c r="AJ201" s="16" t="s">
        <v>124</v>
      </c>
      <c r="AK201" s="16" t="s">
        <v>51</v>
      </c>
      <c r="AL201" s="25">
        <v>204160</v>
      </c>
      <c r="AM201" s="43">
        <f t="shared" si="15"/>
        <v>74.701091665222663</v>
      </c>
      <c r="AN201" s="16" t="s">
        <v>370</v>
      </c>
      <c r="AO201" s="16" t="s">
        <v>60</v>
      </c>
    </row>
    <row r="202" spans="1:41" ht="14.5" x14ac:dyDescent="0.35">
      <c r="A202" s="27" t="s">
        <v>757</v>
      </c>
      <c r="B202" s="16" t="s">
        <v>42</v>
      </c>
      <c r="C202" s="16" t="s">
        <v>93</v>
      </c>
      <c r="D202" s="16" t="s">
        <v>749</v>
      </c>
      <c r="E202" s="16" t="s">
        <v>750</v>
      </c>
      <c r="F202" s="16">
        <v>3</v>
      </c>
      <c r="G202" s="30" t="s">
        <v>758</v>
      </c>
      <c r="H202" s="16">
        <v>0</v>
      </c>
      <c r="I202" s="16" t="s">
        <v>429</v>
      </c>
      <c r="J202" s="16">
        <v>80.42</v>
      </c>
      <c r="K202" s="16">
        <v>898</v>
      </c>
      <c r="L202" s="16">
        <v>532</v>
      </c>
      <c r="M202" s="8">
        <v>92</v>
      </c>
      <c r="N202" s="21">
        <v>45373</v>
      </c>
      <c r="O202" s="7">
        <f t="shared" si="12"/>
        <v>22</v>
      </c>
      <c r="P202" s="22">
        <f t="shared" si="13"/>
        <v>10</v>
      </c>
      <c r="Q202" s="22">
        <f t="shared" si="14"/>
        <v>31</v>
      </c>
      <c r="R202" s="16">
        <v>30</v>
      </c>
      <c r="S202">
        <v>4.7995931702684498</v>
      </c>
      <c r="T202">
        <v>-74.110061489118607</v>
      </c>
      <c r="U202" s="22">
        <v>18374</v>
      </c>
      <c r="V202" s="22">
        <v>18366.166669999999</v>
      </c>
      <c r="W202" s="25">
        <v>14899</v>
      </c>
      <c r="X202" s="24">
        <v>14857</v>
      </c>
      <c r="Y202" s="24">
        <v>273746</v>
      </c>
      <c r="Z202" s="24">
        <v>272872</v>
      </c>
      <c r="AA202" s="24">
        <v>50839</v>
      </c>
      <c r="AB202" s="24">
        <v>45445</v>
      </c>
      <c r="AC202" s="24">
        <v>113223</v>
      </c>
      <c r="AD202" s="24">
        <v>109445</v>
      </c>
      <c r="AE202" s="24">
        <v>8514</v>
      </c>
      <c r="AF202" s="24">
        <v>8604</v>
      </c>
      <c r="AG202" s="17">
        <v>0</v>
      </c>
      <c r="AH202" s="16" t="s">
        <v>217</v>
      </c>
      <c r="AI202" s="16" t="s">
        <v>49</v>
      </c>
      <c r="AJ202" s="16" t="s">
        <v>124</v>
      </c>
      <c r="AK202" s="16" t="s">
        <v>51</v>
      </c>
      <c r="AL202" s="25">
        <v>204160</v>
      </c>
      <c r="AM202" s="43">
        <f t="shared" si="15"/>
        <v>105.86918676946033</v>
      </c>
      <c r="AN202" s="16" t="s">
        <v>759</v>
      </c>
      <c r="AO202" s="16" t="s">
        <v>60</v>
      </c>
    </row>
    <row r="203" spans="1:41" ht="14.5" x14ac:dyDescent="0.35">
      <c r="A203" s="27" t="s">
        <v>760</v>
      </c>
      <c r="B203" s="16" t="s">
        <v>42</v>
      </c>
      <c r="C203" s="16" t="s">
        <v>93</v>
      </c>
      <c r="D203" s="16" t="s">
        <v>761</v>
      </c>
      <c r="E203" s="16" t="s">
        <v>762</v>
      </c>
      <c r="F203" s="16">
        <v>4</v>
      </c>
      <c r="G203" s="30" t="s">
        <v>763</v>
      </c>
      <c r="H203" s="16">
        <v>0</v>
      </c>
      <c r="I203" s="16" t="s">
        <v>429</v>
      </c>
      <c r="J203" s="16">
        <v>86.87</v>
      </c>
      <c r="K203" s="16">
        <v>380</v>
      </c>
      <c r="L203" s="16">
        <v>2418</v>
      </c>
      <c r="M203" s="8">
        <v>20</v>
      </c>
      <c r="N203" s="21">
        <v>45260</v>
      </c>
      <c r="O203" s="7">
        <f t="shared" si="12"/>
        <v>30</v>
      </c>
      <c r="P203" s="22">
        <f t="shared" si="13"/>
        <v>1</v>
      </c>
      <c r="Q203" s="22">
        <f t="shared" si="14"/>
        <v>30</v>
      </c>
      <c r="R203" s="16">
        <v>34</v>
      </c>
      <c r="S203">
        <v>4.8227743211725498</v>
      </c>
      <c r="T203">
        <v>-74.132402361663793</v>
      </c>
      <c r="U203" s="22">
        <v>10982</v>
      </c>
      <c r="V203" s="22">
        <v>11095.166670000001</v>
      </c>
      <c r="W203" s="25">
        <v>17009</v>
      </c>
      <c r="X203" s="24">
        <v>16614</v>
      </c>
      <c r="Y203" s="24">
        <v>186788</v>
      </c>
      <c r="Z203" s="24">
        <v>184339</v>
      </c>
      <c r="AA203" s="24">
        <v>20958</v>
      </c>
      <c r="AB203" s="24">
        <v>22532</v>
      </c>
      <c r="AC203" s="24">
        <v>74525</v>
      </c>
      <c r="AD203" s="24">
        <v>73566</v>
      </c>
      <c r="AE203" s="24">
        <v>7364</v>
      </c>
      <c r="AF203" s="24">
        <v>7445</v>
      </c>
      <c r="AG203" s="17">
        <v>0</v>
      </c>
      <c r="AH203" s="16" t="s">
        <v>217</v>
      </c>
      <c r="AI203" s="16" t="s">
        <v>49</v>
      </c>
      <c r="AJ203" s="16" t="s">
        <v>50</v>
      </c>
      <c r="AK203" s="16" t="s">
        <v>51</v>
      </c>
      <c r="AL203" s="25">
        <v>232000</v>
      </c>
      <c r="AM203" s="43">
        <f t="shared" si="15"/>
        <v>84.770346494762279</v>
      </c>
      <c r="AN203" s="16" t="s">
        <v>764</v>
      </c>
      <c r="AO203" s="16" t="s">
        <v>60</v>
      </c>
    </row>
    <row r="204" spans="1:41" ht="14.5" x14ac:dyDescent="0.35">
      <c r="A204" s="27" t="s">
        <v>765</v>
      </c>
      <c r="B204" s="16" t="s">
        <v>105</v>
      </c>
      <c r="C204" s="16" t="s">
        <v>112</v>
      </c>
      <c r="D204" s="16" t="s">
        <v>113</v>
      </c>
      <c r="E204" s="16" t="s">
        <v>114</v>
      </c>
      <c r="F204" s="16">
        <v>4</v>
      </c>
      <c r="G204" s="30" t="s">
        <v>766</v>
      </c>
      <c r="H204" s="16">
        <v>0</v>
      </c>
      <c r="I204" s="16" t="s">
        <v>718</v>
      </c>
      <c r="J204" s="16">
        <v>135</v>
      </c>
      <c r="K204" s="16">
        <v>940</v>
      </c>
      <c r="L204" s="16">
        <v>210</v>
      </c>
      <c r="M204" s="8">
        <v>63</v>
      </c>
      <c r="N204" s="21">
        <v>45169</v>
      </c>
      <c r="O204" s="7">
        <f t="shared" si="12"/>
        <v>31</v>
      </c>
      <c r="P204" s="22">
        <f t="shared" si="13"/>
        <v>1</v>
      </c>
      <c r="Q204" s="22">
        <f t="shared" si="14"/>
        <v>31</v>
      </c>
      <c r="R204" s="16">
        <v>37</v>
      </c>
      <c r="S204">
        <v>3.4199848366048098</v>
      </c>
      <c r="T204">
        <v>-76.548581669781896</v>
      </c>
      <c r="U204" s="22">
        <v>15797</v>
      </c>
      <c r="V204" s="22">
        <v>16612.666669999999</v>
      </c>
      <c r="W204" s="25">
        <v>12425</v>
      </c>
      <c r="X204" s="24">
        <v>11981</v>
      </c>
      <c r="Y204" s="24">
        <v>196282</v>
      </c>
      <c r="Z204" s="24">
        <v>199042</v>
      </c>
      <c r="AA204" s="24">
        <v>-7254</v>
      </c>
      <c r="AB204" s="24">
        <v>7662</v>
      </c>
      <c r="AC204" s="24">
        <v>74096</v>
      </c>
      <c r="AD204" s="24">
        <v>76828</v>
      </c>
      <c r="AE204" s="24">
        <v>9666</v>
      </c>
      <c r="AF204" s="24">
        <v>9445</v>
      </c>
      <c r="AG204" s="17">
        <v>0</v>
      </c>
      <c r="AH204" s="16" t="s">
        <v>48</v>
      </c>
      <c r="AI204" s="16" t="s">
        <v>49</v>
      </c>
      <c r="AJ204" s="16" t="s">
        <v>76</v>
      </c>
      <c r="AK204" s="16" t="s">
        <v>51</v>
      </c>
      <c r="AL204" s="25">
        <v>241405</v>
      </c>
      <c r="AM204" s="43">
        <f t="shared" si="15"/>
        <v>71.599999999999994</v>
      </c>
      <c r="AN204" s="16">
        <v>0</v>
      </c>
      <c r="AO204" s="16" t="s">
        <v>60</v>
      </c>
    </row>
    <row r="205" spans="1:41" ht="14.5" x14ac:dyDescent="0.35">
      <c r="A205" s="27" t="s">
        <v>767</v>
      </c>
      <c r="B205" s="16" t="s">
        <v>183</v>
      </c>
      <c r="C205" s="16" t="s">
        <v>184</v>
      </c>
      <c r="D205" s="16" t="s">
        <v>185</v>
      </c>
      <c r="E205" s="16" t="s">
        <v>768</v>
      </c>
      <c r="F205" s="16">
        <v>4</v>
      </c>
      <c r="G205" s="30" t="s">
        <v>769</v>
      </c>
      <c r="H205" s="16">
        <v>0</v>
      </c>
      <c r="I205" s="16" t="s">
        <v>718</v>
      </c>
      <c r="J205" s="16">
        <v>55.61</v>
      </c>
      <c r="K205" s="16">
        <v>347</v>
      </c>
      <c r="L205" s="16">
        <v>5280</v>
      </c>
      <c r="M205" s="8">
        <v>74</v>
      </c>
      <c r="N205" s="21">
        <v>45373</v>
      </c>
      <c r="O205" s="7">
        <f t="shared" si="12"/>
        <v>22</v>
      </c>
      <c r="P205" s="22">
        <f t="shared" si="13"/>
        <v>10</v>
      </c>
      <c r="Q205" s="22">
        <f t="shared" si="14"/>
        <v>31</v>
      </c>
      <c r="R205" s="16">
        <v>30</v>
      </c>
      <c r="S205">
        <v>10.945511577606201</v>
      </c>
      <c r="T205">
        <v>-74.784142333401206</v>
      </c>
      <c r="U205" s="22">
        <v>18614</v>
      </c>
      <c r="V205" s="22">
        <v>17723.666669999999</v>
      </c>
      <c r="W205" s="25">
        <v>11608</v>
      </c>
      <c r="X205" s="24">
        <v>11568</v>
      </c>
      <c r="Y205" s="24">
        <v>216079</v>
      </c>
      <c r="Z205" s="24">
        <v>205027</v>
      </c>
      <c r="AA205" s="24">
        <v>19255</v>
      </c>
      <c r="AB205" s="24">
        <v>17590</v>
      </c>
      <c r="AC205" s="24">
        <v>82421</v>
      </c>
      <c r="AD205" s="24">
        <v>76974</v>
      </c>
      <c r="AE205" s="24">
        <v>6634</v>
      </c>
      <c r="AF205" s="24">
        <v>6709</v>
      </c>
      <c r="AG205" s="17">
        <v>0</v>
      </c>
      <c r="AH205" s="16" t="s">
        <v>217</v>
      </c>
      <c r="AI205" s="16" t="s">
        <v>49</v>
      </c>
      <c r="AJ205" s="16" t="s">
        <v>50</v>
      </c>
      <c r="AK205" s="16" t="s">
        <v>51</v>
      </c>
      <c r="AL205" s="25">
        <v>232000</v>
      </c>
      <c r="AM205" s="43">
        <f t="shared" si="15"/>
        <v>119.29509081100521</v>
      </c>
      <c r="AN205" s="16" t="s">
        <v>759</v>
      </c>
      <c r="AO205" s="16" t="s">
        <v>53</v>
      </c>
    </row>
    <row r="206" spans="1:41" ht="14.5" x14ac:dyDescent="0.35">
      <c r="A206" s="27" t="s">
        <v>770</v>
      </c>
      <c r="B206" s="16" t="s">
        <v>183</v>
      </c>
      <c r="C206" s="16" t="s">
        <v>184</v>
      </c>
      <c r="D206" s="16" t="s">
        <v>771</v>
      </c>
      <c r="E206" s="16" t="s">
        <v>772</v>
      </c>
      <c r="F206" s="16">
        <v>3</v>
      </c>
      <c r="G206" s="30" t="s">
        <v>773</v>
      </c>
      <c r="H206" s="16" t="s">
        <v>774</v>
      </c>
      <c r="I206" s="16" t="s">
        <v>718</v>
      </c>
      <c r="J206" s="16">
        <v>162.19999999999999</v>
      </c>
      <c r="K206" s="16">
        <v>0</v>
      </c>
      <c r="L206" s="16">
        <v>20</v>
      </c>
      <c r="M206" s="8">
        <v>148</v>
      </c>
      <c r="N206" s="21">
        <v>45531</v>
      </c>
      <c r="O206" s="7">
        <f t="shared" si="12"/>
        <v>27</v>
      </c>
      <c r="P206" s="22">
        <f t="shared" si="13"/>
        <v>5</v>
      </c>
      <c r="Q206" s="22">
        <f t="shared" si="14"/>
        <v>31</v>
      </c>
      <c r="R206" s="16">
        <v>25</v>
      </c>
      <c r="S206">
        <v>10.9308880180781</v>
      </c>
      <c r="T206">
        <v>-74.784135004842994</v>
      </c>
      <c r="U206" s="22">
        <v>14596</v>
      </c>
      <c r="V206" s="22">
        <v>13777.5</v>
      </c>
      <c r="W206" s="25">
        <v>15055</v>
      </c>
      <c r="X206" s="24">
        <v>14036</v>
      </c>
      <c r="Y206" s="24">
        <v>219742</v>
      </c>
      <c r="Z206" s="24">
        <v>193385</v>
      </c>
      <c r="AA206" s="24">
        <v>10497</v>
      </c>
      <c r="AB206" s="24">
        <v>8231</v>
      </c>
      <c r="AC206" s="24">
        <v>76858</v>
      </c>
      <c r="AD206" s="24">
        <v>66471</v>
      </c>
      <c r="AE206" s="24">
        <v>5528</v>
      </c>
      <c r="AF206" s="24">
        <v>5377</v>
      </c>
      <c r="AG206" s="17">
        <v>0</v>
      </c>
      <c r="AH206" s="16" t="s">
        <v>217</v>
      </c>
      <c r="AI206" s="16" t="s">
        <v>49</v>
      </c>
      <c r="AJ206" s="16" t="s">
        <v>124</v>
      </c>
      <c r="AK206" s="16" t="s">
        <v>51</v>
      </c>
      <c r="AL206" s="25">
        <v>204160</v>
      </c>
      <c r="AM206" s="43">
        <f t="shared" si="15"/>
        <v>34.081381011097413</v>
      </c>
      <c r="AN206" s="16" t="s">
        <v>759</v>
      </c>
      <c r="AO206" s="16" t="s">
        <v>60</v>
      </c>
    </row>
    <row r="207" spans="1:41" ht="14.5" x14ac:dyDescent="0.35">
      <c r="A207" s="27" t="s">
        <v>775</v>
      </c>
      <c r="B207" s="16" t="s">
        <v>55</v>
      </c>
      <c r="C207" s="16" t="s">
        <v>93</v>
      </c>
      <c r="D207" s="16" t="s">
        <v>776</v>
      </c>
      <c r="E207" s="16" t="s">
        <v>777</v>
      </c>
      <c r="F207" s="16">
        <v>3</v>
      </c>
      <c r="G207" s="30" t="s">
        <v>778</v>
      </c>
      <c r="H207" s="16">
        <v>0</v>
      </c>
      <c r="I207" s="16" t="s">
        <v>718</v>
      </c>
      <c r="J207" s="16">
        <v>159.84</v>
      </c>
      <c r="K207" s="16">
        <v>980</v>
      </c>
      <c r="L207" s="16">
        <v>892</v>
      </c>
      <c r="M207" s="8">
        <v>44</v>
      </c>
      <c r="N207" s="21">
        <v>45168</v>
      </c>
      <c r="O207" s="7">
        <f t="shared" si="12"/>
        <v>30</v>
      </c>
      <c r="P207" s="22">
        <f t="shared" si="13"/>
        <v>2</v>
      </c>
      <c r="Q207" s="22">
        <f t="shared" si="14"/>
        <v>31</v>
      </c>
      <c r="R207" s="16">
        <v>37</v>
      </c>
      <c r="S207">
        <v>4.5709075533343198</v>
      </c>
      <c r="T207">
        <v>-74.226731939994295</v>
      </c>
      <c r="U207" s="22">
        <v>20426</v>
      </c>
      <c r="V207" s="22">
        <v>19661.333330000001</v>
      </c>
      <c r="W207" s="25">
        <v>16135</v>
      </c>
      <c r="X207" s="24">
        <v>15852</v>
      </c>
      <c r="Y207" s="24">
        <v>329577</v>
      </c>
      <c r="Z207" s="24">
        <v>311663</v>
      </c>
      <c r="AA207" s="24">
        <v>52078</v>
      </c>
      <c r="AB207" s="24">
        <v>47639</v>
      </c>
      <c r="AC207" s="24">
        <v>123080</v>
      </c>
      <c r="AD207" s="24">
        <v>114211</v>
      </c>
      <c r="AE207" s="24">
        <v>8699</v>
      </c>
      <c r="AF207" s="24">
        <v>8485</v>
      </c>
      <c r="AG207" s="17">
        <v>0</v>
      </c>
      <c r="AH207" s="16" t="s">
        <v>58</v>
      </c>
      <c r="AI207" s="16" t="s">
        <v>49</v>
      </c>
      <c r="AJ207" s="16" t="s">
        <v>50</v>
      </c>
      <c r="AK207" s="16" t="s">
        <v>51</v>
      </c>
      <c r="AL207" s="25">
        <v>232000</v>
      </c>
      <c r="AM207" s="43">
        <f t="shared" si="15"/>
        <v>54.423173173173168</v>
      </c>
      <c r="AN207" s="16">
        <v>0</v>
      </c>
      <c r="AO207" s="16" t="s">
        <v>60</v>
      </c>
    </row>
    <row r="208" spans="1:41" ht="14.5" x14ac:dyDescent="0.35">
      <c r="A208" s="27" t="s">
        <v>779</v>
      </c>
      <c r="B208" s="16" t="s">
        <v>42</v>
      </c>
      <c r="C208" s="16" t="s">
        <v>93</v>
      </c>
      <c r="D208" s="16" t="s">
        <v>780</v>
      </c>
      <c r="E208" s="16" t="s">
        <v>781</v>
      </c>
      <c r="F208" s="16">
        <v>3</v>
      </c>
      <c r="G208" s="30" t="s">
        <v>782</v>
      </c>
      <c r="H208" s="16">
        <v>0</v>
      </c>
      <c r="I208" s="16" t="s">
        <v>429</v>
      </c>
      <c r="J208" s="16">
        <v>70.900000000000006</v>
      </c>
      <c r="K208" s="16">
        <v>0</v>
      </c>
      <c r="L208" s="16">
        <v>3191</v>
      </c>
      <c r="M208" s="8">
        <v>62</v>
      </c>
      <c r="N208" s="21">
        <v>45371</v>
      </c>
      <c r="O208" s="7">
        <f t="shared" si="12"/>
        <v>20</v>
      </c>
      <c r="P208" s="22">
        <f t="shared" si="13"/>
        <v>12</v>
      </c>
      <c r="Q208" s="22">
        <f t="shared" si="14"/>
        <v>31</v>
      </c>
      <c r="R208" s="16">
        <v>30</v>
      </c>
      <c r="S208">
        <v>5.0124269618986297</v>
      </c>
      <c r="T208">
        <v>-73.855497502156894</v>
      </c>
      <c r="U208" s="22">
        <v>11851</v>
      </c>
      <c r="V208" s="22">
        <v>11702.5</v>
      </c>
      <c r="W208" s="25">
        <v>15227</v>
      </c>
      <c r="X208" s="24">
        <v>14718</v>
      </c>
      <c r="Y208" s="24">
        <v>180459</v>
      </c>
      <c r="Z208" s="24">
        <v>172242</v>
      </c>
      <c r="AA208" s="24">
        <v>21912</v>
      </c>
      <c r="AB208" s="24">
        <v>19691</v>
      </c>
      <c r="AC208" s="24">
        <v>75525</v>
      </c>
      <c r="AD208" s="24">
        <v>70749</v>
      </c>
      <c r="AE208" s="24">
        <v>6965</v>
      </c>
      <c r="AF208" s="24">
        <v>7013</v>
      </c>
      <c r="AG208" s="17">
        <v>0</v>
      </c>
      <c r="AH208" s="16" t="s">
        <v>217</v>
      </c>
      <c r="AI208" s="16" t="s">
        <v>49</v>
      </c>
      <c r="AJ208" s="16" t="s">
        <v>50</v>
      </c>
      <c r="AK208" s="16" t="s">
        <v>51</v>
      </c>
      <c r="AL208" s="25">
        <v>232000</v>
      </c>
      <c r="AM208" s="43">
        <f t="shared" si="15"/>
        <v>98.236953455571225</v>
      </c>
      <c r="AN208" s="16" t="s">
        <v>764</v>
      </c>
      <c r="AO208" s="16" t="s">
        <v>53</v>
      </c>
    </row>
    <row r="209" spans="1:41" ht="14.5" x14ac:dyDescent="0.35">
      <c r="A209" s="27" t="s">
        <v>783</v>
      </c>
      <c r="B209" s="16" t="s">
        <v>105</v>
      </c>
      <c r="C209" s="16" t="s">
        <v>157</v>
      </c>
      <c r="D209" s="16" t="s">
        <v>158</v>
      </c>
      <c r="E209" s="16" t="s">
        <v>263</v>
      </c>
      <c r="F209" s="16">
        <v>4</v>
      </c>
      <c r="G209" s="30" t="s">
        <v>784</v>
      </c>
      <c r="H209" s="16" t="s">
        <v>785</v>
      </c>
      <c r="I209" s="16" t="s">
        <v>718</v>
      </c>
      <c r="J209" s="16">
        <v>99.29</v>
      </c>
      <c r="K209" s="16">
        <v>2158</v>
      </c>
      <c r="L209" s="16">
        <v>2063</v>
      </c>
      <c r="M209" s="8">
        <v>10</v>
      </c>
      <c r="N209" s="21">
        <v>45412</v>
      </c>
      <c r="O209" s="7">
        <f t="shared" si="12"/>
        <v>30</v>
      </c>
      <c r="P209" s="22">
        <f t="shared" si="13"/>
        <v>1</v>
      </c>
      <c r="Q209" s="22">
        <f t="shared" si="14"/>
        <v>30</v>
      </c>
      <c r="R209" s="16">
        <v>29</v>
      </c>
      <c r="S209">
        <v>6.2590523403281999</v>
      </c>
      <c r="T209">
        <v>-75.597215468974994</v>
      </c>
      <c r="U209" s="22">
        <v>29723</v>
      </c>
      <c r="V209" s="22">
        <v>27000.833330000001</v>
      </c>
      <c r="W209" s="25">
        <v>13279</v>
      </c>
      <c r="X209" s="24">
        <v>13342</v>
      </c>
      <c r="Y209" s="24">
        <v>394704</v>
      </c>
      <c r="Z209" s="24">
        <v>360237</v>
      </c>
      <c r="AA209" s="24">
        <v>53868</v>
      </c>
      <c r="AB209" s="24">
        <v>42957</v>
      </c>
      <c r="AC209" s="24">
        <v>144559</v>
      </c>
      <c r="AD209" s="24">
        <v>132157</v>
      </c>
      <c r="AE209" s="24">
        <v>15765</v>
      </c>
      <c r="AF209" s="24">
        <v>15826</v>
      </c>
      <c r="AG209" s="17">
        <v>0</v>
      </c>
      <c r="AH209" s="16" t="s">
        <v>217</v>
      </c>
      <c r="AI209" s="16" t="s">
        <v>49</v>
      </c>
      <c r="AJ209" s="16" t="s">
        <v>50</v>
      </c>
      <c r="AK209" s="16" t="s">
        <v>51</v>
      </c>
      <c r="AL209" s="25">
        <v>232000</v>
      </c>
      <c r="AM209" s="43">
        <f t="shared" si="15"/>
        <v>158.777318964649</v>
      </c>
      <c r="AN209" s="16" t="s">
        <v>218</v>
      </c>
      <c r="AO209" s="16" t="s">
        <v>60</v>
      </c>
    </row>
    <row r="210" spans="1:41" ht="14.5" x14ac:dyDescent="0.35">
      <c r="A210" s="27" t="s">
        <v>786</v>
      </c>
      <c r="B210" s="16" t="s">
        <v>105</v>
      </c>
      <c r="C210" s="16" t="s">
        <v>177</v>
      </c>
      <c r="D210" s="16" t="s">
        <v>178</v>
      </c>
      <c r="E210" s="16" t="s">
        <v>228</v>
      </c>
      <c r="F210" s="16">
        <v>4</v>
      </c>
      <c r="G210" s="30" t="s">
        <v>787</v>
      </c>
      <c r="H210" s="16" t="s">
        <v>788</v>
      </c>
      <c r="I210" s="16" t="s">
        <v>47</v>
      </c>
      <c r="J210" s="16">
        <v>147.87</v>
      </c>
      <c r="K210" s="16">
        <v>187</v>
      </c>
      <c r="L210" s="16">
        <v>150</v>
      </c>
      <c r="M210" s="8">
        <v>117</v>
      </c>
      <c r="N210" s="21">
        <v>45678</v>
      </c>
      <c r="O210" s="7">
        <f t="shared" si="12"/>
        <v>21</v>
      </c>
      <c r="P210" s="22">
        <f t="shared" si="13"/>
        <v>11</v>
      </c>
      <c r="Q210" s="22">
        <f t="shared" si="14"/>
        <v>31</v>
      </c>
      <c r="R210" s="16">
        <v>20</v>
      </c>
      <c r="S210">
        <v>4.5428554353369703</v>
      </c>
      <c r="T210">
        <v>-75.667043154018501</v>
      </c>
      <c r="U210" s="22">
        <v>13993</v>
      </c>
      <c r="V210" s="22">
        <v>12559.5</v>
      </c>
      <c r="W210" s="25">
        <v>13124</v>
      </c>
      <c r="X210" s="24">
        <v>13068</v>
      </c>
      <c r="Y210" s="24">
        <v>183637</v>
      </c>
      <c r="Z210" s="24">
        <v>164131</v>
      </c>
      <c r="AA210" s="24">
        <v>-258</v>
      </c>
      <c r="AB210" s="24">
        <v>4758</v>
      </c>
      <c r="AC210" s="24">
        <v>69369</v>
      </c>
      <c r="AD210" s="24">
        <v>60385</v>
      </c>
      <c r="AE210" s="24">
        <v>7890</v>
      </c>
      <c r="AF210" s="24">
        <v>7975</v>
      </c>
      <c r="AG210" s="17">
        <v>0</v>
      </c>
      <c r="AH210" s="16" t="s">
        <v>217</v>
      </c>
      <c r="AI210" s="16" t="s">
        <v>49</v>
      </c>
      <c r="AJ210" s="16" t="s">
        <v>124</v>
      </c>
      <c r="AK210" s="16" t="s">
        <v>51</v>
      </c>
      <c r="AL210" s="25">
        <v>204160</v>
      </c>
      <c r="AM210" s="43">
        <f t="shared" si="15"/>
        <v>53.357679042402111</v>
      </c>
      <c r="AN210" s="16" t="s">
        <v>789</v>
      </c>
      <c r="AO210" s="16" t="s">
        <v>60</v>
      </c>
    </row>
    <row r="211" spans="1:41" ht="14.5" x14ac:dyDescent="0.35">
      <c r="A211" s="27" t="s">
        <v>790</v>
      </c>
      <c r="B211" s="16" t="s">
        <v>55</v>
      </c>
      <c r="C211" s="16" t="s">
        <v>43</v>
      </c>
      <c r="D211" s="16" t="s">
        <v>44</v>
      </c>
      <c r="E211" s="16" t="s">
        <v>133</v>
      </c>
      <c r="F211" s="16">
        <v>3</v>
      </c>
      <c r="G211" s="30" t="s">
        <v>791</v>
      </c>
      <c r="H211" s="16">
        <v>0</v>
      </c>
      <c r="I211" s="16" t="s">
        <v>718</v>
      </c>
      <c r="J211" s="16">
        <v>91.04</v>
      </c>
      <c r="K211" s="16">
        <v>1648</v>
      </c>
      <c r="L211" s="16">
        <v>1600</v>
      </c>
      <c r="M211" s="8">
        <v>35</v>
      </c>
      <c r="N211" s="21">
        <v>45106</v>
      </c>
      <c r="O211" s="7">
        <f t="shared" si="12"/>
        <v>29</v>
      </c>
      <c r="P211" s="22">
        <f t="shared" si="13"/>
        <v>2</v>
      </c>
      <c r="Q211" s="22">
        <f t="shared" si="14"/>
        <v>30</v>
      </c>
      <c r="R211" s="16">
        <v>39</v>
      </c>
      <c r="S211">
        <v>4.6980321335489297</v>
      </c>
      <c r="T211">
        <v>-74.104997611963498</v>
      </c>
      <c r="U211" s="22">
        <v>12447</v>
      </c>
      <c r="V211" s="22">
        <v>12765.166670000001</v>
      </c>
      <c r="W211" s="25">
        <v>12963</v>
      </c>
      <c r="X211" s="24">
        <v>12940</v>
      </c>
      <c r="Y211" s="24">
        <v>161354</v>
      </c>
      <c r="Z211" s="24">
        <v>165180</v>
      </c>
      <c r="AA211" s="24">
        <v>8695</v>
      </c>
      <c r="AB211" s="24">
        <v>5160</v>
      </c>
      <c r="AC211" s="24">
        <v>54382</v>
      </c>
      <c r="AD211" s="24">
        <v>54375</v>
      </c>
      <c r="AE211" s="24">
        <v>6947</v>
      </c>
      <c r="AF211" s="24">
        <v>6884</v>
      </c>
      <c r="AG211" s="17">
        <v>0</v>
      </c>
      <c r="AH211" s="16" t="s">
        <v>58</v>
      </c>
      <c r="AI211" s="16" t="s">
        <v>49</v>
      </c>
      <c r="AJ211" s="16" t="s">
        <v>50</v>
      </c>
      <c r="AK211" s="16" t="s">
        <v>51</v>
      </c>
      <c r="AL211" s="25">
        <v>232000</v>
      </c>
      <c r="AM211" s="43">
        <f t="shared" si="15"/>
        <v>76.30711775043936</v>
      </c>
      <c r="AN211" s="16" t="s">
        <v>52</v>
      </c>
      <c r="AO211" s="16" t="s">
        <v>60</v>
      </c>
    </row>
    <row r="212" spans="1:41" ht="14.5" x14ac:dyDescent="0.35">
      <c r="A212" s="27" t="s">
        <v>792</v>
      </c>
      <c r="B212" s="16" t="s">
        <v>42</v>
      </c>
      <c r="C212" s="16" t="s">
        <v>43</v>
      </c>
      <c r="D212" s="16" t="s">
        <v>44</v>
      </c>
      <c r="E212" s="16" t="s">
        <v>143</v>
      </c>
      <c r="F212" s="16">
        <v>3</v>
      </c>
      <c r="G212" s="30" t="s">
        <v>793</v>
      </c>
      <c r="H212" s="16">
        <v>0</v>
      </c>
      <c r="I212" s="16" t="s">
        <v>718</v>
      </c>
      <c r="J212" s="16">
        <v>87.78</v>
      </c>
      <c r="K212" s="16">
        <v>1419</v>
      </c>
      <c r="L212" s="16">
        <v>807</v>
      </c>
      <c r="M212" s="8">
        <v>0</v>
      </c>
      <c r="N212" s="21">
        <v>44723</v>
      </c>
      <c r="O212" s="7">
        <f t="shared" si="12"/>
        <v>11</v>
      </c>
      <c r="P212" s="22">
        <f t="shared" si="13"/>
        <v>20</v>
      </c>
      <c r="Q212" s="22">
        <f t="shared" si="14"/>
        <v>30</v>
      </c>
      <c r="R212" s="16">
        <v>51</v>
      </c>
      <c r="S212">
        <v>4.7198924754517</v>
      </c>
      <c r="T212">
        <v>-74.058880297598705</v>
      </c>
      <c r="U212" s="22">
        <v>16824</v>
      </c>
      <c r="V212" s="22">
        <v>16193.833329999999</v>
      </c>
      <c r="W212" s="25">
        <v>13425</v>
      </c>
      <c r="X212" s="24">
        <v>13669</v>
      </c>
      <c r="Y212" s="24">
        <v>225865</v>
      </c>
      <c r="Z212" s="24">
        <v>221358</v>
      </c>
      <c r="AA212" s="24">
        <v>23788</v>
      </c>
      <c r="AB212" s="24">
        <v>20318</v>
      </c>
      <c r="AC212" s="24">
        <v>79994</v>
      </c>
      <c r="AD212" s="24">
        <v>77152</v>
      </c>
      <c r="AE212" s="24">
        <v>9567</v>
      </c>
      <c r="AF212" s="24">
        <v>9509</v>
      </c>
      <c r="AG212" s="17">
        <v>0</v>
      </c>
      <c r="AH212" s="16" t="s">
        <v>217</v>
      </c>
      <c r="AI212" s="16" t="s">
        <v>49</v>
      </c>
      <c r="AJ212" s="16" t="s">
        <v>124</v>
      </c>
      <c r="AK212" s="16" t="s">
        <v>51</v>
      </c>
      <c r="AL212" s="25">
        <v>204160</v>
      </c>
      <c r="AM212" s="43">
        <f t="shared" si="15"/>
        <v>108.98838004101162</v>
      </c>
      <c r="AN212" s="16" t="s">
        <v>764</v>
      </c>
      <c r="AO212" s="16" t="s">
        <v>53</v>
      </c>
    </row>
    <row r="213" spans="1:41" ht="14.5" x14ac:dyDescent="0.35">
      <c r="A213" s="27" t="s">
        <v>794</v>
      </c>
      <c r="B213" s="16" t="s">
        <v>105</v>
      </c>
      <c r="C213" s="16" t="s">
        <v>157</v>
      </c>
      <c r="D213" s="16" t="s">
        <v>158</v>
      </c>
      <c r="E213" s="16" t="s">
        <v>263</v>
      </c>
      <c r="F213" s="16">
        <v>4</v>
      </c>
      <c r="G213" s="30" t="s">
        <v>795</v>
      </c>
      <c r="H213" s="16" t="s">
        <v>796</v>
      </c>
      <c r="I213" s="16" t="s">
        <v>718</v>
      </c>
      <c r="J213" s="16">
        <v>113.06</v>
      </c>
      <c r="K213" s="16">
        <v>177</v>
      </c>
      <c r="L213" s="16">
        <v>3541</v>
      </c>
      <c r="M213" s="8">
        <v>57</v>
      </c>
      <c r="N213" s="21">
        <v>46078</v>
      </c>
      <c r="O213" s="7">
        <f t="shared" si="12"/>
        <v>25</v>
      </c>
      <c r="P213" s="22">
        <f t="shared" si="13"/>
        <v>4</v>
      </c>
      <c r="Q213" s="22">
        <f t="shared" si="14"/>
        <v>28</v>
      </c>
      <c r="R213" s="16">
        <v>7</v>
      </c>
      <c r="S213">
        <v>6.2495985835009904</v>
      </c>
      <c r="T213">
        <v>-75.588873166031803</v>
      </c>
      <c r="U213" s="22">
        <v>24581</v>
      </c>
      <c r="V213" s="22">
        <v>20280.5</v>
      </c>
      <c r="W213" s="25">
        <v>13455</v>
      </c>
      <c r="X213" s="24">
        <v>13837</v>
      </c>
      <c r="Y213" s="24">
        <v>330733</v>
      </c>
      <c r="Z213" s="24">
        <v>280622</v>
      </c>
      <c r="AA213" s="24">
        <v>51853</v>
      </c>
      <c r="AB213" s="24">
        <v>43058</v>
      </c>
      <c r="AC213" s="24">
        <v>123812</v>
      </c>
      <c r="AD213" s="24">
        <v>105664</v>
      </c>
      <c r="AE213" s="24">
        <v>14500</v>
      </c>
      <c r="AF213" s="24">
        <v>11532</v>
      </c>
      <c r="AG213" s="17">
        <v>2.0882999999999998</v>
      </c>
      <c r="AH213" s="16" t="s">
        <v>217</v>
      </c>
      <c r="AI213" s="16" t="s">
        <v>49</v>
      </c>
      <c r="AJ213" s="16" t="s">
        <v>124</v>
      </c>
      <c r="AK213" s="16" t="s">
        <v>65</v>
      </c>
      <c r="AL213" s="25">
        <v>204160</v>
      </c>
      <c r="AM213" s="43">
        <f t="shared" si="15"/>
        <v>128.25048646736246</v>
      </c>
      <c r="AN213" s="16" t="s">
        <v>449</v>
      </c>
      <c r="AO213" s="16" t="s">
        <v>60</v>
      </c>
    </row>
    <row r="214" spans="1:41" ht="14.5" x14ac:dyDescent="0.35">
      <c r="A214" s="27" t="s">
        <v>797</v>
      </c>
      <c r="B214" s="16" t="s">
        <v>105</v>
      </c>
      <c r="C214" s="16" t="s">
        <v>106</v>
      </c>
      <c r="D214" s="16" t="s">
        <v>107</v>
      </c>
      <c r="E214" s="16" t="s">
        <v>798</v>
      </c>
      <c r="F214" s="16">
        <v>4</v>
      </c>
      <c r="G214" s="30" t="s">
        <v>799</v>
      </c>
      <c r="H214" s="16">
        <v>0</v>
      </c>
      <c r="I214" s="16" t="s">
        <v>718</v>
      </c>
      <c r="J214" s="16">
        <v>122.57</v>
      </c>
      <c r="K214" s="16">
        <v>316</v>
      </c>
      <c r="L214" s="16">
        <v>1570</v>
      </c>
      <c r="M214" s="8">
        <v>61</v>
      </c>
      <c r="N214" s="21">
        <v>45169</v>
      </c>
      <c r="O214" s="7">
        <f t="shared" si="12"/>
        <v>31</v>
      </c>
      <c r="P214" s="22">
        <f t="shared" si="13"/>
        <v>1</v>
      </c>
      <c r="Q214" s="22">
        <f t="shared" si="14"/>
        <v>31</v>
      </c>
      <c r="R214" s="16">
        <v>37</v>
      </c>
      <c r="S214">
        <v>4.8246044750486998</v>
      </c>
      <c r="T214">
        <v>-75.700448537637797</v>
      </c>
      <c r="U214" s="22">
        <v>15287</v>
      </c>
      <c r="V214" s="22">
        <v>15452.333329999999</v>
      </c>
      <c r="W214" s="25">
        <v>13359</v>
      </c>
      <c r="X214" s="24">
        <v>12792</v>
      </c>
      <c r="Y214" s="24">
        <v>204217</v>
      </c>
      <c r="Z214" s="24">
        <v>197673</v>
      </c>
      <c r="AA214" s="24">
        <v>2062</v>
      </c>
      <c r="AB214" s="24">
        <v>9071</v>
      </c>
      <c r="AC214" s="24">
        <v>70682</v>
      </c>
      <c r="AD214" s="24">
        <v>72175</v>
      </c>
      <c r="AE214" s="24">
        <v>7097</v>
      </c>
      <c r="AF214" s="24">
        <v>7008</v>
      </c>
      <c r="AG214" s="17">
        <v>0</v>
      </c>
      <c r="AH214" s="16" t="s">
        <v>217</v>
      </c>
      <c r="AI214" s="16" t="s">
        <v>49</v>
      </c>
      <c r="AJ214" s="16" t="s">
        <v>124</v>
      </c>
      <c r="AK214" s="16" t="s">
        <v>51</v>
      </c>
      <c r="AL214" s="25">
        <v>204160</v>
      </c>
      <c r="AM214" s="43">
        <f t="shared" si="15"/>
        <v>57.901607244839688</v>
      </c>
      <c r="AN214" s="16" t="s">
        <v>800</v>
      </c>
      <c r="AO214" s="16" t="s">
        <v>53</v>
      </c>
    </row>
    <row r="215" spans="1:41" ht="14.5" x14ac:dyDescent="0.35">
      <c r="A215" s="27" t="s">
        <v>801</v>
      </c>
      <c r="B215" s="16" t="s">
        <v>55</v>
      </c>
      <c r="C215" s="16" t="s">
        <v>93</v>
      </c>
      <c r="D215" s="16" t="s">
        <v>94</v>
      </c>
      <c r="E215" s="16" t="s">
        <v>802</v>
      </c>
      <c r="F215" s="16">
        <v>4</v>
      </c>
      <c r="G215" s="30" t="s">
        <v>803</v>
      </c>
      <c r="H215" s="16">
        <v>0</v>
      </c>
      <c r="I215" s="16" t="s">
        <v>718</v>
      </c>
      <c r="J215" s="16">
        <v>116.37</v>
      </c>
      <c r="K215" s="16">
        <v>900</v>
      </c>
      <c r="L215" s="16">
        <v>300</v>
      </c>
      <c r="M215" s="8">
        <v>22</v>
      </c>
      <c r="N215" s="21">
        <v>45229</v>
      </c>
      <c r="O215" s="7">
        <f t="shared" si="12"/>
        <v>30</v>
      </c>
      <c r="P215" s="22">
        <f t="shared" si="13"/>
        <v>2</v>
      </c>
      <c r="Q215" s="22">
        <f t="shared" si="14"/>
        <v>31</v>
      </c>
      <c r="R215" s="16">
        <v>35</v>
      </c>
      <c r="S215">
        <v>4.3050130091813097</v>
      </c>
      <c r="T215">
        <v>-74.812994477942993</v>
      </c>
      <c r="U215" s="22">
        <v>21840</v>
      </c>
      <c r="V215" s="22">
        <v>18671.166669999999</v>
      </c>
      <c r="W215" s="25">
        <v>13631</v>
      </c>
      <c r="X215" s="24">
        <v>14478</v>
      </c>
      <c r="Y215" s="24">
        <v>297694</v>
      </c>
      <c r="Z215" s="24">
        <v>270323</v>
      </c>
      <c r="AA215" s="24">
        <v>35972</v>
      </c>
      <c r="AB215" s="24">
        <v>24315</v>
      </c>
      <c r="AC215" s="24">
        <v>102646</v>
      </c>
      <c r="AD215" s="24">
        <v>90177</v>
      </c>
      <c r="AE215" s="24">
        <v>5748</v>
      </c>
      <c r="AF215" s="24">
        <v>5815</v>
      </c>
      <c r="AG215" s="17">
        <v>0</v>
      </c>
      <c r="AH215" s="16" t="s">
        <v>217</v>
      </c>
      <c r="AI215" s="16" t="s">
        <v>49</v>
      </c>
      <c r="AJ215" s="16" t="s">
        <v>124</v>
      </c>
      <c r="AK215" s="16" t="s">
        <v>51</v>
      </c>
      <c r="AL215" s="25">
        <v>204160</v>
      </c>
      <c r="AM215" s="43">
        <f t="shared" si="15"/>
        <v>49.394173756122711</v>
      </c>
      <c r="AN215" s="16" t="s">
        <v>804</v>
      </c>
      <c r="AO215" s="16" t="s">
        <v>53</v>
      </c>
    </row>
    <row r="216" spans="1:41" ht="14.5" x14ac:dyDescent="0.35">
      <c r="A216" s="27" t="s">
        <v>805</v>
      </c>
      <c r="B216" s="16" t="s">
        <v>55</v>
      </c>
      <c r="C216" s="16" t="s">
        <v>93</v>
      </c>
      <c r="D216" s="16" t="s">
        <v>806</v>
      </c>
      <c r="E216" s="16" t="s">
        <v>807</v>
      </c>
      <c r="F216" s="16">
        <v>3</v>
      </c>
      <c r="G216" s="30" t="s">
        <v>808</v>
      </c>
      <c r="H216" s="16" t="s">
        <v>809</v>
      </c>
      <c r="I216" s="16" t="s">
        <v>718</v>
      </c>
      <c r="J216" s="16">
        <v>116.44</v>
      </c>
      <c r="K216" s="16">
        <v>807</v>
      </c>
      <c r="L216" s="16">
        <v>502</v>
      </c>
      <c r="M216" s="8">
        <v>70</v>
      </c>
      <c r="N216" s="21">
        <v>46170</v>
      </c>
      <c r="O216" s="7">
        <f t="shared" si="12"/>
        <v>28</v>
      </c>
      <c r="P216" s="22">
        <f t="shared" si="13"/>
        <v>4</v>
      </c>
      <c r="Q216" s="22">
        <f t="shared" si="14"/>
        <v>31</v>
      </c>
      <c r="R216" s="16">
        <v>4</v>
      </c>
      <c r="S216">
        <v>4.9946886358543701</v>
      </c>
      <c r="T216">
        <v>-74.336835203124195</v>
      </c>
      <c r="U216" s="22">
        <v>14020</v>
      </c>
      <c r="V216" s="22">
        <v>10618</v>
      </c>
      <c r="W216" s="25">
        <v>14783</v>
      </c>
      <c r="X216" s="24">
        <v>15049</v>
      </c>
      <c r="Y216" s="24">
        <v>207255</v>
      </c>
      <c r="Z216" s="24">
        <v>159795</v>
      </c>
      <c r="AA216" s="24">
        <v>19778</v>
      </c>
      <c r="AB216" s="24">
        <v>11143</v>
      </c>
      <c r="AC216" s="24">
        <v>78527</v>
      </c>
      <c r="AD216" s="24">
        <v>62298</v>
      </c>
      <c r="AE216" s="24">
        <v>8000</v>
      </c>
      <c r="AF216" s="24">
        <v>5036</v>
      </c>
      <c r="AG216" s="17">
        <v>2.0428000000000002</v>
      </c>
      <c r="AH216" s="16" t="s">
        <v>217</v>
      </c>
      <c r="AI216" s="16" t="s">
        <v>49</v>
      </c>
      <c r="AJ216" s="16" t="s">
        <v>50</v>
      </c>
      <c r="AK216" s="16" t="s">
        <v>65</v>
      </c>
      <c r="AL216" s="25">
        <v>232000</v>
      </c>
      <c r="AM216" s="43">
        <f t="shared" si="15"/>
        <v>68.704912401236683</v>
      </c>
      <c r="AN216" s="16" t="s">
        <v>764</v>
      </c>
      <c r="AO216" s="16" t="s">
        <v>60</v>
      </c>
    </row>
    <row r="217" spans="1:41" ht="14.5" x14ac:dyDescent="0.35">
      <c r="A217" s="27" t="s">
        <v>810</v>
      </c>
      <c r="B217" s="16" t="s">
        <v>55</v>
      </c>
      <c r="C217" s="16" t="s">
        <v>43</v>
      </c>
      <c r="D217" s="16" t="s">
        <v>44</v>
      </c>
      <c r="E217" s="16" t="s">
        <v>811</v>
      </c>
      <c r="F217" s="16">
        <v>3</v>
      </c>
      <c r="G217" s="30" t="s">
        <v>812</v>
      </c>
      <c r="H217" s="16">
        <v>0</v>
      </c>
      <c r="I217" s="16" t="s">
        <v>718</v>
      </c>
      <c r="J217" s="16">
        <v>163.35</v>
      </c>
      <c r="K217" s="16">
        <v>4141</v>
      </c>
      <c r="L217" s="16">
        <v>1378</v>
      </c>
      <c r="M217" s="8">
        <v>32</v>
      </c>
      <c r="N217" s="21">
        <v>45135</v>
      </c>
      <c r="O217" s="7">
        <f t="shared" si="12"/>
        <v>28</v>
      </c>
      <c r="P217" s="22">
        <f t="shared" si="13"/>
        <v>4</v>
      </c>
      <c r="Q217" s="22">
        <f t="shared" si="14"/>
        <v>31</v>
      </c>
      <c r="R217" s="16">
        <v>38</v>
      </c>
      <c r="S217">
        <v>4.6039533934799097</v>
      </c>
      <c r="T217">
        <v>-74.067230731088898</v>
      </c>
      <c r="U217" s="22">
        <v>35177</v>
      </c>
      <c r="V217" s="22">
        <v>30868.833330000001</v>
      </c>
      <c r="W217" s="25">
        <v>11439</v>
      </c>
      <c r="X217" s="24">
        <v>11512</v>
      </c>
      <c r="Y217" s="24">
        <v>402378</v>
      </c>
      <c r="Z217" s="24">
        <v>355367</v>
      </c>
      <c r="AA217" s="24">
        <v>71264</v>
      </c>
      <c r="AB217" s="24">
        <v>51245</v>
      </c>
      <c r="AC217" s="24">
        <v>153092</v>
      </c>
      <c r="AD217" s="24">
        <v>132340</v>
      </c>
      <c r="AE217" s="24">
        <v>12083</v>
      </c>
      <c r="AF217" s="24">
        <v>11830</v>
      </c>
      <c r="AG217" s="17">
        <v>0</v>
      </c>
      <c r="AH217" s="16" t="s">
        <v>217</v>
      </c>
      <c r="AI217" s="16" t="s">
        <v>49</v>
      </c>
      <c r="AJ217" s="16" t="s">
        <v>124</v>
      </c>
      <c r="AK217" s="16" t="s">
        <v>51</v>
      </c>
      <c r="AL217" s="25">
        <v>204160</v>
      </c>
      <c r="AM217" s="43">
        <f t="shared" si="15"/>
        <v>73.970003060912148</v>
      </c>
      <c r="AN217" s="16" t="s">
        <v>449</v>
      </c>
      <c r="AO217" s="16" t="s">
        <v>60</v>
      </c>
    </row>
    <row r="218" spans="1:41" ht="14.5" x14ac:dyDescent="0.35">
      <c r="A218" s="27" t="s">
        <v>813</v>
      </c>
      <c r="B218" s="16" t="s">
        <v>42</v>
      </c>
      <c r="C218" s="16" t="s">
        <v>126</v>
      </c>
      <c r="D218" s="16" t="s">
        <v>127</v>
      </c>
      <c r="E218" s="16" t="s">
        <v>814</v>
      </c>
      <c r="F218" s="16">
        <v>3</v>
      </c>
      <c r="G218" s="30" t="s">
        <v>815</v>
      </c>
      <c r="H218" s="16" t="s">
        <v>816</v>
      </c>
      <c r="I218" s="16" t="s">
        <v>718</v>
      </c>
      <c r="J218" s="16">
        <v>110.02</v>
      </c>
      <c r="K218" s="16">
        <v>1485</v>
      </c>
      <c r="L218" s="16">
        <v>1009</v>
      </c>
      <c r="M218" s="8">
        <v>122</v>
      </c>
      <c r="N218" s="21">
        <v>45526</v>
      </c>
      <c r="O218" s="7">
        <f t="shared" si="12"/>
        <v>22</v>
      </c>
      <c r="P218" s="22">
        <f t="shared" si="13"/>
        <v>10</v>
      </c>
      <c r="Q218" s="22">
        <f t="shared" si="14"/>
        <v>31</v>
      </c>
      <c r="R218" s="16">
        <v>25</v>
      </c>
      <c r="S218">
        <v>5.5427822260916404</v>
      </c>
      <c r="T218">
        <v>-73.359424239739397</v>
      </c>
      <c r="U218" s="22">
        <v>19068</v>
      </c>
      <c r="V218" s="22">
        <v>18572</v>
      </c>
      <c r="W218" s="25">
        <v>13347</v>
      </c>
      <c r="X218" s="24">
        <v>13366</v>
      </c>
      <c r="Y218" s="24">
        <v>254496</v>
      </c>
      <c r="Z218" s="24">
        <v>248224</v>
      </c>
      <c r="AA218" s="24">
        <v>23690</v>
      </c>
      <c r="AB218" s="24">
        <v>20679</v>
      </c>
      <c r="AC218" s="24">
        <v>89648</v>
      </c>
      <c r="AD218" s="24">
        <v>86316</v>
      </c>
      <c r="AE218" s="24">
        <v>9398</v>
      </c>
      <c r="AF218" s="24">
        <v>9132</v>
      </c>
      <c r="AG218" s="17">
        <v>0</v>
      </c>
      <c r="AH218" s="16" t="s">
        <v>217</v>
      </c>
      <c r="AI218" s="16" t="s">
        <v>49</v>
      </c>
      <c r="AJ218" s="16" t="s">
        <v>124</v>
      </c>
      <c r="AK218" s="16" t="s">
        <v>51</v>
      </c>
      <c r="AL218" s="25">
        <v>204160</v>
      </c>
      <c r="AM218" s="43">
        <f t="shared" si="15"/>
        <v>85.42083257589529</v>
      </c>
      <c r="AN218" s="16" t="s">
        <v>218</v>
      </c>
      <c r="AO218" s="16" t="s">
        <v>60</v>
      </c>
    </row>
    <row r="219" spans="1:41" ht="14.5" x14ac:dyDescent="0.35">
      <c r="A219" s="27" t="s">
        <v>817</v>
      </c>
      <c r="B219" s="16" t="s">
        <v>105</v>
      </c>
      <c r="C219" s="16" t="s">
        <v>157</v>
      </c>
      <c r="D219" s="16" t="s">
        <v>158</v>
      </c>
      <c r="E219" s="16" t="s">
        <v>818</v>
      </c>
      <c r="F219" s="16">
        <v>4</v>
      </c>
      <c r="G219" s="30" t="s">
        <v>819</v>
      </c>
      <c r="H219" s="16">
        <v>0</v>
      </c>
      <c r="I219" s="16" t="s">
        <v>718</v>
      </c>
      <c r="J219" s="16">
        <v>67.06</v>
      </c>
      <c r="K219" s="16">
        <v>795</v>
      </c>
      <c r="L219" s="16">
        <v>928</v>
      </c>
      <c r="M219" s="8">
        <v>72</v>
      </c>
      <c r="N219" s="21">
        <v>45490</v>
      </c>
      <c r="O219" s="7">
        <f t="shared" si="12"/>
        <v>17</v>
      </c>
      <c r="P219" s="22">
        <f t="shared" si="13"/>
        <v>15</v>
      </c>
      <c r="Q219" s="22">
        <f t="shared" si="14"/>
        <v>31</v>
      </c>
      <c r="R219" s="16">
        <v>26</v>
      </c>
      <c r="S219">
        <v>6.2320805664428898</v>
      </c>
      <c r="T219">
        <v>-75.602813282595704</v>
      </c>
      <c r="U219" s="22">
        <v>18605</v>
      </c>
      <c r="V219" s="22">
        <v>16976</v>
      </c>
      <c r="W219" s="25">
        <v>12616</v>
      </c>
      <c r="X219" s="24">
        <v>12852</v>
      </c>
      <c r="Y219" s="24">
        <v>234714</v>
      </c>
      <c r="Z219" s="24">
        <v>218182</v>
      </c>
      <c r="AA219" s="24">
        <v>21765</v>
      </c>
      <c r="AB219" s="24">
        <v>16204</v>
      </c>
      <c r="AC219" s="24">
        <v>85228</v>
      </c>
      <c r="AD219" s="24">
        <v>79765</v>
      </c>
      <c r="AE219" s="24">
        <v>11057</v>
      </c>
      <c r="AF219" s="24">
        <v>10863</v>
      </c>
      <c r="AG219" s="17">
        <v>0</v>
      </c>
      <c r="AH219" s="16" t="s">
        <v>217</v>
      </c>
      <c r="AI219" s="16" t="s">
        <v>49</v>
      </c>
      <c r="AJ219" s="16" t="s">
        <v>124</v>
      </c>
      <c r="AK219" s="16" t="s">
        <v>51</v>
      </c>
      <c r="AL219" s="25">
        <v>204160</v>
      </c>
      <c r="AM219" s="43">
        <f t="shared" si="15"/>
        <v>164.88219504920966</v>
      </c>
      <c r="AN219" s="16" t="s">
        <v>789</v>
      </c>
      <c r="AO219" s="16" t="s">
        <v>53</v>
      </c>
    </row>
    <row r="220" spans="1:41" ht="14.5" x14ac:dyDescent="0.35">
      <c r="A220" s="27" t="s">
        <v>820</v>
      </c>
      <c r="B220" s="16" t="s">
        <v>119</v>
      </c>
      <c r="C220" s="16" t="s">
        <v>120</v>
      </c>
      <c r="D220" s="16" t="s">
        <v>147</v>
      </c>
      <c r="E220" s="16" t="s">
        <v>148</v>
      </c>
      <c r="F220" s="16">
        <v>3</v>
      </c>
      <c r="G220" s="30" t="s">
        <v>821</v>
      </c>
      <c r="H220" s="16">
        <v>0</v>
      </c>
      <c r="I220" s="16" t="s">
        <v>429</v>
      </c>
      <c r="J220" s="16">
        <v>126.03</v>
      </c>
      <c r="K220" s="16">
        <v>800</v>
      </c>
      <c r="L220" s="16">
        <v>372</v>
      </c>
      <c r="M220" s="8">
        <v>0</v>
      </c>
      <c r="N220" s="21">
        <v>43763</v>
      </c>
      <c r="O220" s="7">
        <f t="shared" si="12"/>
        <v>25</v>
      </c>
      <c r="P220" s="22">
        <f t="shared" si="13"/>
        <v>7</v>
      </c>
      <c r="Q220" s="22">
        <f t="shared" si="14"/>
        <v>31</v>
      </c>
      <c r="R220" s="16">
        <v>83</v>
      </c>
      <c r="S220">
        <v>6.9840044470652796</v>
      </c>
      <c r="T220">
        <v>-73.044111442771893</v>
      </c>
      <c r="U220" s="22">
        <v>26725</v>
      </c>
      <c r="V220" s="22">
        <v>24873</v>
      </c>
      <c r="W220" s="25">
        <v>16453</v>
      </c>
      <c r="X220" s="24">
        <v>16382</v>
      </c>
      <c r="Y220" s="24">
        <v>439694</v>
      </c>
      <c r="Z220" s="24">
        <v>407467</v>
      </c>
      <c r="AA220" s="24">
        <v>70446</v>
      </c>
      <c r="AB220" s="24">
        <v>67153</v>
      </c>
      <c r="AC220" s="24">
        <v>158462</v>
      </c>
      <c r="AD220" s="24">
        <v>143174</v>
      </c>
      <c r="AE220" s="24">
        <v>6403</v>
      </c>
      <c r="AF220" s="24">
        <v>6476</v>
      </c>
      <c r="AG220" s="17">
        <v>0</v>
      </c>
      <c r="AH220" s="16" t="s">
        <v>217</v>
      </c>
      <c r="AI220" s="16" t="s">
        <v>49</v>
      </c>
      <c r="AJ220" s="16" t="s">
        <v>124</v>
      </c>
      <c r="AK220" s="16" t="s">
        <v>51</v>
      </c>
      <c r="AL220" s="25">
        <v>204160</v>
      </c>
      <c r="AM220" s="43">
        <f t="shared" si="15"/>
        <v>50.805363802269298</v>
      </c>
      <c r="AN220" s="16" t="s">
        <v>822</v>
      </c>
      <c r="AO220" s="16" t="s">
        <v>53</v>
      </c>
    </row>
    <row r="221" spans="1:41" ht="14.5" x14ac:dyDescent="0.35">
      <c r="A221" s="27" t="s">
        <v>823</v>
      </c>
      <c r="B221" s="16" t="s">
        <v>42</v>
      </c>
      <c r="C221" s="16" t="s">
        <v>93</v>
      </c>
      <c r="D221" s="16" t="s">
        <v>761</v>
      </c>
      <c r="E221" s="16" t="s">
        <v>762</v>
      </c>
      <c r="F221" s="16">
        <v>3</v>
      </c>
      <c r="G221" s="30" t="s">
        <v>824</v>
      </c>
      <c r="H221" s="16">
        <v>0</v>
      </c>
      <c r="I221" s="16" t="s">
        <v>429</v>
      </c>
      <c r="J221" s="16">
        <v>135</v>
      </c>
      <c r="K221" s="16">
        <v>0</v>
      </c>
      <c r="L221" s="16">
        <v>2000</v>
      </c>
      <c r="M221" s="8">
        <v>238</v>
      </c>
      <c r="N221" s="21">
        <v>45194</v>
      </c>
      <c r="O221" s="7">
        <f t="shared" si="12"/>
        <v>25</v>
      </c>
      <c r="P221" s="22">
        <f t="shared" si="13"/>
        <v>6</v>
      </c>
      <c r="Q221" s="22">
        <f t="shared" si="14"/>
        <v>30</v>
      </c>
      <c r="R221" s="16">
        <v>36</v>
      </c>
      <c r="S221">
        <v>4.7686691278954001</v>
      </c>
      <c r="T221">
        <v>-74.168624531161598</v>
      </c>
      <c r="U221" s="22">
        <v>19009</v>
      </c>
      <c r="V221" s="22">
        <v>18956.666669999999</v>
      </c>
      <c r="W221" s="25">
        <v>13854</v>
      </c>
      <c r="X221" s="24">
        <v>13899</v>
      </c>
      <c r="Y221" s="24">
        <v>263349</v>
      </c>
      <c r="Z221" s="24">
        <v>263474</v>
      </c>
      <c r="AA221" s="24">
        <v>40575</v>
      </c>
      <c r="AB221" s="24">
        <v>37567</v>
      </c>
      <c r="AC221" s="24">
        <v>104658</v>
      </c>
      <c r="AD221" s="24">
        <v>105094</v>
      </c>
      <c r="AE221" s="24">
        <v>6041</v>
      </c>
      <c r="AF221" s="24">
        <v>6045</v>
      </c>
      <c r="AG221" s="17">
        <v>0</v>
      </c>
      <c r="AH221" s="16" t="s">
        <v>217</v>
      </c>
      <c r="AI221" s="16" t="s">
        <v>49</v>
      </c>
      <c r="AJ221" s="16" t="s">
        <v>50</v>
      </c>
      <c r="AK221" s="16" t="s">
        <v>51</v>
      </c>
      <c r="AL221" s="25">
        <v>232000</v>
      </c>
      <c r="AM221" s="43">
        <f t="shared" si="15"/>
        <v>44.748148148148147</v>
      </c>
      <c r="AN221" s="16" t="s">
        <v>825</v>
      </c>
      <c r="AO221" s="16" t="s">
        <v>53</v>
      </c>
    </row>
    <row r="222" spans="1:41" ht="14.5" x14ac:dyDescent="0.35">
      <c r="A222" s="27" t="s">
        <v>826</v>
      </c>
      <c r="B222" s="16" t="s">
        <v>42</v>
      </c>
      <c r="C222" s="16" t="s">
        <v>93</v>
      </c>
      <c r="D222" s="16" t="s">
        <v>749</v>
      </c>
      <c r="E222" s="16" t="s">
        <v>750</v>
      </c>
      <c r="F222" s="16">
        <v>3</v>
      </c>
      <c r="G222" s="30" t="s">
        <v>827</v>
      </c>
      <c r="H222" s="16">
        <v>0</v>
      </c>
      <c r="I222" s="16" t="s">
        <v>429</v>
      </c>
      <c r="J222" s="16">
        <v>123.23</v>
      </c>
      <c r="K222" s="16">
        <v>0</v>
      </c>
      <c r="L222" s="16">
        <v>1939</v>
      </c>
      <c r="M222" s="8">
        <v>18</v>
      </c>
      <c r="N222" s="21">
        <v>45429</v>
      </c>
      <c r="O222" s="7">
        <f t="shared" si="12"/>
        <v>17</v>
      </c>
      <c r="P222" s="22">
        <f t="shared" si="13"/>
        <v>15</v>
      </c>
      <c r="Q222" s="22">
        <f t="shared" si="14"/>
        <v>31</v>
      </c>
      <c r="R222" s="16">
        <v>28</v>
      </c>
      <c r="S222">
        <v>4.7564500932276204</v>
      </c>
      <c r="T222">
        <v>-74.151440039759706</v>
      </c>
      <c r="U222" s="22">
        <v>20894</v>
      </c>
      <c r="V222" s="22">
        <v>19845.5</v>
      </c>
      <c r="W222" s="25">
        <v>14508</v>
      </c>
      <c r="X222" s="24">
        <v>14790</v>
      </c>
      <c r="Y222" s="24">
        <v>303134</v>
      </c>
      <c r="Z222" s="24">
        <v>293523</v>
      </c>
      <c r="AA222" s="24">
        <v>50745</v>
      </c>
      <c r="AB222" s="24">
        <v>46541</v>
      </c>
      <c r="AC222" s="24">
        <v>118690</v>
      </c>
      <c r="AD222" s="24">
        <v>113973</v>
      </c>
      <c r="AE222" s="24">
        <v>6306</v>
      </c>
      <c r="AF222" s="24">
        <v>6309</v>
      </c>
      <c r="AG222" s="17">
        <v>0</v>
      </c>
      <c r="AH222" s="16" t="s">
        <v>217</v>
      </c>
      <c r="AI222" s="16" t="s">
        <v>49</v>
      </c>
      <c r="AJ222" s="16" t="s">
        <v>50</v>
      </c>
      <c r="AK222" s="16" t="s">
        <v>51</v>
      </c>
      <c r="AL222" s="25">
        <v>232000</v>
      </c>
      <c r="AM222" s="43">
        <f t="shared" si="15"/>
        <v>51.172604073683353</v>
      </c>
      <c r="AN222" s="16" t="s">
        <v>764</v>
      </c>
      <c r="AO222" s="16" t="s">
        <v>60</v>
      </c>
    </row>
    <row r="223" spans="1:41" ht="14.5" x14ac:dyDescent="0.35">
      <c r="A223" s="27" t="s">
        <v>828</v>
      </c>
      <c r="B223" s="16" t="s">
        <v>105</v>
      </c>
      <c r="C223" s="16" t="s">
        <v>157</v>
      </c>
      <c r="D223" s="16" t="s">
        <v>829</v>
      </c>
      <c r="E223" s="16" t="s">
        <v>830</v>
      </c>
      <c r="F223" s="16">
        <v>5</v>
      </c>
      <c r="G223" s="30" t="s">
        <v>831</v>
      </c>
      <c r="H223" s="16" t="s">
        <v>832</v>
      </c>
      <c r="I223" s="16" t="s">
        <v>718</v>
      </c>
      <c r="J223" s="16">
        <v>100.03</v>
      </c>
      <c r="K223" s="16">
        <v>2561</v>
      </c>
      <c r="L223" s="16">
        <v>2584</v>
      </c>
      <c r="M223" s="8">
        <v>56</v>
      </c>
      <c r="N223" s="21">
        <v>45625</v>
      </c>
      <c r="O223" s="7">
        <f t="shared" si="12"/>
        <v>29</v>
      </c>
      <c r="P223" s="22">
        <f t="shared" si="13"/>
        <v>2</v>
      </c>
      <c r="Q223" s="22">
        <f t="shared" si="14"/>
        <v>30</v>
      </c>
      <c r="R223" s="16">
        <v>22</v>
      </c>
      <c r="S223">
        <v>6.1789708042604303</v>
      </c>
      <c r="T223">
        <v>-75.583092563690201</v>
      </c>
      <c r="U223" s="22">
        <v>24342</v>
      </c>
      <c r="V223" s="22">
        <v>22947.333330000001</v>
      </c>
      <c r="W223" s="25">
        <v>12102</v>
      </c>
      <c r="X223" s="24">
        <v>11929</v>
      </c>
      <c r="Y223" s="24">
        <v>294592</v>
      </c>
      <c r="Z223" s="24">
        <v>273727</v>
      </c>
      <c r="AA223" s="24">
        <v>35964</v>
      </c>
      <c r="AB223" s="24">
        <v>34872</v>
      </c>
      <c r="AC223" s="24">
        <v>113125</v>
      </c>
      <c r="AD223" s="24">
        <v>107806</v>
      </c>
      <c r="AE223" s="24">
        <v>13500</v>
      </c>
      <c r="AF223" s="24">
        <v>13632</v>
      </c>
      <c r="AG223" s="17">
        <v>0</v>
      </c>
      <c r="AH223" s="16" t="s">
        <v>217</v>
      </c>
      <c r="AI223" s="16" t="s">
        <v>49</v>
      </c>
      <c r="AJ223" s="16" t="s">
        <v>76</v>
      </c>
      <c r="AK223" s="16" t="s">
        <v>51</v>
      </c>
      <c r="AL223" s="25">
        <v>241405</v>
      </c>
      <c r="AM223" s="43">
        <f t="shared" si="15"/>
        <v>134.9595121463561</v>
      </c>
      <c r="AN223" s="16" t="s">
        <v>764</v>
      </c>
      <c r="AO223" s="16" t="s">
        <v>60</v>
      </c>
    </row>
    <row r="224" spans="1:41" ht="14.5" x14ac:dyDescent="0.35">
      <c r="A224" s="27" t="s">
        <v>833</v>
      </c>
      <c r="B224" s="16" t="s">
        <v>119</v>
      </c>
      <c r="C224" s="16" t="s">
        <v>120</v>
      </c>
      <c r="D224" s="16" t="s">
        <v>738</v>
      </c>
      <c r="E224" s="16" t="s">
        <v>739</v>
      </c>
      <c r="F224" s="16">
        <v>4</v>
      </c>
      <c r="G224" s="30" t="s">
        <v>834</v>
      </c>
      <c r="H224" s="16">
        <v>0</v>
      </c>
      <c r="I224" s="16" t="s">
        <v>429</v>
      </c>
      <c r="J224" s="16">
        <v>121.7</v>
      </c>
      <c r="K224" s="16">
        <v>487</v>
      </c>
      <c r="L224" s="16">
        <v>1037</v>
      </c>
      <c r="M224" s="8">
        <v>34</v>
      </c>
      <c r="N224" s="21">
        <v>45317</v>
      </c>
      <c r="O224" s="7">
        <f t="shared" si="12"/>
        <v>26</v>
      </c>
      <c r="P224" s="22">
        <f t="shared" si="13"/>
        <v>6</v>
      </c>
      <c r="Q224" s="22">
        <f t="shared" si="14"/>
        <v>31</v>
      </c>
      <c r="R224" s="16">
        <v>32</v>
      </c>
      <c r="S224">
        <v>7.0852118648470199</v>
      </c>
      <c r="T224">
        <v>-73.163590320281898</v>
      </c>
      <c r="U224" s="22">
        <v>16332</v>
      </c>
      <c r="V224" s="22">
        <v>16086</v>
      </c>
      <c r="W224" s="25">
        <v>12978</v>
      </c>
      <c r="X224" s="24">
        <v>13275</v>
      </c>
      <c r="Y224" s="24">
        <v>211963</v>
      </c>
      <c r="Z224" s="24">
        <v>213534</v>
      </c>
      <c r="AA224" s="24">
        <v>18400</v>
      </c>
      <c r="AB224" s="24">
        <v>19344</v>
      </c>
      <c r="AC224" s="24">
        <v>81792</v>
      </c>
      <c r="AD224" s="24">
        <v>79488</v>
      </c>
      <c r="AE224" s="24">
        <v>8622</v>
      </c>
      <c r="AF224" s="24">
        <v>8714</v>
      </c>
      <c r="AG224" s="17">
        <v>0</v>
      </c>
      <c r="AH224" s="16" t="s">
        <v>198</v>
      </c>
      <c r="AI224" s="16" t="s">
        <v>49</v>
      </c>
      <c r="AJ224" s="16" t="s">
        <v>124</v>
      </c>
      <c r="AK224" s="16" t="s">
        <v>51</v>
      </c>
      <c r="AL224" s="25">
        <v>204160</v>
      </c>
      <c r="AM224" s="43">
        <f t="shared" si="15"/>
        <v>70.846343467543136</v>
      </c>
      <c r="AN224" s="16" t="s">
        <v>52</v>
      </c>
      <c r="AO224" s="16" t="s">
        <v>53</v>
      </c>
    </row>
    <row r="225" spans="1:41" ht="14.5" x14ac:dyDescent="0.35">
      <c r="A225" s="27" t="s">
        <v>835</v>
      </c>
      <c r="B225" s="16" t="s">
        <v>183</v>
      </c>
      <c r="C225" s="16" t="s">
        <v>184</v>
      </c>
      <c r="D225" s="16" t="s">
        <v>836</v>
      </c>
      <c r="E225" s="16" t="s">
        <v>837</v>
      </c>
      <c r="F225" s="16">
        <v>4</v>
      </c>
      <c r="G225" s="30" t="s">
        <v>838</v>
      </c>
      <c r="H225" s="16">
        <v>0</v>
      </c>
      <c r="I225" s="16" t="s">
        <v>429</v>
      </c>
      <c r="J225" s="16">
        <v>126.86</v>
      </c>
      <c r="K225" s="16">
        <v>200</v>
      </c>
      <c r="L225" s="16">
        <v>211</v>
      </c>
      <c r="M225" s="8">
        <v>0</v>
      </c>
      <c r="N225" s="21">
        <v>45443</v>
      </c>
      <c r="O225" s="7">
        <f t="shared" si="12"/>
        <v>31</v>
      </c>
      <c r="P225" s="22">
        <f t="shared" si="13"/>
        <v>1</v>
      </c>
      <c r="Q225" s="22">
        <f t="shared" si="14"/>
        <v>31</v>
      </c>
      <c r="R225" s="16">
        <v>28</v>
      </c>
      <c r="S225">
        <v>11.0161926479275</v>
      </c>
      <c r="T225">
        <v>-74.878336157394301</v>
      </c>
      <c r="U225" s="22">
        <v>10874</v>
      </c>
      <c r="V225" s="22">
        <v>10453.666670000001</v>
      </c>
      <c r="W225" s="25">
        <v>15871</v>
      </c>
      <c r="X225" s="24">
        <v>15451</v>
      </c>
      <c r="Y225" s="24">
        <v>172581</v>
      </c>
      <c r="Z225" s="24">
        <v>161516</v>
      </c>
      <c r="AA225" s="42">
        <v>-5188</v>
      </c>
      <c r="AB225" s="42">
        <v>44</v>
      </c>
      <c r="AC225" s="24">
        <v>68399</v>
      </c>
      <c r="AD225" s="24">
        <v>62971</v>
      </c>
      <c r="AE225" s="24">
        <v>7740</v>
      </c>
      <c r="AF225" s="24">
        <v>7692</v>
      </c>
      <c r="AG225" s="17">
        <v>0</v>
      </c>
      <c r="AH225" s="16" t="s">
        <v>64</v>
      </c>
      <c r="AI225" s="16" t="s">
        <v>49</v>
      </c>
      <c r="AJ225" s="16" t="s">
        <v>124</v>
      </c>
      <c r="AK225" s="16" t="s">
        <v>51</v>
      </c>
      <c r="AL225" s="25">
        <v>204160</v>
      </c>
      <c r="AM225" s="43">
        <f t="shared" si="15"/>
        <v>61.012139366230492</v>
      </c>
      <c r="AN225" s="16" t="s">
        <v>825</v>
      </c>
      <c r="AO225" s="16" t="s">
        <v>60</v>
      </c>
    </row>
    <row r="226" spans="1:41" ht="14.5" x14ac:dyDescent="0.35">
      <c r="A226" s="27" t="s">
        <v>839</v>
      </c>
      <c r="B226" s="16" t="s">
        <v>183</v>
      </c>
      <c r="C226" s="16" t="s">
        <v>184</v>
      </c>
      <c r="D226" s="16" t="s">
        <v>185</v>
      </c>
      <c r="E226" s="16" t="s">
        <v>186</v>
      </c>
      <c r="F226" s="16">
        <v>3</v>
      </c>
      <c r="G226" s="30" t="s">
        <v>840</v>
      </c>
      <c r="H226" s="16" t="s">
        <v>841</v>
      </c>
      <c r="I226" s="16" t="s">
        <v>718</v>
      </c>
      <c r="J226" s="16">
        <v>158</v>
      </c>
      <c r="K226" s="16">
        <v>372</v>
      </c>
      <c r="L226" s="16">
        <v>3000</v>
      </c>
      <c r="M226" s="8">
        <v>61</v>
      </c>
      <c r="N226" s="21">
        <v>45612</v>
      </c>
      <c r="O226" s="7">
        <f t="shared" si="12"/>
        <v>16</v>
      </c>
      <c r="P226" s="22">
        <f t="shared" si="13"/>
        <v>15</v>
      </c>
      <c r="Q226" s="22">
        <f t="shared" si="14"/>
        <v>30</v>
      </c>
      <c r="R226" s="16">
        <v>22</v>
      </c>
      <c r="S226">
        <v>10.983526281383201</v>
      </c>
      <c r="T226">
        <v>-74.787150703783396</v>
      </c>
      <c r="U226" s="22">
        <v>14818</v>
      </c>
      <c r="V226" s="22">
        <v>14082.666670000001</v>
      </c>
      <c r="W226" s="25">
        <v>11686</v>
      </c>
      <c r="X226" s="24">
        <v>11949</v>
      </c>
      <c r="Y226" s="24">
        <v>173161</v>
      </c>
      <c r="Z226" s="24">
        <v>168271</v>
      </c>
      <c r="AA226" s="42">
        <v>-1381</v>
      </c>
      <c r="AB226" s="24">
        <v>6660</v>
      </c>
      <c r="AC226" s="24">
        <v>66783</v>
      </c>
      <c r="AD226" s="24">
        <v>66762</v>
      </c>
      <c r="AE226" s="24">
        <v>7522</v>
      </c>
      <c r="AF226" s="24">
        <v>7604</v>
      </c>
      <c r="AG226" s="17">
        <v>0</v>
      </c>
      <c r="AH226" s="16" t="s">
        <v>217</v>
      </c>
      <c r="AI226" s="16" t="s">
        <v>49</v>
      </c>
      <c r="AJ226" s="16" t="s">
        <v>124</v>
      </c>
      <c r="AK226" s="16" t="s">
        <v>51</v>
      </c>
      <c r="AL226" s="25">
        <v>204160</v>
      </c>
      <c r="AM226" s="43">
        <f t="shared" si="15"/>
        <v>47.607594936708864</v>
      </c>
      <c r="AN226" s="16" t="s">
        <v>449</v>
      </c>
      <c r="AO226" s="16" t="s">
        <v>60</v>
      </c>
    </row>
    <row r="227" spans="1:41" ht="14.5" x14ac:dyDescent="0.35">
      <c r="A227" s="27" t="s">
        <v>842</v>
      </c>
      <c r="B227" s="16" t="s">
        <v>105</v>
      </c>
      <c r="C227" s="16" t="s">
        <v>157</v>
      </c>
      <c r="D227" s="16" t="s">
        <v>158</v>
      </c>
      <c r="E227" s="16" t="s">
        <v>843</v>
      </c>
      <c r="F227" s="16">
        <v>4</v>
      </c>
      <c r="G227" s="30" t="s">
        <v>844</v>
      </c>
      <c r="H227" s="16">
        <v>0</v>
      </c>
      <c r="I227" s="16" t="s">
        <v>718</v>
      </c>
      <c r="J227" s="16">
        <v>119.52</v>
      </c>
      <c r="K227" s="16">
        <v>2053</v>
      </c>
      <c r="L227" s="16">
        <v>1531</v>
      </c>
      <c r="M227" s="8">
        <v>51</v>
      </c>
      <c r="N227" s="21">
        <v>45714</v>
      </c>
      <c r="O227" s="7">
        <f t="shared" si="12"/>
        <v>26</v>
      </c>
      <c r="P227" s="22">
        <f t="shared" si="13"/>
        <v>3</v>
      </c>
      <c r="Q227" s="22">
        <f t="shared" si="14"/>
        <v>28</v>
      </c>
      <c r="R227" s="16">
        <v>19</v>
      </c>
      <c r="S227">
        <v>6.3396850082013696</v>
      </c>
      <c r="T227">
        <v>-75.5454474705991</v>
      </c>
      <c r="U227" s="22">
        <v>24430</v>
      </c>
      <c r="V227" s="22">
        <v>22233.833330000001</v>
      </c>
      <c r="W227" s="25">
        <v>13842</v>
      </c>
      <c r="X227" s="24">
        <v>13472</v>
      </c>
      <c r="Y227" s="24">
        <v>338153</v>
      </c>
      <c r="Z227" s="24">
        <v>299532</v>
      </c>
      <c r="AA227" s="24">
        <v>52854</v>
      </c>
      <c r="AB227" s="24">
        <v>38292</v>
      </c>
      <c r="AC227" s="24">
        <v>125060</v>
      </c>
      <c r="AD227" s="24">
        <v>109872</v>
      </c>
      <c r="AE227" s="24">
        <v>10090</v>
      </c>
      <c r="AF227" s="24">
        <v>10193</v>
      </c>
      <c r="AG227" s="17">
        <v>2.0583999999999998</v>
      </c>
      <c r="AH227" s="16" t="s">
        <v>217</v>
      </c>
      <c r="AI227" s="16" t="s">
        <v>49</v>
      </c>
      <c r="AJ227" s="16" t="s">
        <v>50</v>
      </c>
      <c r="AK227" s="16" t="s">
        <v>51</v>
      </c>
      <c r="AL227" s="25">
        <v>232000</v>
      </c>
      <c r="AM227" s="43">
        <f t="shared" si="15"/>
        <v>84.421017402945111</v>
      </c>
      <c r="AN227" s="16" t="s">
        <v>804</v>
      </c>
      <c r="AO227" s="16" t="s">
        <v>60</v>
      </c>
    </row>
    <row r="228" spans="1:41" ht="14.5" x14ac:dyDescent="0.35">
      <c r="A228" s="27" t="s">
        <v>845</v>
      </c>
      <c r="B228" s="16" t="s">
        <v>55</v>
      </c>
      <c r="C228" s="16" t="s">
        <v>93</v>
      </c>
      <c r="D228" s="16" t="s">
        <v>846</v>
      </c>
      <c r="E228" s="16" t="s">
        <v>847</v>
      </c>
      <c r="F228" s="16">
        <v>3</v>
      </c>
      <c r="G228" s="30" t="s">
        <v>848</v>
      </c>
      <c r="H228" s="16">
        <v>0</v>
      </c>
      <c r="I228" s="16" t="s">
        <v>429</v>
      </c>
      <c r="J228" s="16">
        <v>106.29</v>
      </c>
      <c r="K228" s="16">
        <v>0</v>
      </c>
      <c r="L228" s="16">
        <v>4500</v>
      </c>
      <c r="M228" s="8">
        <v>64</v>
      </c>
      <c r="N228" s="21">
        <v>45267</v>
      </c>
      <c r="O228" s="7">
        <f t="shared" si="12"/>
        <v>7</v>
      </c>
      <c r="P228" s="22">
        <f t="shared" si="13"/>
        <v>25</v>
      </c>
      <c r="Q228" s="22">
        <f t="shared" si="14"/>
        <v>31</v>
      </c>
      <c r="R228" s="16">
        <v>33</v>
      </c>
      <c r="S228">
        <v>4.7011187920329904</v>
      </c>
      <c r="T228">
        <v>-74.226543096275407</v>
      </c>
      <c r="U228" s="22">
        <v>14616</v>
      </c>
      <c r="V228" s="22">
        <v>14387</v>
      </c>
      <c r="W228" s="25">
        <v>11930</v>
      </c>
      <c r="X228" s="24">
        <v>12256</v>
      </c>
      <c r="Y228" s="24">
        <v>174364</v>
      </c>
      <c r="Z228" s="24">
        <v>176330</v>
      </c>
      <c r="AA228" s="24">
        <v>17418</v>
      </c>
      <c r="AB228" s="24">
        <v>17452</v>
      </c>
      <c r="AC228" s="24">
        <v>71331</v>
      </c>
      <c r="AD228" s="24">
        <v>70711</v>
      </c>
      <c r="AE228" s="24">
        <v>9197</v>
      </c>
      <c r="AF228" s="24">
        <v>9293</v>
      </c>
      <c r="AG228" s="17">
        <v>0</v>
      </c>
      <c r="AH228" s="16" t="s">
        <v>58</v>
      </c>
      <c r="AI228" s="16" t="s">
        <v>49</v>
      </c>
      <c r="AJ228" s="16" t="s">
        <v>50</v>
      </c>
      <c r="AK228" s="16" t="s">
        <v>51</v>
      </c>
      <c r="AL228" s="25">
        <v>232000</v>
      </c>
      <c r="AM228" s="43">
        <f t="shared" si="15"/>
        <v>86.527424969423265</v>
      </c>
      <c r="AN228" s="16" t="s">
        <v>52</v>
      </c>
      <c r="AO228" s="16" t="s">
        <v>53</v>
      </c>
    </row>
    <row r="229" spans="1:41" ht="14.5" x14ac:dyDescent="0.35">
      <c r="A229" s="27" t="s">
        <v>849</v>
      </c>
      <c r="B229" s="16" t="s">
        <v>55</v>
      </c>
      <c r="C229" s="16" t="s">
        <v>93</v>
      </c>
      <c r="D229" s="16" t="s">
        <v>846</v>
      </c>
      <c r="E229" s="16" t="s">
        <v>847</v>
      </c>
      <c r="F229" s="16">
        <v>3</v>
      </c>
      <c r="G229" s="30" t="s">
        <v>850</v>
      </c>
      <c r="H229" s="16">
        <v>0</v>
      </c>
      <c r="I229" s="16" t="s">
        <v>429</v>
      </c>
      <c r="J229" s="16">
        <v>97.73</v>
      </c>
      <c r="K229" s="16">
        <v>0</v>
      </c>
      <c r="L229" s="16">
        <v>2255</v>
      </c>
      <c r="M229" s="8">
        <v>0</v>
      </c>
      <c r="N229" s="21">
        <v>45230</v>
      </c>
      <c r="O229" s="7">
        <f t="shared" si="12"/>
        <v>31</v>
      </c>
      <c r="P229" s="22">
        <f t="shared" si="13"/>
        <v>1</v>
      </c>
      <c r="Q229" s="22">
        <f t="shared" si="14"/>
        <v>31</v>
      </c>
      <c r="R229" s="16">
        <v>35</v>
      </c>
      <c r="S229">
        <v>4.6973649153778796</v>
      </c>
      <c r="T229">
        <v>-74.213728833965007</v>
      </c>
      <c r="U229" s="22">
        <v>17936</v>
      </c>
      <c r="V229" s="22">
        <v>17388</v>
      </c>
      <c r="W229" s="25">
        <v>15214</v>
      </c>
      <c r="X229" s="24">
        <v>15087</v>
      </c>
      <c r="Y229" s="24">
        <v>272875</v>
      </c>
      <c r="Z229" s="24">
        <v>262339</v>
      </c>
      <c r="AA229" s="24">
        <v>36841</v>
      </c>
      <c r="AB229" s="24">
        <v>37405</v>
      </c>
      <c r="AC229" s="24">
        <v>102593</v>
      </c>
      <c r="AD229" s="24">
        <v>98959</v>
      </c>
      <c r="AE229" s="24">
        <v>6323</v>
      </c>
      <c r="AF229" s="24">
        <v>6395</v>
      </c>
      <c r="AG229" s="17">
        <v>0</v>
      </c>
      <c r="AH229" s="16" t="s">
        <v>217</v>
      </c>
      <c r="AI229" s="16" t="s">
        <v>49</v>
      </c>
      <c r="AJ229" s="16" t="s">
        <v>124</v>
      </c>
      <c r="AK229" s="16" t="s">
        <v>51</v>
      </c>
      <c r="AL229" s="25">
        <v>204160</v>
      </c>
      <c r="AM229" s="43">
        <f t="shared" si="15"/>
        <v>64.698659572291007</v>
      </c>
      <c r="AN229" s="16" t="s">
        <v>449</v>
      </c>
      <c r="AO229" s="16" t="s">
        <v>53</v>
      </c>
    </row>
    <row r="230" spans="1:41" ht="14.5" x14ac:dyDescent="0.35">
      <c r="A230" s="27" t="s">
        <v>851</v>
      </c>
      <c r="B230" s="16" t="s">
        <v>183</v>
      </c>
      <c r="C230" s="16" t="s">
        <v>184</v>
      </c>
      <c r="D230" s="16" t="s">
        <v>771</v>
      </c>
      <c r="E230" s="16" t="s">
        <v>772</v>
      </c>
      <c r="F230" s="16">
        <v>2</v>
      </c>
      <c r="G230" s="30" t="s">
        <v>852</v>
      </c>
      <c r="H230" s="16">
        <v>0</v>
      </c>
      <c r="I230" s="16" t="s">
        <v>429</v>
      </c>
      <c r="J230" s="16">
        <v>94.52</v>
      </c>
      <c r="K230" s="16">
        <v>1763</v>
      </c>
      <c r="L230" s="16">
        <v>2870</v>
      </c>
      <c r="M230" s="8">
        <v>54</v>
      </c>
      <c r="N230" s="21">
        <v>45373</v>
      </c>
      <c r="O230" s="7">
        <f t="shared" si="12"/>
        <v>22</v>
      </c>
      <c r="P230" s="22">
        <f t="shared" si="13"/>
        <v>10</v>
      </c>
      <c r="Q230" s="22">
        <f t="shared" si="14"/>
        <v>31</v>
      </c>
      <c r="R230" s="16">
        <v>30</v>
      </c>
      <c r="S230">
        <v>10.9154216823745</v>
      </c>
      <c r="T230">
        <v>-74.773668127153002</v>
      </c>
      <c r="U230" s="22">
        <v>15361</v>
      </c>
      <c r="V230" s="22">
        <v>14275.666670000001</v>
      </c>
      <c r="W230" s="25">
        <v>16856</v>
      </c>
      <c r="X230" s="24">
        <v>16537</v>
      </c>
      <c r="Y230" s="24">
        <v>258923</v>
      </c>
      <c r="Z230" s="24">
        <v>236081</v>
      </c>
      <c r="AA230" s="24">
        <v>28598</v>
      </c>
      <c r="AB230" s="24">
        <v>19975</v>
      </c>
      <c r="AC230" s="24">
        <v>95993</v>
      </c>
      <c r="AD230" s="24">
        <v>85485</v>
      </c>
      <c r="AE230" s="24">
        <v>5528</v>
      </c>
      <c r="AF230" s="24">
        <v>5594</v>
      </c>
      <c r="AG230" s="17">
        <v>0</v>
      </c>
      <c r="AH230" s="16" t="s">
        <v>217</v>
      </c>
      <c r="AI230" s="16" t="s">
        <v>49</v>
      </c>
      <c r="AJ230" s="16" t="s">
        <v>50</v>
      </c>
      <c r="AK230" s="16" t="s">
        <v>51</v>
      </c>
      <c r="AL230" s="25">
        <v>232000</v>
      </c>
      <c r="AM230" s="43">
        <f t="shared" si="15"/>
        <v>58.484976724502751</v>
      </c>
      <c r="AN230" s="16" t="s">
        <v>759</v>
      </c>
      <c r="AO230" s="16" t="s">
        <v>53</v>
      </c>
    </row>
    <row r="231" spans="1:41" ht="14.5" x14ac:dyDescent="0.35">
      <c r="A231" s="27" t="s">
        <v>853</v>
      </c>
      <c r="B231" s="16" t="s">
        <v>55</v>
      </c>
      <c r="C231" s="16" t="s">
        <v>93</v>
      </c>
      <c r="D231" s="16" t="s">
        <v>854</v>
      </c>
      <c r="E231" s="16" t="s">
        <v>855</v>
      </c>
      <c r="F231" s="16">
        <v>3</v>
      </c>
      <c r="G231" s="30" t="s">
        <v>856</v>
      </c>
      <c r="H231" s="16">
        <v>0</v>
      </c>
      <c r="I231" s="16" t="s">
        <v>429</v>
      </c>
      <c r="J231" s="16">
        <v>137.33000000000001</v>
      </c>
      <c r="K231" s="16">
        <v>0</v>
      </c>
      <c r="L231" s="16">
        <v>6032</v>
      </c>
      <c r="M231" s="8">
        <v>0</v>
      </c>
      <c r="N231" s="21">
        <v>45135</v>
      </c>
      <c r="O231" s="7">
        <f t="shared" si="12"/>
        <v>28</v>
      </c>
      <c r="P231" s="22">
        <f t="shared" si="13"/>
        <v>4</v>
      </c>
      <c r="Q231" s="22">
        <f t="shared" si="14"/>
        <v>31</v>
      </c>
      <c r="R231" s="16">
        <v>38</v>
      </c>
      <c r="S231">
        <v>4.7351706936665501</v>
      </c>
      <c r="T231">
        <v>-74.183283978290405</v>
      </c>
      <c r="U231" s="22">
        <v>12578</v>
      </c>
      <c r="V231" s="22">
        <v>12649.833329999999</v>
      </c>
      <c r="W231" s="25">
        <v>12804</v>
      </c>
      <c r="X231" s="24">
        <v>13068</v>
      </c>
      <c r="Y231" s="24">
        <v>161043</v>
      </c>
      <c r="Z231" s="24">
        <v>165306</v>
      </c>
      <c r="AA231" s="24">
        <v>4033</v>
      </c>
      <c r="AB231" s="24">
        <v>11091</v>
      </c>
      <c r="AC231" s="24">
        <v>57157</v>
      </c>
      <c r="AD231" s="24">
        <v>59641</v>
      </c>
      <c r="AE231" s="24">
        <v>9666</v>
      </c>
      <c r="AF231" s="24">
        <v>9494</v>
      </c>
      <c r="AG231" s="17">
        <v>0</v>
      </c>
      <c r="AH231" s="16" t="s">
        <v>217</v>
      </c>
      <c r="AI231" s="16" t="s">
        <v>49</v>
      </c>
      <c r="AJ231" s="16" t="s">
        <v>50</v>
      </c>
      <c r="AK231" s="16" t="s">
        <v>51</v>
      </c>
      <c r="AL231" s="25">
        <v>232000</v>
      </c>
      <c r="AM231" s="43">
        <f t="shared" si="15"/>
        <v>70.385203524357379</v>
      </c>
      <c r="AN231" s="16" t="s">
        <v>759</v>
      </c>
      <c r="AO231" s="16" t="s">
        <v>60</v>
      </c>
    </row>
    <row r="232" spans="1:41" ht="14.5" x14ac:dyDescent="0.35">
      <c r="A232" s="27" t="s">
        <v>857</v>
      </c>
      <c r="B232" s="16" t="s">
        <v>119</v>
      </c>
      <c r="C232" s="16" t="s">
        <v>120</v>
      </c>
      <c r="D232" s="16" t="s">
        <v>121</v>
      </c>
      <c r="E232" s="16" t="s">
        <v>696</v>
      </c>
      <c r="F232" s="16">
        <v>3</v>
      </c>
      <c r="G232" s="30" t="s">
        <v>858</v>
      </c>
      <c r="H232" s="16">
        <v>0</v>
      </c>
      <c r="I232" s="16" t="s">
        <v>718</v>
      </c>
      <c r="J232" s="16">
        <v>158.91999999999999</v>
      </c>
      <c r="K232" s="16">
        <v>529</v>
      </c>
      <c r="L232" s="16">
        <v>2122</v>
      </c>
      <c r="M232" s="8">
        <v>0</v>
      </c>
      <c r="N232" s="21">
        <v>43329</v>
      </c>
      <c r="O232" s="7">
        <f t="shared" si="12"/>
        <v>17</v>
      </c>
      <c r="P232" s="22">
        <f t="shared" si="13"/>
        <v>15</v>
      </c>
      <c r="Q232" s="22">
        <f t="shared" si="14"/>
        <v>31</v>
      </c>
      <c r="R232" s="16">
        <v>97</v>
      </c>
      <c r="S232">
        <v>7.1163661611798599</v>
      </c>
      <c r="T232">
        <v>-73.120473991116498</v>
      </c>
      <c r="U232" s="22">
        <v>23006</v>
      </c>
      <c r="V232" s="22">
        <v>23299.666669999999</v>
      </c>
      <c r="W232" s="25">
        <v>9827</v>
      </c>
      <c r="X232" s="24">
        <v>10329</v>
      </c>
      <c r="Y232" s="24">
        <v>226083</v>
      </c>
      <c r="Z232" s="24">
        <v>240651</v>
      </c>
      <c r="AA232" s="24">
        <v>13503</v>
      </c>
      <c r="AB232" s="24">
        <v>17193</v>
      </c>
      <c r="AC232" s="24">
        <v>90285</v>
      </c>
      <c r="AD232" s="24">
        <v>92704</v>
      </c>
      <c r="AE232" s="24">
        <v>13731</v>
      </c>
      <c r="AF232" s="24">
        <v>13487</v>
      </c>
      <c r="AG232" s="17">
        <v>0</v>
      </c>
      <c r="AH232" s="16" t="s">
        <v>58</v>
      </c>
      <c r="AI232" s="16" t="s">
        <v>49</v>
      </c>
      <c r="AJ232" s="16" t="s">
        <v>50</v>
      </c>
      <c r="AK232" s="16" t="s">
        <v>51</v>
      </c>
      <c r="AL232" s="25">
        <v>232000</v>
      </c>
      <c r="AM232" s="43">
        <f t="shared" si="15"/>
        <v>86.401963251950676</v>
      </c>
      <c r="AN232" s="16" t="s">
        <v>52</v>
      </c>
      <c r="AO232" s="16" t="s">
        <v>60</v>
      </c>
    </row>
    <row r="233" spans="1:41" ht="14.5" x14ac:dyDescent="0.35">
      <c r="A233" s="27" t="s">
        <v>859</v>
      </c>
      <c r="B233" s="16" t="s">
        <v>55</v>
      </c>
      <c r="C233" s="16" t="s">
        <v>93</v>
      </c>
      <c r="D233" s="16" t="s">
        <v>846</v>
      </c>
      <c r="E233" s="16" t="s">
        <v>847</v>
      </c>
      <c r="F233" s="16">
        <v>3</v>
      </c>
      <c r="G233" s="30" t="s">
        <v>860</v>
      </c>
      <c r="H233" s="16">
        <v>0</v>
      </c>
      <c r="I233" s="16" t="s">
        <v>429</v>
      </c>
      <c r="J233" s="16">
        <v>63.41</v>
      </c>
      <c r="K233" s="16">
        <v>0</v>
      </c>
      <c r="L233" s="16">
        <v>2800</v>
      </c>
      <c r="M233" s="8">
        <v>62</v>
      </c>
      <c r="N233" s="21">
        <v>45226</v>
      </c>
      <c r="O233" s="7">
        <f t="shared" si="12"/>
        <v>27</v>
      </c>
      <c r="P233" s="22">
        <f t="shared" si="13"/>
        <v>5</v>
      </c>
      <c r="Q233" s="22">
        <f t="shared" si="14"/>
        <v>31</v>
      </c>
      <c r="R233" s="16">
        <v>35</v>
      </c>
      <c r="S233">
        <v>4.7211852011771596</v>
      </c>
      <c r="T233">
        <v>-74.239015758164797</v>
      </c>
      <c r="U233" s="22">
        <v>14766</v>
      </c>
      <c r="V233" s="22">
        <v>14311.5</v>
      </c>
      <c r="W233" s="25">
        <v>13116</v>
      </c>
      <c r="X233" s="24">
        <v>13161</v>
      </c>
      <c r="Y233" s="24">
        <v>193663</v>
      </c>
      <c r="Z233" s="24">
        <v>188346</v>
      </c>
      <c r="AA233" s="24">
        <v>26542</v>
      </c>
      <c r="AB233" s="24">
        <v>23988</v>
      </c>
      <c r="AC233" s="24">
        <v>76546</v>
      </c>
      <c r="AD233" s="24">
        <v>72940</v>
      </c>
      <c r="AE233" s="24">
        <v>5748</v>
      </c>
      <c r="AF233" s="24">
        <v>5814</v>
      </c>
      <c r="AG233" s="17">
        <v>0</v>
      </c>
      <c r="AH233" s="16" t="s">
        <v>217</v>
      </c>
      <c r="AI233" s="16" t="s">
        <v>49</v>
      </c>
      <c r="AJ233" s="16" t="s">
        <v>124</v>
      </c>
      <c r="AK233" s="16" t="s">
        <v>51</v>
      </c>
      <c r="AL233" s="25">
        <v>204160</v>
      </c>
      <c r="AM233" s="43">
        <f t="shared" si="15"/>
        <v>90.648162750354842</v>
      </c>
      <c r="AN233" s="16" t="s">
        <v>218</v>
      </c>
      <c r="AO233" s="16" t="s">
        <v>53</v>
      </c>
    </row>
    <row r="234" spans="1:41" ht="14.5" x14ac:dyDescent="0.35">
      <c r="A234" s="27" t="s">
        <v>861</v>
      </c>
      <c r="B234" s="16" t="s">
        <v>183</v>
      </c>
      <c r="C234" s="16" t="s">
        <v>184</v>
      </c>
      <c r="D234" s="16" t="s">
        <v>836</v>
      </c>
      <c r="E234" s="16" t="s">
        <v>837</v>
      </c>
      <c r="F234" s="16">
        <v>3</v>
      </c>
      <c r="G234" s="30" t="s">
        <v>862</v>
      </c>
      <c r="H234" s="16">
        <v>0</v>
      </c>
      <c r="I234" s="16" t="s">
        <v>429</v>
      </c>
      <c r="J234" s="16">
        <v>80.650000000000006</v>
      </c>
      <c r="K234" s="16">
        <v>10</v>
      </c>
      <c r="L234" s="16">
        <v>6700</v>
      </c>
      <c r="M234" s="8">
        <v>76</v>
      </c>
      <c r="N234" s="21">
        <v>45373</v>
      </c>
      <c r="O234" s="7">
        <f t="shared" si="12"/>
        <v>22</v>
      </c>
      <c r="P234" s="22">
        <f t="shared" si="13"/>
        <v>10</v>
      </c>
      <c r="Q234" s="22">
        <f t="shared" si="14"/>
        <v>31</v>
      </c>
      <c r="R234" s="16">
        <v>30</v>
      </c>
      <c r="S234">
        <v>11.015737503414201</v>
      </c>
      <c r="T234">
        <v>-74.846806803295706</v>
      </c>
      <c r="U234" s="22">
        <v>15835</v>
      </c>
      <c r="V234" s="22">
        <v>15740.5</v>
      </c>
      <c r="W234" s="25">
        <v>13176</v>
      </c>
      <c r="X234" s="24">
        <v>13287</v>
      </c>
      <c r="Y234" s="24">
        <v>208648</v>
      </c>
      <c r="Z234" s="24">
        <v>209148</v>
      </c>
      <c r="AA234" s="24">
        <v>13787</v>
      </c>
      <c r="AB234" s="24">
        <v>11469</v>
      </c>
      <c r="AC234" s="24">
        <v>83217</v>
      </c>
      <c r="AD234" s="24">
        <v>84337</v>
      </c>
      <c r="AE234" s="24">
        <v>7765</v>
      </c>
      <c r="AF234" s="24">
        <v>7849</v>
      </c>
      <c r="AG234" s="17">
        <v>0</v>
      </c>
      <c r="AH234" s="16" t="s">
        <v>217</v>
      </c>
      <c r="AI234" s="16" t="s">
        <v>49</v>
      </c>
      <c r="AJ234" s="16" t="s">
        <v>124</v>
      </c>
      <c r="AK234" s="16" t="s">
        <v>51</v>
      </c>
      <c r="AL234" s="25">
        <v>204160</v>
      </c>
      <c r="AM234" s="43">
        <f t="shared" si="15"/>
        <v>96.280223186608794</v>
      </c>
      <c r="AN234" s="16" t="s">
        <v>863</v>
      </c>
      <c r="AO234" s="16" t="s">
        <v>53</v>
      </c>
    </row>
    <row r="235" spans="1:41" ht="14.5" x14ac:dyDescent="0.35">
      <c r="A235" s="27" t="s">
        <v>864</v>
      </c>
      <c r="B235" s="16" t="s">
        <v>42</v>
      </c>
      <c r="C235" s="16" t="s">
        <v>43</v>
      </c>
      <c r="D235" s="16" t="s">
        <v>44</v>
      </c>
      <c r="E235" s="16" t="s">
        <v>865</v>
      </c>
      <c r="F235" s="16">
        <v>3</v>
      </c>
      <c r="G235" s="30" t="s">
        <v>866</v>
      </c>
      <c r="H235" s="16">
        <v>0</v>
      </c>
      <c r="I235" s="16" t="s">
        <v>718</v>
      </c>
      <c r="J235" s="16">
        <v>105.74</v>
      </c>
      <c r="K235" s="16">
        <v>2320</v>
      </c>
      <c r="L235" s="16">
        <v>690</v>
      </c>
      <c r="M235" s="8">
        <v>15</v>
      </c>
      <c r="N235" s="21">
        <v>45535</v>
      </c>
      <c r="O235" s="7">
        <f t="shared" si="12"/>
        <v>31</v>
      </c>
      <c r="P235" s="22">
        <f t="shared" si="13"/>
        <v>1</v>
      </c>
      <c r="Q235" s="22">
        <f t="shared" si="14"/>
        <v>31</v>
      </c>
      <c r="R235" s="16">
        <v>25</v>
      </c>
      <c r="S235">
        <v>4.7552756122042297</v>
      </c>
      <c r="T235">
        <v>-74.080160533711606</v>
      </c>
      <c r="U235" s="22">
        <v>19278</v>
      </c>
      <c r="V235" s="22">
        <v>18635.833330000001</v>
      </c>
      <c r="W235" s="25">
        <v>13257</v>
      </c>
      <c r="X235" s="24">
        <v>13957</v>
      </c>
      <c r="Y235" s="24">
        <v>255571</v>
      </c>
      <c r="Z235" s="24">
        <v>260104</v>
      </c>
      <c r="AA235" s="24">
        <v>26596</v>
      </c>
      <c r="AB235" s="24">
        <v>27479</v>
      </c>
      <c r="AC235" s="24">
        <v>88204</v>
      </c>
      <c r="AD235" s="24">
        <v>88336</v>
      </c>
      <c r="AE235" s="24">
        <v>9000</v>
      </c>
      <c r="AF235" s="24">
        <v>8727</v>
      </c>
      <c r="AG235" s="17">
        <v>0</v>
      </c>
      <c r="AH235" s="16" t="s">
        <v>217</v>
      </c>
      <c r="AI235" s="16" t="s">
        <v>49</v>
      </c>
      <c r="AJ235" s="16" t="s">
        <v>50</v>
      </c>
      <c r="AK235" s="16" t="s">
        <v>51</v>
      </c>
      <c r="AL235" s="25">
        <v>232000</v>
      </c>
      <c r="AM235" s="43">
        <f t="shared" si="15"/>
        <v>85.114431624739936</v>
      </c>
      <c r="AN235" s="16" t="s">
        <v>759</v>
      </c>
      <c r="AO235" s="16" t="s">
        <v>53</v>
      </c>
    </row>
    <row r="236" spans="1:41" ht="14.5" x14ac:dyDescent="0.35">
      <c r="A236" s="27" t="s">
        <v>867</v>
      </c>
      <c r="B236" s="16" t="s">
        <v>55</v>
      </c>
      <c r="C236" s="16" t="s">
        <v>43</v>
      </c>
      <c r="D236" s="16" t="s">
        <v>44</v>
      </c>
      <c r="E236" s="16" t="s">
        <v>286</v>
      </c>
      <c r="F236" s="16">
        <v>3</v>
      </c>
      <c r="G236" s="30" t="s">
        <v>868</v>
      </c>
      <c r="H236" s="16" t="s">
        <v>869</v>
      </c>
      <c r="I236" s="16" t="s">
        <v>718</v>
      </c>
      <c r="J236" s="16">
        <v>100.02</v>
      </c>
      <c r="K236" s="16">
        <v>1714</v>
      </c>
      <c r="L236" s="16">
        <v>1012</v>
      </c>
      <c r="M236" s="8">
        <v>39</v>
      </c>
      <c r="N236" s="21">
        <v>45547</v>
      </c>
      <c r="O236" s="7">
        <f t="shared" si="12"/>
        <v>12</v>
      </c>
      <c r="P236" s="22">
        <f t="shared" si="13"/>
        <v>19</v>
      </c>
      <c r="Q236" s="22">
        <f t="shared" si="14"/>
        <v>30</v>
      </c>
      <c r="R236" s="16">
        <v>24</v>
      </c>
      <c r="S236">
        <v>4.6186396001232799</v>
      </c>
      <c r="T236">
        <v>-74.146316839657501</v>
      </c>
      <c r="U236" s="22">
        <v>13193</v>
      </c>
      <c r="V236" s="22">
        <v>13225.166670000001</v>
      </c>
      <c r="W236" s="25">
        <v>12800</v>
      </c>
      <c r="X236" s="24">
        <v>12746</v>
      </c>
      <c r="Y236" s="24">
        <v>168867</v>
      </c>
      <c r="Z236" s="24">
        <v>168573</v>
      </c>
      <c r="AA236" s="24">
        <v>430</v>
      </c>
      <c r="AB236" s="42">
        <v>3209</v>
      </c>
      <c r="AC236" s="24">
        <v>55813</v>
      </c>
      <c r="AD236" s="24">
        <v>54798</v>
      </c>
      <c r="AE236" s="24">
        <v>7890</v>
      </c>
      <c r="AF236" s="24">
        <v>7975</v>
      </c>
      <c r="AG236" s="17">
        <v>0</v>
      </c>
      <c r="AH236" s="16" t="s">
        <v>217</v>
      </c>
      <c r="AI236" s="16" t="s">
        <v>49</v>
      </c>
      <c r="AJ236" s="16" t="s">
        <v>124</v>
      </c>
      <c r="AK236" s="16" t="s">
        <v>51</v>
      </c>
      <c r="AL236" s="25">
        <v>204160</v>
      </c>
      <c r="AM236" s="43">
        <f t="shared" si="15"/>
        <v>78.884223155368929</v>
      </c>
      <c r="AN236" s="16" t="s">
        <v>218</v>
      </c>
      <c r="AO236" s="16" t="s">
        <v>60</v>
      </c>
    </row>
    <row r="237" spans="1:41" ht="14.5" x14ac:dyDescent="0.35">
      <c r="A237" s="27" t="s">
        <v>870</v>
      </c>
      <c r="B237" s="16" t="s">
        <v>105</v>
      </c>
      <c r="C237" s="16" t="s">
        <v>106</v>
      </c>
      <c r="D237" s="16" t="s">
        <v>298</v>
      </c>
      <c r="E237" s="16" t="s">
        <v>871</v>
      </c>
      <c r="F237" s="16">
        <v>3</v>
      </c>
      <c r="G237" s="30" t="s">
        <v>872</v>
      </c>
      <c r="H237" s="16">
        <v>0</v>
      </c>
      <c r="I237" s="16" t="s">
        <v>429</v>
      </c>
      <c r="J237" s="16">
        <v>133.74</v>
      </c>
      <c r="K237" s="16">
        <v>22</v>
      </c>
      <c r="L237" s="16">
        <v>375</v>
      </c>
      <c r="M237" s="8">
        <v>64</v>
      </c>
      <c r="N237" s="21">
        <v>44979</v>
      </c>
      <c r="O237" s="7">
        <f t="shared" si="12"/>
        <v>22</v>
      </c>
      <c r="P237" s="22">
        <f t="shared" si="13"/>
        <v>7</v>
      </c>
      <c r="Q237" s="22">
        <f t="shared" si="14"/>
        <v>28</v>
      </c>
      <c r="R237" s="16">
        <v>43</v>
      </c>
      <c r="S237">
        <v>4.7785133878871298</v>
      </c>
      <c r="T237">
        <v>-75.695611212321893</v>
      </c>
      <c r="U237" s="22">
        <v>17666</v>
      </c>
      <c r="V237" s="22">
        <v>16332.333329999999</v>
      </c>
      <c r="W237" s="25">
        <v>17396</v>
      </c>
      <c r="X237" s="24">
        <v>15801</v>
      </c>
      <c r="Y237" s="24">
        <v>307318</v>
      </c>
      <c r="Z237" s="24">
        <v>258060</v>
      </c>
      <c r="AA237" s="24">
        <v>39521</v>
      </c>
      <c r="AB237" s="24">
        <v>32156</v>
      </c>
      <c r="AC237" s="24">
        <v>111851</v>
      </c>
      <c r="AD237" s="24">
        <v>98968</v>
      </c>
      <c r="AE237" s="24">
        <v>10002</v>
      </c>
      <c r="AF237" s="24">
        <v>10105</v>
      </c>
      <c r="AG237" s="17">
        <v>0</v>
      </c>
      <c r="AH237" s="16" t="s">
        <v>217</v>
      </c>
      <c r="AI237" s="16" t="s">
        <v>49</v>
      </c>
      <c r="AJ237" s="16" t="s">
        <v>50</v>
      </c>
      <c r="AK237" s="16" t="s">
        <v>51</v>
      </c>
      <c r="AL237" s="25">
        <v>232000</v>
      </c>
      <c r="AM237" s="43">
        <f t="shared" si="15"/>
        <v>74.786899955136832</v>
      </c>
      <c r="AN237" s="16" t="s">
        <v>800</v>
      </c>
      <c r="AO237" s="16" t="s">
        <v>60</v>
      </c>
    </row>
    <row r="238" spans="1:41" ht="14.5" x14ac:dyDescent="0.35">
      <c r="A238" s="27" t="s">
        <v>873</v>
      </c>
      <c r="B238" s="16" t="s">
        <v>55</v>
      </c>
      <c r="C238" s="16" t="s">
        <v>43</v>
      </c>
      <c r="D238" s="16" t="s">
        <v>44</v>
      </c>
      <c r="E238" s="16" t="s">
        <v>874</v>
      </c>
      <c r="F238" s="16">
        <v>3</v>
      </c>
      <c r="G238" s="30" t="s">
        <v>875</v>
      </c>
      <c r="H238" s="16">
        <v>0</v>
      </c>
      <c r="I238" s="16" t="s">
        <v>718</v>
      </c>
      <c r="J238" s="16">
        <v>113.94</v>
      </c>
      <c r="K238" s="16">
        <v>1041</v>
      </c>
      <c r="L238" s="16">
        <v>1138</v>
      </c>
      <c r="M238" s="8">
        <v>75</v>
      </c>
      <c r="N238" s="21">
        <v>45406</v>
      </c>
      <c r="O238" s="7">
        <f t="shared" si="12"/>
        <v>24</v>
      </c>
      <c r="P238" s="22">
        <f t="shared" si="13"/>
        <v>7</v>
      </c>
      <c r="Q238" s="22">
        <f t="shared" si="14"/>
        <v>30</v>
      </c>
      <c r="R238" s="16">
        <v>29</v>
      </c>
      <c r="S238">
        <v>4.6022802923643402</v>
      </c>
      <c r="T238">
        <v>-74.101162212369601</v>
      </c>
      <c r="U238" s="22">
        <v>21957</v>
      </c>
      <c r="V238" s="22">
        <v>21967.5</v>
      </c>
      <c r="W238" s="25">
        <v>12044</v>
      </c>
      <c r="X238" s="24">
        <v>12244</v>
      </c>
      <c r="Y238" s="24">
        <v>264442</v>
      </c>
      <c r="Z238" s="24">
        <v>268958</v>
      </c>
      <c r="AA238" s="24">
        <v>28406</v>
      </c>
      <c r="AB238" s="24">
        <v>33393</v>
      </c>
      <c r="AC238" s="24">
        <v>94735</v>
      </c>
      <c r="AD238" s="24">
        <v>94746</v>
      </c>
      <c r="AE238" s="24">
        <v>8514</v>
      </c>
      <c r="AF238" s="24">
        <v>8557</v>
      </c>
      <c r="AG238" s="17">
        <v>0</v>
      </c>
      <c r="AH238" s="16" t="s">
        <v>217</v>
      </c>
      <c r="AI238" s="16" t="s">
        <v>49</v>
      </c>
      <c r="AJ238" s="16" t="s">
        <v>124</v>
      </c>
      <c r="AK238" s="16" t="s">
        <v>51</v>
      </c>
      <c r="AL238" s="25">
        <v>204160</v>
      </c>
      <c r="AM238" s="43">
        <f t="shared" si="15"/>
        <v>74.723538704581358</v>
      </c>
      <c r="AN238" s="16" t="s">
        <v>789</v>
      </c>
      <c r="AO238" s="16" t="s">
        <v>53</v>
      </c>
    </row>
    <row r="239" spans="1:41" ht="14.5" x14ac:dyDescent="0.35">
      <c r="A239" s="27" t="s">
        <v>876</v>
      </c>
      <c r="B239" s="16" t="s">
        <v>183</v>
      </c>
      <c r="C239" s="16" t="s">
        <v>184</v>
      </c>
      <c r="D239" s="16" t="s">
        <v>836</v>
      </c>
      <c r="E239" s="16" t="s">
        <v>837</v>
      </c>
      <c r="F239" s="16">
        <v>6</v>
      </c>
      <c r="G239" s="30" t="s">
        <v>877</v>
      </c>
      <c r="H239" s="16" t="s">
        <v>878</v>
      </c>
      <c r="I239" s="16" t="s">
        <v>429</v>
      </c>
      <c r="J239" s="16">
        <v>150.58000000000001</v>
      </c>
      <c r="K239" s="16">
        <v>0</v>
      </c>
      <c r="L239" s="16">
        <v>40</v>
      </c>
      <c r="M239" s="8">
        <v>9</v>
      </c>
      <c r="N239" s="21">
        <v>45519</v>
      </c>
      <c r="O239" s="7">
        <f t="shared" si="12"/>
        <v>15</v>
      </c>
      <c r="P239" s="22">
        <f t="shared" si="13"/>
        <v>17</v>
      </c>
      <c r="Q239" s="22">
        <f t="shared" si="14"/>
        <v>31</v>
      </c>
      <c r="R239" s="16">
        <v>25</v>
      </c>
      <c r="S239">
        <v>11.014373260588201</v>
      </c>
      <c r="T239">
        <v>-74.878398904168805</v>
      </c>
      <c r="U239" s="22">
        <v>16153</v>
      </c>
      <c r="V239" s="22">
        <v>15569.166670000001</v>
      </c>
      <c r="W239" s="25">
        <v>18267</v>
      </c>
      <c r="X239" s="24">
        <v>18078</v>
      </c>
      <c r="Y239" s="24">
        <v>295059</v>
      </c>
      <c r="Z239" s="24">
        <v>281466</v>
      </c>
      <c r="AA239" s="24">
        <v>42851</v>
      </c>
      <c r="AB239" s="24">
        <v>37574</v>
      </c>
      <c r="AC239" s="24">
        <v>115465</v>
      </c>
      <c r="AD239" s="24">
        <v>109528</v>
      </c>
      <c r="AE239" s="24">
        <v>8845</v>
      </c>
      <c r="AF239" s="24">
        <v>8615</v>
      </c>
      <c r="AG239" s="17">
        <v>0</v>
      </c>
      <c r="AH239" s="16" t="s">
        <v>48</v>
      </c>
      <c r="AI239" s="16" t="s">
        <v>49</v>
      </c>
      <c r="AJ239" s="16" t="s">
        <v>76</v>
      </c>
      <c r="AK239" s="16" t="s">
        <v>51</v>
      </c>
      <c r="AL239" s="25">
        <v>241405</v>
      </c>
      <c r="AM239" s="43">
        <f t="shared" si="15"/>
        <v>58.739540443618004</v>
      </c>
      <c r="AN239" s="16">
        <v>0</v>
      </c>
      <c r="AO239" s="16" t="s">
        <v>60</v>
      </c>
    </row>
    <row r="240" spans="1:41" ht="14.5" x14ac:dyDescent="0.35">
      <c r="A240" s="27" t="s">
        <v>879</v>
      </c>
      <c r="B240" s="16" t="s">
        <v>42</v>
      </c>
      <c r="C240" s="16" t="s">
        <v>93</v>
      </c>
      <c r="D240" s="16" t="s">
        <v>880</v>
      </c>
      <c r="E240" s="16" t="s">
        <v>881</v>
      </c>
      <c r="F240" s="16">
        <v>2</v>
      </c>
      <c r="G240" s="30" t="s">
        <v>882</v>
      </c>
      <c r="H240" s="16">
        <v>0</v>
      </c>
      <c r="I240" s="16" t="s">
        <v>429</v>
      </c>
      <c r="J240" s="16">
        <v>233.94</v>
      </c>
      <c r="K240" s="16">
        <v>300</v>
      </c>
      <c r="L240" s="16">
        <v>800</v>
      </c>
      <c r="M240" s="8">
        <v>28</v>
      </c>
      <c r="N240" s="21">
        <v>44894</v>
      </c>
      <c r="O240" s="7">
        <f t="shared" si="12"/>
        <v>29</v>
      </c>
      <c r="P240" s="22">
        <f t="shared" si="13"/>
        <v>2</v>
      </c>
      <c r="Q240" s="22">
        <f t="shared" si="14"/>
        <v>30</v>
      </c>
      <c r="R240" s="16">
        <v>46</v>
      </c>
      <c r="S240">
        <v>4.92048241679817</v>
      </c>
      <c r="T240">
        <v>-73.947982989729596</v>
      </c>
      <c r="U240" s="22">
        <v>13344</v>
      </c>
      <c r="V240" s="22">
        <v>12905</v>
      </c>
      <c r="W240" s="25">
        <v>15958</v>
      </c>
      <c r="X240" s="24">
        <v>15987</v>
      </c>
      <c r="Y240" s="24">
        <v>212938</v>
      </c>
      <c r="Z240" s="24">
        <v>206314</v>
      </c>
      <c r="AA240" s="24">
        <v>20690</v>
      </c>
      <c r="AB240" s="24">
        <v>16133</v>
      </c>
      <c r="AC240" s="24">
        <v>81925</v>
      </c>
      <c r="AD240" s="24">
        <v>77281</v>
      </c>
      <c r="AE240" s="24">
        <v>9197</v>
      </c>
      <c r="AF240" s="24">
        <v>9293</v>
      </c>
      <c r="AG240" s="17">
        <v>0</v>
      </c>
      <c r="AH240" s="16" t="s">
        <v>58</v>
      </c>
      <c r="AI240" s="16" t="s">
        <v>49</v>
      </c>
      <c r="AJ240" s="16" t="s">
        <v>124</v>
      </c>
      <c r="AK240" s="16" t="s">
        <v>51</v>
      </c>
      <c r="AL240" s="25">
        <v>204160</v>
      </c>
      <c r="AM240" s="43">
        <f t="shared" si="15"/>
        <v>39.31349918782594</v>
      </c>
      <c r="AN240" s="16" t="s">
        <v>52</v>
      </c>
      <c r="AO240" s="16" t="s">
        <v>60</v>
      </c>
    </row>
    <row r="241" spans="1:41" ht="14.5" x14ac:dyDescent="0.35">
      <c r="A241" s="27" t="s">
        <v>883</v>
      </c>
      <c r="B241" s="16" t="s">
        <v>55</v>
      </c>
      <c r="C241" s="16" t="s">
        <v>93</v>
      </c>
      <c r="D241" s="16" t="s">
        <v>884</v>
      </c>
      <c r="E241" s="16" t="s">
        <v>885</v>
      </c>
      <c r="F241" s="16">
        <v>3</v>
      </c>
      <c r="G241" s="30" t="s">
        <v>886</v>
      </c>
      <c r="H241" s="16" t="s">
        <v>887</v>
      </c>
      <c r="I241" s="16" t="s">
        <v>888</v>
      </c>
      <c r="J241" s="16">
        <v>111.51</v>
      </c>
      <c r="K241" s="16">
        <v>1065</v>
      </c>
      <c r="L241" s="16">
        <v>274</v>
      </c>
      <c r="M241" s="8">
        <v>21</v>
      </c>
      <c r="N241" s="21">
        <v>46112</v>
      </c>
      <c r="O241" s="7">
        <f t="shared" si="12"/>
        <v>31</v>
      </c>
      <c r="P241" s="22">
        <f t="shared" si="13"/>
        <v>1</v>
      </c>
      <c r="Q241" s="22">
        <f t="shared" si="14"/>
        <v>31</v>
      </c>
      <c r="R241" s="16">
        <v>6</v>
      </c>
      <c r="S241">
        <v>5.0083857591644003</v>
      </c>
      <c r="T241">
        <v>-74.477404109267994</v>
      </c>
      <c r="U241" s="22">
        <v>11983</v>
      </c>
      <c r="V241" s="22">
        <v>9653.3333330000005</v>
      </c>
      <c r="W241" s="25">
        <v>15864</v>
      </c>
      <c r="X241" s="24">
        <v>16054</v>
      </c>
      <c r="Y241" s="24">
        <v>190102</v>
      </c>
      <c r="Z241" s="24">
        <v>154973</v>
      </c>
      <c r="AA241" s="24">
        <v>11697</v>
      </c>
      <c r="AB241" s="24">
        <v>9316</v>
      </c>
      <c r="AC241" s="24">
        <v>69574</v>
      </c>
      <c r="AD241" s="24">
        <v>59175</v>
      </c>
      <c r="AE241" s="24">
        <v>6000</v>
      </c>
      <c r="AF241" s="24">
        <v>3598</v>
      </c>
      <c r="AG241" s="17">
        <v>1.7338</v>
      </c>
      <c r="AH241" s="16" t="s">
        <v>64</v>
      </c>
      <c r="AI241" s="16" t="s">
        <v>49</v>
      </c>
      <c r="AJ241" s="16" t="s">
        <v>50</v>
      </c>
      <c r="AK241" s="16" t="s">
        <v>65</v>
      </c>
      <c r="AL241" s="25">
        <v>232000</v>
      </c>
      <c r="AM241" s="43">
        <f t="shared" si="15"/>
        <v>53.806833467850417</v>
      </c>
      <c r="AN241" s="16">
        <v>0</v>
      </c>
      <c r="AO241" s="16" t="s">
        <v>60</v>
      </c>
    </row>
    <row r="242" spans="1:41" ht="14.5" x14ac:dyDescent="0.35">
      <c r="A242" s="27" t="s">
        <v>889</v>
      </c>
      <c r="B242" s="16" t="s">
        <v>42</v>
      </c>
      <c r="C242" s="16" t="s">
        <v>93</v>
      </c>
      <c r="D242" s="16" t="s">
        <v>426</v>
      </c>
      <c r="E242" s="16" t="s">
        <v>427</v>
      </c>
      <c r="F242" s="16">
        <v>3</v>
      </c>
      <c r="G242" s="30" t="s">
        <v>890</v>
      </c>
      <c r="H242" s="16">
        <v>0</v>
      </c>
      <c r="I242" s="16" t="s">
        <v>429</v>
      </c>
      <c r="J242" s="16">
        <v>149.51</v>
      </c>
      <c r="K242" s="16">
        <v>440</v>
      </c>
      <c r="L242" s="16">
        <v>530</v>
      </c>
      <c r="M242" s="8">
        <v>80</v>
      </c>
      <c r="N242" s="21">
        <v>45077</v>
      </c>
      <c r="O242" s="7">
        <f t="shared" si="12"/>
        <v>31</v>
      </c>
      <c r="P242" s="22">
        <f t="shared" si="13"/>
        <v>1</v>
      </c>
      <c r="Q242" s="22">
        <f t="shared" si="14"/>
        <v>31</v>
      </c>
      <c r="R242" s="16">
        <v>40</v>
      </c>
      <c r="S242">
        <v>4.9588643485111303</v>
      </c>
      <c r="T242">
        <v>-74.009970554324198</v>
      </c>
      <c r="U242" s="22">
        <v>11901</v>
      </c>
      <c r="V242" s="22">
        <v>10719</v>
      </c>
      <c r="W242" s="25">
        <v>14271</v>
      </c>
      <c r="X242" s="24">
        <v>14779</v>
      </c>
      <c r="Y242" s="24">
        <v>169836</v>
      </c>
      <c r="Z242" s="24">
        <v>158416</v>
      </c>
      <c r="AA242" s="24">
        <v>12740</v>
      </c>
      <c r="AB242" s="24">
        <v>10396</v>
      </c>
      <c r="AC242" s="24">
        <v>68082</v>
      </c>
      <c r="AD242" s="24">
        <v>61140</v>
      </c>
      <c r="AE242" s="24">
        <v>8156</v>
      </c>
      <c r="AF242" s="24">
        <v>8169</v>
      </c>
      <c r="AG242" s="17">
        <v>0</v>
      </c>
      <c r="AH242" s="16" t="s">
        <v>217</v>
      </c>
      <c r="AI242" s="16" t="s">
        <v>49</v>
      </c>
      <c r="AJ242" s="16" t="s">
        <v>124</v>
      </c>
      <c r="AK242" s="16" t="s">
        <v>51</v>
      </c>
      <c r="AL242" s="25">
        <v>204160</v>
      </c>
      <c r="AM242" s="43">
        <f t="shared" si="15"/>
        <v>54.551535014380313</v>
      </c>
      <c r="AN242" s="16" t="s">
        <v>891</v>
      </c>
      <c r="AO242" s="16" t="s">
        <v>53</v>
      </c>
    </row>
    <row r="243" spans="1:41" ht="14.5" x14ac:dyDescent="0.35">
      <c r="A243" s="27" t="s">
        <v>892</v>
      </c>
      <c r="B243" s="16" t="s">
        <v>55</v>
      </c>
      <c r="C243" s="16" t="s">
        <v>43</v>
      </c>
      <c r="D243" s="16" t="s">
        <v>44</v>
      </c>
      <c r="E243" s="16" t="s">
        <v>206</v>
      </c>
      <c r="F243" s="16">
        <v>3</v>
      </c>
      <c r="G243" s="30" t="s">
        <v>893</v>
      </c>
      <c r="H243" s="16">
        <v>0</v>
      </c>
      <c r="I243" s="16" t="s">
        <v>718</v>
      </c>
      <c r="J243" s="16">
        <v>150.72</v>
      </c>
      <c r="K243" s="16">
        <v>56</v>
      </c>
      <c r="L243" s="16">
        <v>3200</v>
      </c>
      <c r="M243" s="8">
        <v>0</v>
      </c>
      <c r="N243" s="21">
        <v>45037</v>
      </c>
      <c r="O243" s="7">
        <f t="shared" si="12"/>
        <v>21</v>
      </c>
      <c r="P243" s="22">
        <f t="shared" si="13"/>
        <v>10</v>
      </c>
      <c r="Q243" s="22">
        <f t="shared" si="14"/>
        <v>30</v>
      </c>
      <c r="R243" s="16">
        <v>41</v>
      </c>
      <c r="S243">
        <v>4.6351359584290304</v>
      </c>
      <c r="T243">
        <v>-74.114642038762</v>
      </c>
      <c r="U243" s="22">
        <v>21265</v>
      </c>
      <c r="V243" s="22">
        <v>21327</v>
      </c>
      <c r="W243" s="25">
        <v>11666</v>
      </c>
      <c r="X243" s="24">
        <v>11637</v>
      </c>
      <c r="Y243" s="24">
        <v>248084</v>
      </c>
      <c r="Z243" s="24">
        <v>248171</v>
      </c>
      <c r="AA243" s="24">
        <v>30178</v>
      </c>
      <c r="AB243" s="24">
        <v>35128</v>
      </c>
      <c r="AC243" s="24">
        <v>92556</v>
      </c>
      <c r="AD243" s="24">
        <v>92145</v>
      </c>
      <c r="AE243" s="24">
        <v>6645</v>
      </c>
      <c r="AF243" s="24">
        <v>6720</v>
      </c>
      <c r="AG243" s="17">
        <v>0</v>
      </c>
      <c r="AH243" s="16" t="s">
        <v>217</v>
      </c>
      <c r="AI243" s="16" t="s">
        <v>49</v>
      </c>
      <c r="AJ243" s="16" t="s">
        <v>124</v>
      </c>
      <c r="AK243" s="16" t="s">
        <v>51</v>
      </c>
      <c r="AL243" s="25">
        <v>204160</v>
      </c>
      <c r="AM243" s="43">
        <f t="shared" si="15"/>
        <v>44.088375796178347</v>
      </c>
      <c r="AN243" s="16" t="s">
        <v>218</v>
      </c>
      <c r="AO243" s="16" t="s">
        <v>53</v>
      </c>
    </row>
    <row r="244" spans="1:41" ht="14.5" x14ac:dyDescent="0.35">
      <c r="A244" s="27" t="s">
        <v>894</v>
      </c>
      <c r="B244" s="16" t="s">
        <v>55</v>
      </c>
      <c r="C244" s="16" t="s">
        <v>43</v>
      </c>
      <c r="D244" s="16" t="s">
        <v>44</v>
      </c>
      <c r="E244" s="16" t="s">
        <v>159</v>
      </c>
      <c r="F244" s="16">
        <v>3</v>
      </c>
      <c r="G244" s="30" t="s">
        <v>895</v>
      </c>
      <c r="H244" s="16">
        <v>0</v>
      </c>
      <c r="I244" s="16" t="s">
        <v>47</v>
      </c>
      <c r="J244" s="16">
        <v>188.4</v>
      </c>
      <c r="K244" s="16">
        <v>2366</v>
      </c>
      <c r="L244" s="16">
        <v>2103</v>
      </c>
      <c r="M244" s="8">
        <v>0</v>
      </c>
      <c r="N244" s="21">
        <v>42359</v>
      </c>
      <c r="O244" s="7">
        <f t="shared" si="12"/>
        <v>21</v>
      </c>
      <c r="P244" s="22">
        <f t="shared" si="13"/>
        <v>11</v>
      </c>
      <c r="Q244" s="22">
        <f t="shared" si="14"/>
        <v>31</v>
      </c>
      <c r="R244" s="16">
        <v>115</v>
      </c>
      <c r="S244">
        <v>4.6007459299728897</v>
      </c>
      <c r="T244">
        <v>-74.068783132086594</v>
      </c>
      <c r="U244" s="22">
        <v>32570</v>
      </c>
      <c r="V244" s="22">
        <v>30518.166669999999</v>
      </c>
      <c r="W244" s="25">
        <v>13288</v>
      </c>
      <c r="X244" s="24">
        <v>13204</v>
      </c>
      <c r="Y244" s="24">
        <v>432800</v>
      </c>
      <c r="Z244" s="24">
        <v>402956</v>
      </c>
      <c r="AA244" s="24">
        <v>53616</v>
      </c>
      <c r="AB244" s="24">
        <v>45430</v>
      </c>
      <c r="AC244" s="24">
        <v>152651</v>
      </c>
      <c r="AD244" s="24">
        <v>136854</v>
      </c>
      <c r="AE244" s="24">
        <v>15191</v>
      </c>
      <c r="AF244" s="24">
        <v>14698</v>
      </c>
      <c r="AG244" s="17">
        <v>0</v>
      </c>
      <c r="AH244" s="16" t="s">
        <v>217</v>
      </c>
      <c r="AI244" s="16" t="s">
        <v>49</v>
      </c>
      <c r="AJ244" s="16" t="s">
        <v>124</v>
      </c>
      <c r="AK244" s="16" t="s">
        <v>51</v>
      </c>
      <c r="AL244" s="25">
        <v>204160</v>
      </c>
      <c r="AM244" s="43">
        <f t="shared" si="15"/>
        <v>80.631634819532906</v>
      </c>
      <c r="AN244" s="16" t="s">
        <v>891</v>
      </c>
      <c r="AO244" s="16" t="s">
        <v>60</v>
      </c>
    </row>
    <row r="245" spans="1:41" ht="14.5" x14ac:dyDescent="0.35">
      <c r="A245" s="27" t="s">
        <v>896</v>
      </c>
      <c r="B245" s="16" t="s">
        <v>42</v>
      </c>
      <c r="C245" s="16" t="s">
        <v>43</v>
      </c>
      <c r="D245" s="16" t="s">
        <v>44</v>
      </c>
      <c r="E245" s="16" t="s">
        <v>340</v>
      </c>
      <c r="F245" s="16">
        <v>5</v>
      </c>
      <c r="G245" s="30" t="s">
        <v>897</v>
      </c>
      <c r="H245" s="16">
        <v>0</v>
      </c>
      <c r="I245" s="16" t="s">
        <v>102</v>
      </c>
      <c r="J245" s="16">
        <v>106.95</v>
      </c>
      <c r="K245" s="16">
        <v>77</v>
      </c>
      <c r="L245" s="16">
        <v>8556</v>
      </c>
      <c r="M245" s="8">
        <v>0</v>
      </c>
      <c r="N245" s="21">
        <v>43607</v>
      </c>
      <c r="O245" s="7">
        <f t="shared" si="12"/>
        <v>22</v>
      </c>
      <c r="P245" s="22">
        <f t="shared" si="13"/>
        <v>10</v>
      </c>
      <c r="Q245" s="22">
        <f t="shared" si="14"/>
        <v>31</v>
      </c>
      <c r="R245" s="16">
        <v>88</v>
      </c>
      <c r="S245">
        <v>4.71075394941328</v>
      </c>
      <c r="T245">
        <v>-74.030090889510205</v>
      </c>
      <c r="U245" s="22">
        <v>29125</v>
      </c>
      <c r="V245" s="22">
        <v>25795.833330000001</v>
      </c>
      <c r="W245" s="25">
        <v>9721</v>
      </c>
      <c r="X245" s="24">
        <v>9844</v>
      </c>
      <c r="Y245" s="24">
        <v>283112</v>
      </c>
      <c r="Z245" s="24">
        <v>253945</v>
      </c>
      <c r="AA245" s="24">
        <v>62026</v>
      </c>
      <c r="AB245" s="24">
        <v>46578</v>
      </c>
      <c r="AC245" s="24">
        <v>122767</v>
      </c>
      <c r="AD245" s="24">
        <v>107030</v>
      </c>
      <c r="AE245" s="24">
        <v>9089</v>
      </c>
      <c r="AF245" s="24">
        <v>9092</v>
      </c>
      <c r="AG245" s="17">
        <v>0</v>
      </c>
      <c r="AH245" s="16" t="s">
        <v>217</v>
      </c>
      <c r="AI245" s="16" t="s">
        <v>49</v>
      </c>
      <c r="AJ245" s="16" t="s">
        <v>124</v>
      </c>
      <c r="AK245" s="16" t="s">
        <v>51</v>
      </c>
      <c r="AL245" s="25">
        <v>204160</v>
      </c>
      <c r="AM245" s="43">
        <f t="shared" si="15"/>
        <v>84.983637213651235</v>
      </c>
      <c r="AN245" s="16" t="s">
        <v>898</v>
      </c>
      <c r="AO245" s="16" t="s">
        <v>60</v>
      </c>
    </row>
    <row r="246" spans="1:41" ht="14.5" x14ac:dyDescent="0.35">
      <c r="A246" s="27" t="s">
        <v>899</v>
      </c>
      <c r="B246" s="16" t="s">
        <v>105</v>
      </c>
      <c r="C246" s="16" t="s">
        <v>170</v>
      </c>
      <c r="D246" s="16" t="s">
        <v>171</v>
      </c>
      <c r="E246" s="16" t="s">
        <v>276</v>
      </c>
      <c r="F246" s="16">
        <v>5</v>
      </c>
      <c r="G246" s="30" t="s">
        <v>900</v>
      </c>
      <c r="H246" s="16" t="s">
        <v>901</v>
      </c>
      <c r="I246" s="16" t="s">
        <v>47</v>
      </c>
      <c r="J246" s="16">
        <v>142.96</v>
      </c>
      <c r="K246" s="16">
        <v>1535</v>
      </c>
      <c r="L246" s="16">
        <v>3580</v>
      </c>
      <c r="M246" s="8">
        <v>0</v>
      </c>
      <c r="N246" s="21">
        <v>45618</v>
      </c>
      <c r="O246" s="7">
        <f t="shared" si="12"/>
        <v>22</v>
      </c>
      <c r="P246" s="22">
        <f t="shared" si="13"/>
        <v>9</v>
      </c>
      <c r="Q246" s="22">
        <f t="shared" si="14"/>
        <v>30</v>
      </c>
      <c r="R246" s="16">
        <v>22</v>
      </c>
      <c r="S246">
        <v>5.0574709805478903</v>
      </c>
      <c r="T246">
        <v>-75.486512440391905</v>
      </c>
      <c r="U246" s="22">
        <v>18968</v>
      </c>
      <c r="V246" s="22">
        <v>20099.666669999999</v>
      </c>
      <c r="W246" s="25">
        <v>10621</v>
      </c>
      <c r="X246" s="24">
        <v>10619</v>
      </c>
      <c r="Y246" s="24">
        <v>201460</v>
      </c>
      <c r="Z246" s="24">
        <v>213433</v>
      </c>
      <c r="AA246" s="24">
        <v>-11167</v>
      </c>
      <c r="AB246" s="24">
        <v>16515</v>
      </c>
      <c r="AC246" s="24">
        <v>69880</v>
      </c>
      <c r="AD246" s="24">
        <v>81513</v>
      </c>
      <c r="AE246" s="24">
        <v>11572</v>
      </c>
      <c r="AF246" s="24">
        <v>11688</v>
      </c>
      <c r="AG246" s="17">
        <v>0</v>
      </c>
      <c r="AH246" s="16" t="s">
        <v>82</v>
      </c>
      <c r="AI246" s="16" t="s">
        <v>49</v>
      </c>
      <c r="AJ246" s="16" t="s">
        <v>50</v>
      </c>
      <c r="AK246" s="16" t="s">
        <v>51</v>
      </c>
      <c r="AL246" s="25">
        <v>232000</v>
      </c>
      <c r="AM246" s="43">
        <f t="shared" si="15"/>
        <v>80.945719082260766</v>
      </c>
      <c r="AN246" s="16" t="s">
        <v>52</v>
      </c>
      <c r="AO246" s="16" t="s">
        <v>53</v>
      </c>
    </row>
    <row r="247" spans="1:41" ht="14.5" x14ac:dyDescent="0.35">
      <c r="A247" s="27" t="s">
        <v>902</v>
      </c>
      <c r="B247" s="16" t="s">
        <v>55</v>
      </c>
      <c r="C247" s="16" t="s">
        <v>43</v>
      </c>
      <c r="D247" s="16" t="s">
        <v>44</v>
      </c>
      <c r="E247" s="16" t="s">
        <v>240</v>
      </c>
      <c r="F247" s="16">
        <v>4</v>
      </c>
      <c r="G247" s="30" t="s">
        <v>903</v>
      </c>
      <c r="H247" s="16">
        <v>0</v>
      </c>
      <c r="I247" s="16" t="s">
        <v>102</v>
      </c>
      <c r="J247" s="16">
        <v>71.989999999999995</v>
      </c>
      <c r="K247" s="16">
        <v>13</v>
      </c>
      <c r="L247" s="16">
        <v>8300</v>
      </c>
      <c r="M247" s="8">
        <v>115</v>
      </c>
      <c r="N247" s="21">
        <v>42688</v>
      </c>
      <c r="O247" s="7">
        <f t="shared" si="12"/>
        <v>14</v>
      </c>
      <c r="P247" s="22">
        <f t="shared" si="13"/>
        <v>17</v>
      </c>
      <c r="Q247" s="22">
        <f t="shared" si="14"/>
        <v>30</v>
      </c>
      <c r="R247" s="16">
        <v>116</v>
      </c>
      <c r="S247">
        <v>4.6578172806506997</v>
      </c>
      <c r="T247">
        <v>-74.107722396913005</v>
      </c>
      <c r="U247" s="22">
        <v>21862</v>
      </c>
      <c r="V247" s="22">
        <v>21587.5</v>
      </c>
      <c r="W247" s="25">
        <v>12623</v>
      </c>
      <c r="X247" s="24">
        <v>12705</v>
      </c>
      <c r="Y247" s="24">
        <v>275960</v>
      </c>
      <c r="Z247" s="24">
        <v>274259</v>
      </c>
      <c r="AA247" s="24">
        <v>38076</v>
      </c>
      <c r="AB247" s="24">
        <v>38139</v>
      </c>
      <c r="AC247" s="24">
        <v>104858</v>
      </c>
      <c r="AD247" s="24">
        <v>103342</v>
      </c>
      <c r="AE247" s="24">
        <v>12972</v>
      </c>
      <c r="AF247" s="24">
        <v>12780</v>
      </c>
      <c r="AG247" s="17">
        <v>0</v>
      </c>
      <c r="AH247" s="16" t="s">
        <v>217</v>
      </c>
      <c r="AI247" s="16" t="s">
        <v>49</v>
      </c>
      <c r="AJ247" s="16" t="s">
        <v>124</v>
      </c>
      <c r="AK247" s="16" t="s">
        <v>51</v>
      </c>
      <c r="AL247" s="25">
        <v>204160</v>
      </c>
      <c r="AM247" s="43">
        <f t="shared" si="15"/>
        <v>180.19169329073483</v>
      </c>
      <c r="AN247" s="16" t="s">
        <v>891</v>
      </c>
      <c r="AO247" s="16" t="s">
        <v>53</v>
      </c>
    </row>
    <row r="248" spans="1:41" ht="14.5" x14ac:dyDescent="0.35">
      <c r="A248" s="27" t="s">
        <v>904</v>
      </c>
      <c r="B248" s="16" t="s">
        <v>55</v>
      </c>
      <c r="C248" s="16" t="s">
        <v>43</v>
      </c>
      <c r="D248" s="16" t="s">
        <v>44</v>
      </c>
      <c r="E248" s="16" t="s">
        <v>585</v>
      </c>
      <c r="F248" s="16">
        <v>3</v>
      </c>
      <c r="G248" s="30" t="s">
        <v>905</v>
      </c>
      <c r="H248" s="16">
        <v>0</v>
      </c>
      <c r="I248" s="16" t="s">
        <v>47</v>
      </c>
      <c r="J248" s="16">
        <v>85.88</v>
      </c>
      <c r="K248" s="16">
        <v>37</v>
      </c>
      <c r="L248" s="16">
        <v>3800</v>
      </c>
      <c r="M248" s="8">
        <v>128</v>
      </c>
      <c r="N248" s="21">
        <v>45374</v>
      </c>
      <c r="O248" s="7">
        <f t="shared" si="12"/>
        <v>23</v>
      </c>
      <c r="P248" s="22">
        <f t="shared" si="13"/>
        <v>9</v>
      </c>
      <c r="Q248" s="22">
        <f t="shared" si="14"/>
        <v>31</v>
      </c>
      <c r="R248" s="16">
        <v>30</v>
      </c>
      <c r="S248">
        <v>4.6261066516884597</v>
      </c>
      <c r="T248">
        <v>-74.100067176477694</v>
      </c>
      <c r="U248" s="22">
        <v>20349</v>
      </c>
      <c r="V248" s="22">
        <v>21190.333330000001</v>
      </c>
      <c r="W248" s="25">
        <v>11304</v>
      </c>
      <c r="X248" s="24">
        <v>11368</v>
      </c>
      <c r="Y248" s="24">
        <v>230033</v>
      </c>
      <c r="Z248" s="24">
        <v>240886</v>
      </c>
      <c r="AA248" s="24">
        <v>26994</v>
      </c>
      <c r="AB248" s="24">
        <v>30682</v>
      </c>
      <c r="AC248" s="24">
        <v>86416</v>
      </c>
      <c r="AD248" s="24">
        <v>90227</v>
      </c>
      <c r="AE248" s="24">
        <v>9951</v>
      </c>
      <c r="AF248" s="24">
        <v>10053</v>
      </c>
      <c r="AG248" s="17">
        <v>0</v>
      </c>
      <c r="AH248" s="16" t="s">
        <v>217</v>
      </c>
      <c r="AI248" s="16" t="s">
        <v>49</v>
      </c>
      <c r="AJ248" s="16" t="s">
        <v>124</v>
      </c>
      <c r="AK248" s="16" t="s">
        <v>51</v>
      </c>
      <c r="AL248" s="25">
        <v>204160</v>
      </c>
      <c r="AM248" s="43">
        <f t="shared" si="15"/>
        <v>115.87098276665115</v>
      </c>
      <c r="AN248" s="16" t="s">
        <v>825</v>
      </c>
      <c r="AO248" s="16" t="s">
        <v>53</v>
      </c>
    </row>
    <row r="249" spans="1:41" ht="14.5" x14ac:dyDescent="0.35">
      <c r="A249" s="27" t="s">
        <v>906</v>
      </c>
      <c r="B249" s="16" t="s">
        <v>105</v>
      </c>
      <c r="C249" s="16" t="s">
        <v>157</v>
      </c>
      <c r="D249" s="16" t="s">
        <v>829</v>
      </c>
      <c r="E249" s="16" t="s">
        <v>830</v>
      </c>
      <c r="F249" s="16">
        <v>4</v>
      </c>
      <c r="G249" s="30" t="s">
        <v>907</v>
      </c>
      <c r="H249" s="16">
        <v>0</v>
      </c>
      <c r="I249" s="16" t="s">
        <v>102</v>
      </c>
      <c r="J249" s="16">
        <v>126.51</v>
      </c>
      <c r="K249" s="16">
        <v>1318</v>
      </c>
      <c r="L249" s="16">
        <v>40</v>
      </c>
      <c r="M249" s="8">
        <v>146</v>
      </c>
      <c r="N249" s="21">
        <v>45443</v>
      </c>
      <c r="O249" s="7">
        <f t="shared" si="12"/>
        <v>31</v>
      </c>
      <c r="P249" s="22">
        <f t="shared" si="13"/>
        <v>1</v>
      </c>
      <c r="Q249" s="22">
        <f t="shared" si="14"/>
        <v>31</v>
      </c>
      <c r="R249" s="16">
        <v>28</v>
      </c>
      <c r="S249">
        <v>6.1730079464315804</v>
      </c>
      <c r="T249">
        <v>-75.568743889443397</v>
      </c>
      <c r="U249" s="22">
        <v>11205</v>
      </c>
      <c r="V249" s="22">
        <v>10185.166670000001</v>
      </c>
      <c r="W249" s="25">
        <v>18097</v>
      </c>
      <c r="X249" s="24">
        <v>18245</v>
      </c>
      <c r="Y249" s="24">
        <v>202781</v>
      </c>
      <c r="Z249" s="24">
        <v>185832</v>
      </c>
      <c r="AA249" s="24">
        <v>17690</v>
      </c>
      <c r="AB249" s="24">
        <v>12035</v>
      </c>
      <c r="AC249" s="24">
        <v>77462</v>
      </c>
      <c r="AD249" s="24">
        <v>70003</v>
      </c>
      <c r="AE249" s="24">
        <v>13000</v>
      </c>
      <c r="AF249" s="24">
        <v>12636</v>
      </c>
      <c r="AG249" s="17">
        <v>0</v>
      </c>
      <c r="AH249" s="16" t="s">
        <v>217</v>
      </c>
      <c r="AI249" s="16" t="s">
        <v>49</v>
      </c>
      <c r="AJ249" s="16" t="s">
        <v>50</v>
      </c>
      <c r="AK249" s="16" t="s">
        <v>51</v>
      </c>
      <c r="AL249" s="25">
        <v>232000</v>
      </c>
      <c r="AM249" s="43">
        <f t="shared" si="15"/>
        <v>102.75867520354122</v>
      </c>
      <c r="AN249" s="16" t="s">
        <v>908</v>
      </c>
      <c r="AO249" s="16" t="s">
        <v>60</v>
      </c>
    </row>
    <row r="250" spans="1:41" ht="14.5" x14ac:dyDescent="0.35">
      <c r="A250" s="27" t="s">
        <v>909</v>
      </c>
      <c r="B250" s="16" t="s">
        <v>105</v>
      </c>
      <c r="C250" s="16" t="s">
        <v>106</v>
      </c>
      <c r="D250" s="16" t="s">
        <v>107</v>
      </c>
      <c r="E250" s="16" t="s">
        <v>268</v>
      </c>
      <c r="F250" s="16">
        <v>3</v>
      </c>
      <c r="G250" s="30" t="s">
        <v>910</v>
      </c>
      <c r="H250" s="16" t="s">
        <v>911</v>
      </c>
      <c r="I250" s="16" t="s">
        <v>47</v>
      </c>
      <c r="J250" s="16">
        <v>100.54</v>
      </c>
      <c r="K250" s="16">
        <v>1613</v>
      </c>
      <c r="L250" s="16">
        <v>615</v>
      </c>
      <c r="M250" s="8">
        <v>94</v>
      </c>
      <c r="N250" s="21">
        <v>45469</v>
      </c>
      <c r="O250" s="7">
        <f t="shared" si="12"/>
        <v>26</v>
      </c>
      <c r="P250" s="22">
        <f t="shared" si="13"/>
        <v>5</v>
      </c>
      <c r="Q250" s="22">
        <f t="shared" si="14"/>
        <v>30</v>
      </c>
      <c r="R250" s="16">
        <v>27</v>
      </c>
      <c r="S250">
        <v>4.81510900795144</v>
      </c>
      <c r="T250">
        <v>-75.677325615742902</v>
      </c>
      <c r="U250" s="22">
        <v>9800</v>
      </c>
      <c r="V250" s="22">
        <v>15098.666670000001</v>
      </c>
      <c r="W250" s="25">
        <v>14903</v>
      </c>
      <c r="X250" s="24">
        <v>14209</v>
      </c>
      <c r="Y250" s="24">
        <v>146052</v>
      </c>
      <c r="Z250" s="24">
        <v>214530</v>
      </c>
      <c r="AA250" s="24">
        <v>-71267</v>
      </c>
      <c r="AB250" s="24">
        <v>2012</v>
      </c>
      <c r="AC250" s="24">
        <v>-2945</v>
      </c>
      <c r="AD250" s="24">
        <v>63394</v>
      </c>
      <c r="AE250" s="24">
        <v>9398</v>
      </c>
      <c r="AF250" s="24">
        <v>9265</v>
      </c>
      <c r="AG250" s="17">
        <v>0</v>
      </c>
      <c r="AH250" s="16" t="s">
        <v>217</v>
      </c>
      <c r="AI250" s="16" t="s">
        <v>49</v>
      </c>
      <c r="AJ250" s="16" t="s">
        <v>50</v>
      </c>
      <c r="AK250" s="16" t="s">
        <v>51</v>
      </c>
      <c r="AL250" s="25">
        <v>232000</v>
      </c>
      <c r="AM250" s="43">
        <f t="shared" si="15"/>
        <v>93.475233737815785</v>
      </c>
      <c r="AN250" s="16" t="s">
        <v>912</v>
      </c>
      <c r="AO250" s="16" t="s">
        <v>60</v>
      </c>
    </row>
    <row r="251" spans="1:41" ht="14.5" x14ac:dyDescent="0.35">
      <c r="A251" s="27" t="s">
        <v>913</v>
      </c>
      <c r="B251" s="16" t="s">
        <v>55</v>
      </c>
      <c r="C251" s="16" t="s">
        <v>93</v>
      </c>
      <c r="D251" s="16" t="s">
        <v>94</v>
      </c>
      <c r="E251" s="16" t="s">
        <v>709</v>
      </c>
      <c r="F251" s="16">
        <v>3</v>
      </c>
      <c r="G251" s="30" t="s">
        <v>914</v>
      </c>
      <c r="H251" s="16">
        <v>0</v>
      </c>
      <c r="I251" s="16" t="s">
        <v>47</v>
      </c>
      <c r="J251" s="16">
        <v>127</v>
      </c>
      <c r="K251" s="16">
        <v>101</v>
      </c>
      <c r="L251" s="16">
        <v>1061</v>
      </c>
      <c r="M251" s="8">
        <v>52</v>
      </c>
      <c r="N251" s="21">
        <v>45009</v>
      </c>
      <c r="O251" s="7">
        <f t="shared" si="12"/>
        <v>24</v>
      </c>
      <c r="P251" s="22">
        <f t="shared" si="13"/>
        <v>8</v>
      </c>
      <c r="Q251" s="22">
        <f t="shared" si="14"/>
        <v>31</v>
      </c>
      <c r="R251" s="16">
        <v>42</v>
      </c>
      <c r="S251">
        <v>4.2964404861532097</v>
      </c>
      <c r="T251">
        <v>-74.804772405771701</v>
      </c>
      <c r="U251" s="22">
        <v>20665</v>
      </c>
      <c r="V251" s="22">
        <v>19049</v>
      </c>
      <c r="W251" s="25">
        <v>13154</v>
      </c>
      <c r="X251" s="24">
        <v>13468</v>
      </c>
      <c r="Y251" s="24">
        <v>271822</v>
      </c>
      <c r="Z251" s="24">
        <v>256554</v>
      </c>
      <c r="AA251" s="24">
        <v>25926</v>
      </c>
      <c r="AB251" s="24">
        <v>19734</v>
      </c>
      <c r="AC251" s="24">
        <v>91170</v>
      </c>
      <c r="AD251" s="24">
        <v>84881</v>
      </c>
      <c r="AE251" s="24">
        <v>8458</v>
      </c>
      <c r="AF251" s="24">
        <v>8548</v>
      </c>
      <c r="AG251" s="17">
        <v>0</v>
      </c>
      <c r="AH251" s="16" t="s">
        <v>217</v>
      </c>
      <c r="AI251" s="16" t="s">
        <v>49</v>
      </c>
      <c r="AJ251" s="16" t="s">
        <v>50</v>
      </c>
      <c r="AK251" s="16" t="s">
        <v>51</v>
      </c>
      <c r="AL251" s="25">
        <v>232000</v>
      </c>
      <c r="AM251" s="43">
        <f t="shared" si="15"/>
        <v>66.5984251968504</v>
      </c>
      <c r="AN251" s="16" t="s">
        <v>218</v>
      </c>
      <c r="AO251" s="16" t="s">
        <v>53</v>
      </c>
    </row>
    <row r="252" spans="1:41" ht="14.5" x14ac:dyDescent="0.35">
      <c r="A252" s="27" t="s">
        <v>915</v>
      </c>
      <c r="B252" s="16" t="s">
        <v>42</v>
      </c>
      <c r="C252" s="16" t="s">
        <v>93</v>
      </c>
      <c r="D252" s="16" t="s">
        <v>749</v>
      </c>
      <c r="E252" s="16" t="s">
        <v>750</v>
      </c>
      <c r="F252" s="16">
        <v>3</v>
      </c>
      <c r="G252" s="30" t="s">
        <v>916</v>
      </c>
      <c r="H252" s="16">
        <v>0</v>
      </c>
      <c r="I252" s="16" t="s">
        <v>47</v>
      </c>
      <c r="J252" s="16">
        <v>104.83</v>
      </c>
      <c r="K252" s="16">
        <v>1518</v>
      </c>
      <c r="L252" s="16">
        <v>770</v>
      </c>
      <c r="M252" s="8">
        <v>0</v>
      </c>
      <c r="N252" s="21">
        <v>45194</v>
      </c>
      <c r="O252" s="7">
        <f t="shared" si="12"/>
        <v>25</v>
      </c>
      <c r="P252" s="22">
        <f t="shared" si="13"/>
        <v>6</v>
      </c>
      <c r="Q252" s="22">
        <f t="shared" si="14"/>
        <v>30</v>
      </c>
      <c r="R252" s="16">
        <v>36</v>
      </c>
      <c r="S252">
        <v>4.8117517922548902</v>
      </c>
      <c r="T252">
        <v>-74.100048730440903</v>
      </c>
      <c r="U252" s="22">
        <v>20483</v>
      </c>
      <c r="V252" s="22">
        <v>18842.333330000001</v>
      </c>
      <c r="W252" s="25">
        <v>12922</v>
      </c>
      <c r="X252" s="24">
        <v>13283</v>
      </c>
      <c r="Y252" s="24">
        <v>264687</v>
      </c>
      <c r="Z252" s="24">
        <v>250287</v>
      </c>
      <c r="AA252" s="24">
        <v>27427</v>
      </c>
      <c r="AB252" s="24">
        <v>19019</v>
      </c>
      <c r="AC252" s="24">
        <v>91277</v>
      </c>
      <c r="AD252" s="24">
        <v>84316</v>
      </c>
      <c r="AE252" s="24">
        <v>9424</v>
      </c>
      <c r="AF252" s="24">
        <v>9214</v>
      </c>
      <c r="AG252" s="17">
        <v>0</v>
      </c>
      <c r="AH252" s="16" t="s">
        <v>217</v>
      </c>
      <c r="AI252" s="16" t="s">
        <v>49</v>
      </c>
      <c r="AJ252" s="16" t="s">
        <v>50</v>
      </c>
      <c r="AK252" s="16" t="s">
        <v>51</v>
      </c>
      <c r="AL252" s="25">
        <v>232000</v>
      </c>
      <c r="AM252" s="43">
        <f t="shared" si="15"/>
        <v>89.897929981875421</v>
      </c>
      <c r="AN252" s="16" t="s">
        <v>912</v>
      </c>
      <c r="AO252" s="16" t="s">
        <v>60</v>
      </c>
    </row>
    <row r="253" spans="1:41" ht="14.5" x14ac:dyDescent="0.35">
      <c r="A253" s="27" t="s">
        <v>917</v>
      </c>
      <c r="B253" s="16" t="s">
        <v>55</v>
      </c>
      <c r="C253" s="16" t="s">
        <v>93</v>
      </c>
      <c r="D253" s="16" t="s">
        <v>94</v>
      </c>
      <c r="E253" s="16" t="s">
        <v>918</v>
      </c>
      <c r="F253" s="16">
        <v>4</v>
      </c>
      <c r="G253" s="30" t="s">
        <v>919</v>
      </c>
      <c r="H253" s="16">
        <v>0</v>
      </c>
      <c r="I253" s="16" t="s">
        <v>47</v>
      </c>
      <c r="J253" s="16">
        <v>162.30000000000001</v>
      </c>
      <c r="K253" s="16">
        <v>429</v>
      </c>
      <c r="L253" s="16">
        <v>236</v>
      </c>
      <c r="M253" s="8">
        <v>64</v>
      </c>
      <c r="N253" s="21">
        <v>45009</v>
      </c>
      <c r="O253" s="7">
        <f t="shared" si="12"/>
        <v>24</v>
      </c>
      <c r="P253" s="22">
        <f t="shared" si="13"/>
        <v>8</v>
      </c>
      <c r="Q253" s="22">
        <f t="shared" si="14"/>
        <v>31</v>
      </c>
      <c r="R253" s="16">
        <v>42</v>
      </c>
      <c r="S253">
        <v>4.3103533393413596</v>
      </c>
      <c r="T253">
        <v>-74.791306592778199</v>
      </c>
      <c r="U253" s="22">
        <v>24352</v>
      </c>
      <c r="V253" s="22">
        <v>20915.833330000001</v>
      </c>
      <c r="W253" s="25">
        <v>12058</v>
      </c>
      <c r="X253" s="24">
        <v>12636</v>
      </c>
      <c r="Y253" s="24">
        <v>293625</v>
      </c>
      <c r="Z253" s="24">
        <v>264290</v>
      </c>
      <c r="AA253" s="24">
        <v>24224</v>
      </c>
      <c r="AB253" s="24">
        <v>14867</v>
      </c>
      <c r="AC253" s="24">
        <v>95768</v>
      </c>
      <c r="AD253" s="24">
        <v>84108</v>
      </c>
      <c r="AE253" s="24">
        <v>8458</v>
      </c>
      <c r="AF253" s="24">
        <v>8548</v>
      </c>
      <c r="AG253" s="17">
        <v>0</v>
      </c>
      <c r="AH253" s="16" t="s">
        <v>217</v>
      </c>
      <c r="AI253" s="16" t="s">
        <v>49</v>
      </c>
      <c r="AJ253" s="16" t="s">
        <v>50</v>
      </c>
      <c r="AK253" s="16" t="s">
        <v>51</v>
      </c>
      <c r="AL253" s="25">
        <v>204160</v>
      </c>
      <c r="AM253" s="43">
        <f t="shared" si="15"/>
        <v>52.113370301910038</v>
      </c>
      <c r="AN253" s="16" t="s">
        <v>920</v>
      </c>
      <c r="AO253" s="16" t="s">
        <v>53</v>
      </c>
    </row>
    <row r="254" spans="1:41" ht="14.5" x14ac:dyDescent="0.35">
      <c r="A254" s="27" t="s">
        <v>921</v>
      </c>
      <c r="B254" s="16" t="s">
        <v>55</v>
      </c>
      <c r="C254" s="16" t="s">
        <v>43</v>
      </c>
      <c r="D254" s="16" t="s">
        <v>44</v>
      </c>
      <c r="E254" s="16" t="s">
        <v>874</v>
      </c>
      <c r="F254" s="16">
        <v>3</v>
      </c>
      <c r="G254" s="30" t="s">
        <v>922</v>
      </c>
      <c r="H254" s="16">
        <v>0</v>
      </c>
      <c r="I254" s="16" t="s">
        <v>47</v>
      </c>
      <c r="J254" s="16">
        <v>132.02000000000001</v>
      </c>
      <c r="K254" s="16">
        <v>2559</v>
      </c>
      <c r="L254" s="16">
        <v>1580</v>
      </c>
      <c r="M254" s="8">
        <v>59</v>
      </c>
      <c r="N254" s="21">
        <v>45152</v>
      </c>
      <c r="O254" s="7">
        <f t="shared" si="12"/>
        <v>14</v>
      </c>
      <c r="P254" s="22">
        <f t="shared" si="13"/>
        <v>18</v>
      </c>
      <c r="Q254" s="22">
        <f t="shared" si="14"/>
        <v>31</v>
      </c>
      <c r="R254" s="16">
        <v>37</v>
      </c>
      <c r="S254">
        <v>4.60023623144538</v>
      </c>
      <c r="T254">
        <v>-74.094588168896095</v>
      </c>
      <c r="U254" s="22">
        <v>17542</v>
      </c>
      <c r="V254" s="22">
        <v>18419.166669999999</v>
      </c>
      <c r="W254" s="25">
        <v>14445</v>
      </c>
      <c r="X254" s="24">
        <v>14330</v>
      </c>
      <c r="Y254" s="24">
        <v>253400</v>
      </c>
      <c r="Z254" s="24">
        <v>263937</v>
      </c>
      <c r="AA254" s="24">
        <v>22454</v>
      </c>
      <c r="AB254" s="24">
        <v>27498</v>
      </c>
      <c r="AC254" s="24">
        <v>84709</v>
      </c>
      <c r="AD254" s="24">
        <v>86162</v>
      </c>
      <c r="AE254" s="24">
        <v>8458</v>
      </c>
      <c r="AF254" s="24">
        <v>8278</v>
      </c>
      <c r="AG254" s="17">
        <v>0</v>
      </c>
      <c r="AH254" s="16" t="s">
        <v>58</v>
      </c>
      <c r="AI254" s="16" t="s">
        <v>49</v>
      </c>
      <c r="AJ254" s="16" t="s">
        <v>50</v>
      </c>
      <c r="AK254" s="16" t="s">
        <v>51</v>
      </c>
      <c r="AL254" s="25">
        <v>232000</v>
      </c>
      <c r="AM254" s="43">
        <f t="shared" si="15"/>
        <v>64.066050598394185</v>
      </c>
      <c r="AN254" s="16">
        <v>0</v>
      </c>
      <c r="AO254" s="16" t="s">
        <v>60</v>
      </c>
    </row>
    <row r="255" spans="1:41" ht="14.5" x14ac:dyDescent="0.35">
      <c r="A255" s="27" t="s">
        <v>923</v>
      </c>
      <c r="B255" s="16" t="s">
        <v>42</v>
      </c>
      <c r="C255" s="16" t="s">
        <v>43</v>
      </c>
      <c r="D255" s="16" t="s">
        <v>44</v>
      </c>
      <c r="E255" s="16" t="s">
        <v>68</v>
      </c>
      <c r="F255" s="16">
        <v>5</v>
      </c>
      <c r="G255" s="30" t="s">
        <v>924</v>
      </c>
      <c r="H255" s="16">
        <v>0</v>
      </c>
      <c r="I255" s="16" t="s">
        <v>102</v>
      </c>
      <c r="J255" s="16">
        <v>227.46</v>
      </c>
      <c r="K255" s="16">
        <v>42</v>
      </c>
      <c r="L255" s="16">
        <v>8836</v>
      </c>
      <c r="M255" s="8">
        <v>0</v>
      </c>
      <c r="N255" s="21">
        <v>42684</v>
      </c>
      <c r="O255" s="7">
        <f t="shared" si="12"/>
        <v>10</v>
      </c>
      <c r="P255" s="22">
        <f t="shared" si="13"/>
        <v>21</v>
      </c>
      <c r="Q255" s="22">
        <f t="shared" si="14"/>
        <v>30</v>
      </c>
      <c r="R255" s="16">
        <v>116</v>
      </c>
      <c r="S255">
        <v>4.66864521004661</v>
      </c>
      <c r="T255">
        <v>-74.054181120906506</v>
      </c>
      <c r="U255" s="22">
        <v>39343</v>
      </c>
      <c r="V255" s="22">
        <v>36692.666669999999</v>
      </c>
      <c r="W255" s="25">
        <v>13841</v>
      </c>
      <c r="X255" s="24">
        <v>13735</v>
      </c>
      <c r="Y255" s="24">
        <v>544560</v>
      </c>
      <c r="Z255" s="24">
        <v>503976</v>
      </c>
      <c r="AA255" s="24">
        <v>77564</v>
      </c>
      <c r="AB255" s="24">
        <v>80090</v>
      </c>
      <c r="AC255" s="24">
        <v>207652</v>
      </c>
      <c r="AD255" s="24">
        <v>195240</v>
      </c>
      <c r="AE255" s="24">
        <v>23632</v>
      </c>
      <c r="AF255" s="24">
        <v>23564</v>
      </c>
      <c r="AG255" s="17">
        <v>0</v>
      </c>
      <c r="AH255" s="16" t="s">
        <v>217</v>
      </c>
      <c r="AI255" s="16" t="s">
        <v>49</v>
      </c>
      <c r="AJ255" s="16" t="s">
        <v>124</v>
      </c>
      <c r="AK255" s="16" t="s">
        <v>51</v>
      </c>
      <c r="AL255" s="25">
        <v>204160</v>
      </c>
      <c r="AM255" s="43">
        <f t="shared" si="15"/>
        <v>103.89519036314077</v>
      </c>
      <c r="AN255" s="16" t="s">
        <v>218</v>
      </c>
      <c r="AO255" s="16" t="s">
        <v>60</v>
      </c>
    </row>
    <row r="256" spans="1:41" ht="14.5" x14ac:dyDescent="0.35">
      <c r="A256" s="27" t="s">
        <v>925</v>
      </c>
      <c r="B256" s="16" t="s">
        <v>42</v>
      </c>
      <c r="C256" s="16" t="s">
        <v>43</v>
      </c>
      <c r="D256" s="16" t="s">
        <v>44</v>
      </c>
      <c r="E256" s="16" t="s">
        <v>668</v>
      </c>
      <c r="F256" s="16">
        <v>3</v>
      </c>
      <c r="G256" s="30" t="s">
        <v>668</v>
      </c>
      <c r="H256" s="16">
        <v>0</v>
      </c>
      <c r="I256" s="16" t="s">
        <v>102</v>
      </c>
      <c r="J256" s="16">
        <v>108.85</v>
      </c>
      <c r="K256" s="16">
        <v>2400</v>
      </c>
      <c r="L256" s="16">
        <v>570</v>
      </c>
      <c r="M256" s="8">
        <v>0</v>
      </c>
      <c r="N256" s="21">
        <v>44454</v>
      </c>
      <c r="O256" s="7">
        <f t="shared" si="12"/>
        <v>15</v>
      </c>
      <c r="P256" s="22">
        <f t="shared" si="13"/>
        <v>16</v>
      </c>
      <c r="Q256" s="22">
        <f t="shared" si="14"/>
        <v>30</v>
      </c>
      <c r="R256" s="16">
        <v>60</v>
      </c>
      <c r="S256">
        <v>4.7385689966590396</v>
      </c>
      <c r="T256">
        <v>-74.089061090804194</v>
      </c>
      <c r="U256" s="22">
        <v>15249</v>
      </c>
      <c r="V256" s="22">
        <v>15314.666670000001</v>
      </c>
      <c r="W256" s="25">
        <v>12376</v>
      </c>
      <c r="X256" s="24">
        <v>13222</v>
      </c>
      <c r="Y256" s="24">
        <v>188724</v>
      </c>
      <c r="Z256" s="24">
        <v>202483</v>
      </c>
      <c r="AA256" s="24">
        <v>11423</v>
      </c>
      <c r="AB256" s="24">
        <v>14623</v>
      </c>
      <c r="AC256" s="24">
        <v>63542</v>
      </c>
      <c r="AD256" s="24">
        <v>66453</v>
      </c>
      <c r="AE256" s="24">
        <v>6042</v>
      </c>
      <c r="AF256" s="24">
        <v>5869</v>
      </c>
      <c r="AG256" s="17">
        <v>0</v>
      </c>
      <c r="AH256" s="16" t="s">
        <v>64</v>
      </c>
      <c r="AI256" s="16" t="s">
        <v>49</v>
      </c>
      <c r="AJ256" s="16" t="s">
        <v>50</v>
      </c>
      <c r="AK256" s="16" t="s">
        <v>51</v>
      </c>
      <c r="AL256" s="25">
        <v>232000</v>
      </c>
      <c r="AM256" s="43">
        <f t="shared" si="15"/>
        <v>55.50757923748278</v>
      </c>
      <c r="AN256" s="16" t="s">
        <v>926</v>
      </c>
      <c r="AO256" s="16" t="s">
        <v>60</v>
      </c>
    </row>
    <row r="257" spans="1:41" ht="14.5" x14ac:dyDescent="0.35">
      <c r="A257" s="27" t="s">
        <v>927</v>
      </c>
      <c r="B257" s="16" t="s">
        <v>42</v>
      </c>
      <c r="C257" s="16" t="s">
        <v>93</v>
      </c>
      <c r="D257" s="16" t="s">
        <v>749</v>
      </c>
      <c r="E257" s="16" t="s">
        <v>750</v>
      </c>
      <c r="F257" s="16">
        <v>3</v>
      </c>
      <c r="G257" s="30" t="s">
        <v>928</v>
      </c>
      <c r="H257" s="16">
        <v>0</v>
      </c>
      <c r="I257" s="16" t="s">
        <v>47</v>
      </c>
      <c r="J257" s="16">
        <v>91.85</v>
      </c>
      <c r="K257" s="16">
        <v>1754</v>
      </c>
      <c r="L257" s="16">
        <v>617</v>
      </c>
      <c r="M257" s="8">
        <v>166</v>
      </c>
      <c r="N257" s="21">
        <v>45230</v>
      </c>
      <c r="O257" s="7">
        <f t="shared" si="12"/>
        <v>31</v>
      </c>
      <c r="P257" s="22">
        <f t="shared" si="13"/>
        <v>1</v>
      </c>
      <c r="Q257" s="22">
        <f t="shared" si="14"/>
        <v>31</v>
      </c>
      <c r="R257" s="16">
        <v>35</v>
      </c>
      <c r="S257">
        <v>4.8077025733347902</v>
      </c>
      <c r="T257">
        <v>-74.103500312205995</v>
      </c>
      <c r="U257" s="22">
        <v>13005</v>
      </c>
      <c r="V257" s="22">
        <v>12348.333329999999</v>
      </c>
      <c r="W257" s="25">
        <v>12895</v>
      </c>
      <c r="X257" s="24">
        <v>13685</v>
      </c>
      <c r="Y257" s="24">
        <v>167705</v>
      </c>
      <c r="Z257" s="24">
        <v>168981</v>
      </c>
      <c r="AA257" s="24">
        <v>4923</v>
      </c>
      <c r="AB257" s="24">
        <v>5175</v>
      </c>
      <c r="AC257" s="24">
        <v>59685</v>
      </c>
      <c r="AD257" s="24">
        <v>57658</v>
      </c>
      <c r="AE257" s="24">
        <v>7817</v>
      </c>
      <c r="AF257" s="24">
        <v>7902</v>
      </c>
      <c r="AG257" s="17">
        <v>0</v>
      </c>
      <c r="AH257" s="16" t="s">
        <v>217</v>
      </c>
      <c r="AI257" s="16" t="s">
        <v>49</v>
      </c>
      <c r="AJ257" s="16" t="s">
        <v>124</v>
      </c>
      <c r="AK257" s="16" t="s">
        <v>51</v>
      </c>
      <c r="AL257" s="25">
        <v>204160</v>
      </c>
      <c r="AM257" s="43">
        <f t="shared" si="15"/>
        <v>85.106151333696246</v>
      </c>
      <c r="AN257" s="16" t="s">
        <v>218</v>
      </c>
      <c r="AO257" s="16" t="s">
        <v>60</v>
      </c>
    </row>
    <row r="258" spans="1:41" ht="14.5" x14ac:dyDescent="0.35">
      <c r="A258" s="27" t="s">
        <v>929</v>
      </c>
      <c r="B258" s="16" t="s">
        <v>105</v>
      </c>
      <c r="C258" s="16" t="s">
        <v>170</v>
      </c>
      <c r="D258" s="16" t="s">
        <v>171</v>
      </c>
      <c r="E258" s="16" t="s">
        <v>276</v>
      </c>
      <c r="F258" s="16">
        <v>5</v>
      </c>
      <c r="G258" s="30" t="s">
        <v>930</v>
      </c>
      <c r="H258" s="16">
        <v>0</v>
      </c>
      <c r="I258" s="16" t="s">
        <v>47</v>
      </c>
      <c r="J258" s="16">
        <v>153.47999999999999</v>
      </c>
      <c r="K258" s="16">
        <v>1120</v>
      </c>
      <c r="L258" s="16">
        <v>500</v>
      </c>
      <c r="M258" s="8">
        <v>32</v>
      </c>
      <c r="N258" s="21">
        <v>45279</v>
      </c>
      <c r="O258" s="7">
        <f t="shared" ref="O258:O321" si="16">DAY(N258)</f>
        <v>19</v>
      </c>
      <c r="P258" s="22">
        <f t="shared" ref="P258:P321" si="17">Q258-O258+1</f>
        <v>13</v>
      </c>
      <c r="Q258" s="22">
        <f t="shared" ref="Q258:Q321" si="18">DAY(EOMONTH(N258,0))</f>
        <v>31</v>
      </c>
      <c r="R258" s="16">
        <v>33</v>
      </c>
      <c r="S258">
        <v>5.0622061062505397</v>
      </c>
      <c r="T258">
        <v>-75.492713784322106</v>
      </c>
      <c r="U258" s="22">
        <v>14318</v>
      </c>
      <c r="V258" s="22">
        <v>13631.833329999999</v>
      </c>
      <c r="W258" s="25">
        <v>15204</v>
      </c>
      <c r="X258" s="24">
        <v>15365</v>
      </c>
      <c r="Y258" s="24">
        <v>217687</v>
      </c>
      <c r="Z258" s="24">
        <v>209456</v>
      </c>
      <c r="AA258" s="42">
        <v>14611</v>
      </c>
      <c r="AB258" s="24">
        <v>12804</v>
      </c>
      <c r="AC258" s="24">
        <v>86202</v>
      </c>
      <c r="AD258" s="24">
        <v>80381</v>
      </c>
      <c r="AE258" s="24">
        <v>16095</v>
      </c>
      <c r="AF258" s="24">
        <v>16249</v>
      </c>
      <c r="AG258" s="17">
        <v>0</v>
      </c>
      <c r="AH258" s="16" t="s">
        <v>217</v>
      </c>
      <c r="AI258" s="16" t="s">
        <v>49</v>
      </c>
      <c r="AJ258" s="16" t="s">
        <v>124</v>
      </c>
      <c r="AK258" s="16" t="s">
        <v>51</v>
      </c>
      <c r="AL258" s="25">
        <v>204160</v>
      </c>
      <c r="AM258" s="43">
        <f t="shared" ref="AM258:AM321" si="19">AE258/J258</f>
        <v>104.86708365910869</v>
      </c>
      <c r="AN258" s="16" t="s">
        <v>789</v>
      </c>
      <c r="AO258" s="16" t="s">
        <v>53</v>
      </c>
    </row>
    <row r="259" spans="1:41" ht="14.5" x14ac:dyDescent="0.35">
      <c r="A259" s="27" t="s">
        <v>931</v>
      </c>
      <c r="B259" s="16" t="s">
        <v>55</v>
      </c>
      <c r="C259" s="16" t="s">
        <v>43</v>
      </c>
      <c r="D259" s="16" t="s">
        <v>44</v>
      </c>
      <c r="E259" s="16" t="s">
        <v>932</v>
      </c>
      <c r="F259" s="16">
        <v>3</v>
      </c>
      <c r="G259" s="30" t="s">
        <v>933</v>
      </c>
      <c r="H259" s="16">
        <v>0</v>
      </c>
      <c r="I259" s="16" t="s">
        <v>47</v>
      </c>
      <c r="J259" s="16">
        <v>118.65</v>
      </c>
      <c r="K259" s="16">
        <v>240</v>
      </c>
      <c r="L259" s="16">
        <v>4932</v>
      </c>
      <c r="M259" s="8">
        <v>0</v>
      </c>
      <c r="N259" s="21">
        <v>44141</v>
      </c>
      <c r="O259" s="7">
        <f t="shared" si="16"/>
        <v>6</v>
      </c>
      <c r="P259" s="22">
        <f t="shared" si="17"/>
        <v>25</v>
      </c>
      <c r="Q259" s="22">
        <f t="shared" si="18"/>
        <v>30</v>
      </c>
      <c r="R259" s="16">
        <v>70</v>
      </c>
      <c r="S259">
        <v>4.6593762170659998</v>
      </c>
      <c r="T259">
        <v>-74.106192385321407</v>
      </c>
      <c r="U259" s="22">
        <v>42831</v>
      </c>
      <c r="V259" s="22">
        <v>44783</v>
      </c>
      <c r="W259" s="25">
        <v>10389</v>
      </c>
      <c r="X259" s="24">
        <v>10225</v>
      </c>
      <c r="Y259" s="24">
        <v>444955</v>
      </c>
      <c r="Z259" s="24">
        <v>457891</v>
      </c>
      <c r="AA259" s="24">
        <v>81168</v>
      </c>
      <c r="AB259" s="24">
        <v>93236</v>
      </c>
      <c r="AC259" s="24">
        <v>190986</v>
      </c>
      <c r="AD259" s="24">
        <v>194970</v>
      </c>
      <c r="AE259" s="24">
        <v>17658</v>
      </c>
      <c r="AF259" s="24">
        <v>17837</v>
      </c>
      <c r="AG259" s="17">
        <v>0</v>
      </c>
      <c r="AH259" s="16" t="s">
        <v>934</v>
      </c>
      <c r="AI259" s="16" t="s">
        <v>49</v>
      </c>
      <c r="AJ259" s="16" t="s">
        <v>124</v>
      </c>
      <c r="AK259" s="16" t="s">
        <v>51</v>
      </c>
      <c r="AL259" s="25">
        <v>204160</v>
      </c>
      <c r="AM259" s="43">
        <f t="shared" si="19"/>
        <v>148.82427307206066</v>
      </c>
      <c r="AN259" s="16" t="s">
        <v>52</v>
      </c>
      <c r="AO259" s="16" t="s">
        <v>53</v>
      </c>
    </row>
    <row r="260" spans="1:41" ht="14.5" x14ac:dyDescent="0.35">
      <c r="A260" s="27" t="s">
        <v>935</v>
      </c>
      <c r="B260" s="16" t="s">
        <v>42</v>
      </c>
      <c r="C260" s="16" t="s">
        <v>43</v>
      </c>
      <c r="D260" s="16" t="s">
        <v>44</v>
      </c>
      <c r="E260" s="16" t="s">
        <v>340</v>
      </c>
      <c r="F260" s="16">
        <v>6</v>
      </c>
      <c r="G260" s="30" t="s">
        <v>936</v>
      </c>
      <c r="H260" s="16" t="s">
        <v>937</v>
      </c>
      <c r="I260" s="16" t="s">
        <v>47</v>
      </c>
      <c r="J260" s="16">
        <v>190.12</v>
      </c>
      <c r="K260" s="16">
        <v>0</v>
      </c>
      <c r="L260" s="16">
        <v>20651</v>
      </c>
      <c r="M260" s="8">
        <v>72</v>
      </c>
      <c r="N260" s="21">
        <v>45645</v>
      </c>
      <c r="O260" s="7">
        <f t="shared" si="16"/>
        <v>19</v>
      </c>
      <c r="P260" s="22">
        <f t="shared" si="17"/>
        <v>13</v>
      </c>
      <c r="Q260" s="22">
        <f t="shared" si="18"/>
        <v>31</v>
      </c>
      <c r="R260" s="16">
        <v>21</v>
      </c>
      <c r="S260">
        <v>4.6929552775994603</v>
      </c>
      <c r="T260">
        <v>-74.034110663728796</v>
      </c>
      <c r="U260" s="22">
        <v>23796</v>
      </c>
      <c r="V260" s="22">
        <v>24885</v>
      </c>
      <c r="W260" s="25">
        <v>9510</v>
      </c>
      <c r="X260" s="24">
        <v>9634</v>
      </c>
      <c r="Y260" s="24">
        <v>226304</v>
      </c>
      <c r="Z260" s="24">
        <v>239736</v>
      </c>
      <c r="AA260" s="24">
        <v>21580</v>
      </c>
      <c r="AB260" s="24">
        <v>26445</v>
      </c>
      <c r="AC260" s="24">
        <v>96740</v>
      </c>
      <c r="AD260" s="24">
        <v>101919</v>
      </c>
      <c r="AE260" s="24">
        <v>25299</v>
      </c>
      <c r="AF260" s="24">
        <v>25531</v>
      </c>
      <c r="AG260" s="17">
        <v>0</v>
      </c>
      <c r="AH260" s="16" t="s">
        <v>58</v>
      </c>
      <c r="AI260" s="16" t="s">
        <v>49</v>
      </c>
      <c r="AJ260" s="16" t="s">
        <v>124</v>
      </c>
      <c r="AK260" s="16" t="s">
        <v>51</v>
      </c>
      <c r="AL260" s="25">
        <v>232000</v>
      </c>
      <c r="AM260" s="43">
        <f t="shared" si="19"/>
        <v>133.06858826004628</v>
      </c>
      <c r="AN260" s="16" t="s">
        <v>52</v>
      </c>
      <c r="AO260" s="16" t="s">
        <v>53</v>
      </c>
    </row>
    <row r="261" spans="1:41" ht="14.5" x14ac:dyDescent="0.35">
      <c r="A261" s="27" t="s">
        <v>938</v>
      </c>
      <c r="B261" s="16" t="s">
        <v>55</v>
      </c>
      <c r="C261" s="16" t="s">
        <v>93</v>
      </c>
      <c r="D261" s="16" t="s">
        <v>939</v>
      </c>
      <c r="E261" s="16" t="s">
        <v>940</v>
      </c>
      <c r="F261" s="16">
        <v>3</v>
      </c>
      <c r="G261" s="30" t="s">
        <v>941</v>
      </c>
      <c r="H261" s="16">
        <v>0</v>
      </c>
      <c r="I261" s="16" t="s">
        <v>47</v>
      </c>
      <c r="J261" s="16">
        <v>70.83</v>
      </c>
      <c r="K261" s="16">
        <v>0</v>
      </c>
      <c r="L261" s="16">
        <v>3290</v>
      </c>
      <c r="M261" s="8">
        <v>125</v>
      </c>
      <c r="N261" s="21">
        <v>45246</v>
      </c>
      <c r="O261" s="7">
        <f t="shared" si="16"/>
        <v>16</v>
      </c>
      <c r="P261" s="22">
        <f t="shared" si="17"/>
        <v>15</v>
      </c>
      <c r="Q261" s="22">
        <f t="shared" si="18"/>
        <v>30</v>
      </c>
      <c r="R261" s="16">
        <v>34</v>
      </c>
      <c r="S261">
        <v>4.6305435807669504</v>
      </c>
      <c r="T261">
        <v>-74.4605022125631</v>
      </c>
      <c r="U261" s="22">
        <v>14211</v>
      </c>
      <c r="V261" s="22">
        <v>13013.666670000001</v>
      </c>
      <c r="W261" s="25">
        <v>14471</v>
      </c>
      <c r="X261" s="24">
        <v>14800</v>
      </c>
      <c r="Y261" s="24">
        <v>205645</v>
      </c>
      <c r="Z261" s="24">
        <v>192597</v>
      </c>
      <c r="AA261" s="24">
        <v>13908</v>
      </c>
      <c r="AB261" s="24">
        <v>10275</v>
      </c>
      <c r="AC261" s="24">
        <v>70498</v>
      </c>
      <c r="AD261" s="24">
        <v>65442</v>
      </c>
      <c r="AE261" s="24">
        <v>7364</v>
      </c>
      <c r="AF261" s="24">
        <v>7445</v>
      </c>
      <c r="AG261" s="17">
        <v>0</v>
      </c>
      <c r="AH261" s="16" t="s">
        <v>82</v>
      </c>
      <c r="AI261" s="16" t="s">
        <v>49</v>
      </c>
      <c r="AJ261" s="16" t="s">
        <v>50</v>
      </c>
      <c r="AK261" s="16" t="s">
        <v>51</v>
      </c>
      <c r="AL261" s="25">
        <v>232000</v>
      </c>
      <c r="AM261" s="43">
        <f t="shared" si="19"/>
        <v>103.96724551743611</v>
      </c>
      <c r="AN261" s="16" t="s">
        <v>942</v>
      </c>
      <c r="AO261" s="16" t="s">
        <v>53</v>
      </c>
    </row>
    <row r="262" spans="1:41" ht="14.5" x14ac:dyDescent="0.35">
      <c r="A262" s="27" t="s">
        <v>943</v>
      </c>
      <c r="B262" s="16" t="s">
        <v>105</v>
      </c>
      <c r="C262" s="16" t="s">
        <v>112</v>
      </c>
      <c r="D262" s="16" t="s">
        <v>113</v>
      </c>
      <c r="E262" s="16" t="s">
        <v>268</v>
      </c>
      <c r="F262" s="16">
        <v>6</v>
      </c>
      <c r="G262" s="30" t="s">
        <v>944</v>
      </c>
      <c r="H262" s="16" t="s">
        <v>945</v>
      </c>
      <c r="I262" s="16" t="s">
        <v>102</v>
      </c>
      <c r="J262" s="16">
        <v>110</v>
      </c>
      <c r="K262" s="16">
        <v>1840</v>
      </c>
      <c r="L262" s="16">
        <v>353</v>
      </c>
      <c r="M262" s="8">
        <v>167</v>
      </c>
      <c r="N262" s="21">
        <v>45679</v>
      </c>
      <c r="O262" s="7">
        <f t="shared" si="16"/>
        <v>22</v>
      </c>
      <c r="P262" s="22">
        <f t="shared" si="17"/>
        <v>10</v>
      </c>
      <c r="Q262" s="22">
        <f t="shared" si="18"/>
        <v>31</v>
      </c>
      <c r="R262" s="16">
        <v>20</v>
      </c>
      <c r="S262">
        <v>3.4539472491291399</v>
      </c>
      <c r="T262">
        <v>-76.549096149913396</v>
      </c>
      <c r="U262" s="22">
        <v>12523</v>
      </c>
      <c r="V262" s="22">
        <v>11065.666670000001</v>
      </c>
      <c r="W262" s="25">
        <v>15712</v>
      </c>
      <c r="X262" s="24">
        <v>15990</v>
      </c>
      <c r="Y262" s="24">
        <v>196759</v>
      </c>
      <c r="Z262" s="24">
        <v>176943</v>
      </c>
      <c r="AA262" s="24">
        <v>778</v>
      </c>
      <c r="AB262" s="24">
        <v>6663</v>
      </c>
      <c r="AC262" s="24">
        <v>77299</v>
      </c>
      <c r="AD262" s="24">
        <v>66233</v>
      </c>
      <c r="AE262" s="24">
        <v>11572</v>
      </c>
      <c r="AF262" s="24">
        <v>11688</v>
      </c>
      <c r="AG262" s="17">
        <v>0</v>
      </c>
      <c r="AH262" s="16" t="s">
        <v>58</v>
      </c>
      <c r="AI262" s="16" t="s">
        <v>49</v>
      </c>
      <c r="AJ262" s="16" t="s">
        <v>124</v>
      </c>
      <c r="AK262" s="16" t="s">
        <v>51</v>
      </c>
      <c r="AL262" s="25">
        <v>204160</v>
      </c>
      <c r="AM262" s="43">
        <f t="shared" si="19"/>
        <v>105.2</v>
      </c>
      <c r="AN262" s="16">
        <v>0</v>
      </c>
      <c r="AO262" s="16" t="s">
        <v>53</v>
      </c>
    </row>
    <row r="263" spans="1:41" ht="14.5" x14ac:dyDescent="0.35">
      <c r="A263" s="27" t="s">
        <v>946</v>
      </c>
      <c r="B263" s="16" t="s">
        <v>55</v>
      </c>
      <c r="C263" s="16" t="s">
        <v>43</v>
      </c>
      <c r="D263" s="16" t="s">
        <v>44</v>
      </c>
      <c r="E263" s="16" t="s">
        <v>947</v>
      </c>
      <c r="F263" s="16">
        <v>4</v>
      </c>
      <c r="G263" s="30" t="s">
        <v>948</v>
      </c>
      <c r="H263" s="16" t="s">
        <v>949</v>
      </c>
      <c r="I263" s="16" t="s">
        <v>47</v>
      </c>
      <c r="J263" s="16">
        <v>160</v>
      </c>
      <c r="K263" s="16">
        <v>200</v>
      </c>
      <c r="L263" s="16">
        <v>2940</v>
      </c>
      <c r="M263" s="8">
        <v>175</v>
      </c>
      <c r="N263" s="21">
        <v>45808</v>
      </c>
      <c r="O263" s="7">
        <f t="shared" si="16"/>
        <v>31</v>
      </c>
      <c r="P263" s="22">
        <f t="shared" si="17"/>
        <v>1</v>
      </c>
      <c r="Q263" s="22">
        <f t="shared" si="18"/>
        <v>31</v>
      </c>
      <c r="R263" s="16">
        <v>16</v>
      </c>
      <c r="S263">
        <v>4.5899105030602101</v>
      </c>
      <c r="T263">
        <v>-74.131370272183403</v>
      </c>
      <c r="U263" s="22">
        <v>13998</v>
      </c>
      <c r="V263" s="22">
        <v>12674.5</v>
      </c>
      <c r="W263" s="25">
        <v>13047</v>
      </c>
      <c r="X263" s="24">
        <v>12724</v>
      </c>
      <c r="Y263" s="24">
        <v>182633</v>
      </c>
      <c r="Z263" s="24">
        <v>161264</v>
      </c>
      <c r="AA263" s="24">
        <v>24273</v>
      </c>
      <c r="AB263" s="24">
        <v>19686</v>
      </c>
      <c r="AC263" s="24">
        <v>78537</v>
      </c>
      <c r="AD263" s="24">
        <v>71073</v>
      </c>
      <c r="AE263" s="24">
        <v>3952</v>
      </c>
      <c r="AF263" s="24">
        <v>4045</v>
      </c>
      <c r="AG263" s="17">
        <v>1.2594000000000001</v>
      </c>
      <c r="AH263" s="16" t="s">
        <v>58</v>
      </c>
      <c r="AI263" s="16" t="s">
        <v>49</v>
      </c>
      <c r="AJ263" s="16" t="s">
        <v>124</v>
      </c>
      <c r="AK263" s="16" t="s">
        <v>51</v>
      </c>
      <c r="AL263" s="25">
        <v>204160</v>
      </c>
      <c r="AM263" s="43">
        <f t="shared" si="19"/>
        <v>24.7</v>
      </c>
      <c r="AN263" s="16" t="s">
        <v>350</v>
      </c>
      <c r="AO263" s="16" t="s">
        <v>53</v>
      </c>
    </row>
    <row r="264" spans="1:41" ht="14.5" x14ac:dyDescent="0.35">
      <c r="A264" s="27" t="s">
        <v>950</v>
      </c>
      <c r="B264" s="16" t="s">
        <v>119</v>
      </c>
      <c r="C264" s="16" t="s">
        <v>120</v>
      </c>
      <c r="D264" s="16" t="s">
        <v>121</v>
      </c>
      <c r="E264" s="16" t="s">
        <v>696</v>
      </c>
      <c r="F264" s="16">
        <v>3</v>
      </c>
      <c r="G264" s="30" t="s">
        <v>951</v>
      </c>
      <c r="H264" s="16">
        <v>0</v>
      </c>
      <c r="I264" s="16" t="s">
        <v>47</v>
      </c>
      <c r="J264" s="16">
        <v>100.44</v>
      </c>
      <c r="K264" s="16">
        <v>122</v>
      </c>
      <c r="L264" s="16">
        <v>2847</v>
      </c>
      <c r="M264" s="8">
        <v>0</v>
      </c>
      <c r="N264" s="21">
        <v>43883</v>
      </c>
      <c r="O264" s="7">
        <f t="shared" si="16"/>
        <v>22</v>
      </c>
      <c r="P264" s="22">
        <f t="shared" si="17"/>
        <v>8</v>
      </c>
      <c r="Q264" s="22">
        <f t="shared" si="18"/>
        <v>29</v>
      </c>
      <c r="R264" s="16">
        <v>79</v>
      </c>
      <c r="S264">
        <v>7.1175900199000504</v>
      </c>
      <c r="T264">
        <v>-73.124544070114197</v>
      </c>
      <c r="U264" s="22">
        <v>21109</v>
      </c>
      <c r="V264" s="22">
        <v>20995.666669999999</v>
      </c>
      <c r="W264" s="25">
        <v>9154</v>
      </c>
      <c r="X264" s="24">
        <v>9288</v>
      </c>
      <c r="Y264" s="24">
        <v>193223</v>
      </c>
      <c r="Z264" s="24">
        <v>194997</v>
      </c>
      <c r="AA264" s="24">
        <v>14767</v>
      </c>
      <c r="AB264" s="24">
        <v>17521</v>
      </c>
      <c r="AC264" s="24">
        <v>75627</v>
      </c>
      <c r="AD264" s="24">
        <v>75037</v>
      </c>
      <c r="AE264" s="24">
        <v>10268</v>
      </c>
      <c r="AF264" s="24">
        <v>10308</v>
      </c>
      <c r="AG264" s="17">
        <v>0</v>
      </c>
      <c r="AH264" s="16" t="s">
        <v>48</v>
      </c>
      <c r="AI264" s="16" t="s">
        <v>49</v>
      </c>
      <c r="AJ264" s="16" t="s">
        <v>76</v>
      </c>
      <c r="AK264" s="16" t="s">
        <v>51</v>
      </c>
      <c r="AL264" s="25">
        <v>241405</v>
      </c>
      <c r="AM264" s="43">
        <f t="shared" si="19"/>
        <v>102.23018717642374</v>
      </c>
      <c r="AN264" s="16" t="s">
        <v>952</v>
      </c>
      <c r="AO264" s="16" t="s">
        <v>60</v>
      </c>
    </row>
    <row r="265" spans="1:41" ht="14.5" x14ac:dyDescent="0.35">
      <c r="A265" s="27" t="s">
        <v>953</v>
      </c>
      <c r="B265" s="16" t="s">
        <v>105</v>
      </c>
      <c r="C265" s="16" t="s">
        <v>177</v>
      </c>
      <c r="D265" s="16" t="s">
        <v>178</v>
      </c>
      <c r="E265" s="16" t="s">
        <v>228</v>
      </c>
      <c r="F265" s="16">
        <v>6</v>
      </c>
      <c r="G265" s="30" t="s">
        <v>954</v>
      </c>
      <c r="H265" s="16">
        <v>0</v>
      </c>
      <c r="I265" s="16" t="s">
        <v>47</v>
      </c>
      <c r="J265" s="16">
        <v>119.1</v>
      </c>
      <c r="K265" s="16">
        <v>1083</v>
      </c>
      <c r="L265" s="16">
        <v>1075</v>
      </c>
      <c r="M265" s="8">
        <v>62</v>
      </c>
      <c r="N265" s="21">
        <v>45472</v>
      </c>
      <c r="O265" s="7">
        <f t="shared" si="16"/>
        <v>29</v>
      </c>
      <c r="P265" s="22">
        <f t="shared" si="17"/>
        <v>2</v>
      </c>
      <c r="Q265" s="22">
        <f t="shared" si="18"/>
        <v>30</v>
      </c>
      <c r="R265" s="16">
        <v>27</v>
      </c>
      <c r="S265">
        <v>4.5604026100960997</v>
      </c>
      <c r="T265">
        <v>-75.655609211014493</v>
      </c>
      <c r="U265" s="22">
        <v>17259</v>
      </c>
      <c r="V265" s="22">
        <v>15428.666670000001</v>
      </c>
      <c r="W265" s="25">
        <v>13039</v>
      </c>
      <c r="X265" s="24">
        <v>13378</v>
      </c>
      <c r="Y265" s="24">
        <v>225040</v>
      </c>
      <c r="Z265" s="24">
        <v>206410</v>
      </c>
      <c r="AA265" s="24">
        <v>15427</v>
      </c>
      <c r="AB265" s="24">
        <v>9802</v>
      </c>
      <c r="AC265" s="24">
        <v>84782</v>
      </c>
      <c r="AD265" s="24">
        <v>73650</v>
      </c>
      <c r="AE265" s="24">
        <v>11057</v>
      </c>
      <c r="AF265" s="24">
        <v>10881</v>
      </c>
      <c r="AG265" s="17">
        <v>0</v>
      </c>
      <c r="AH265" s="16" t="s">
        <v>48</v>
      </c>
      <c r="AI265" s="16" t="s">
        <v>49</v>
      </c>
      <c r="AJ265" s="16" t="s">
        <v>50</v>
      </c>
      <c r="AK265" s="16" t="s">
        <v>51</v>
      </c>
      <c r="AL265" s="25">
        <v>232000</v>
      </c>
      <c r="AM265" s="43">
        <f t="shared" si="19"/>
        <v>92.837951301427381</v>
      </c>
      <c r="AN265" s="16" t="s">
        <v>955</v>
      </c>
      <c r="AO265" s="16" t="s">
        <v>60</v>
      </c>
    </row>
    <row r="266" spans="1:41" ht="14.5" x14ac:dyDescent="0.35">
      <c r="A266" s="27" t="s">
        <v>956</v>
      </c>
      <c r="B266" s="16" t="s">
        <v>42</v>
      </c>
      <c r="C266" s="16" t="s">
        <v>43</v>
      </c>
      <c r="D266" s="16" t="s">
        <v>44</v>
      </c>
      <c r="E266" s="16" t="s">
        <v>254</v>
      </c>
      <c r="F266" s="16">
        <v>6</v>
      </c>
      <c r="G266" s="30" t="s">
        <v>957</v>
      </c>
      <c r="H266" s="16" t="s">
        <v>958</v>
      </c>
      <c r="I266" s="16" t="s">
        <v>47</v>
      </c>
      <c r="J266" s="16">
        <v>93.36</v>
      </c>
      <c r="K266" s="16">
        <v>1887</v>
      </c>
      <c r="L266" s="16">
        <v>2945</v>
      </c>
      <c r="M266" s="8">
        <v>41</v>
      </c>
      <c r="N266" s="21">
        <v>45743</v>
      </c>
      <c r="O266" s="7">
        <f t="shared" si="16"/>
        <v>27</v>
      </c>
      <c r="P266" s="22">
        <f t="shared" si="17"/>
        <v>5</v>
      </c>
      <c r="Q266" s="22">
        <f t="shared" si="18"/>
        <v>31</v>
      </c>
      <c r="R266" s="16">
        <v>18</v>
      </c>
      <c r="S266">
        <v>4.6934139970945203</v>
      </c>
      <c r="T266">
        <v>-74.055585472057601</v>
      </c>
      <c r="U266" s="22">
        <v>25319</v>
      </c>
      <c r="V266" s="22">
        <v>25213.333330000001</v>
      </c>
      <c r="W266" s="25">
        <v>9074</v>
      </c>
      <c r="X266" s="24">
        <v>8701</v>
      </c>
      <c r="Y266" s="24">
        <v>229736</v>
      </c>
      <c r="Z266" s="24">
        <v>219374</v>
      </c>
      <c r="AA266" s="24">
        <v>20834</v>
      </c>
      <c r="AB266" s="24">
        <v>18073</v>
      </c>
      <c r="AC266" s="24">
        <v>90891</v>
      </c>
      <c r="AD266" s="24">
        <v>86863</v>
      </c>
      <c r="AE266" s="24">
        <v>20732</v>
      </c>
      <c r="AF266" s="24">
        <v>21032</v>
      </c>
      <c r="AG266" s="17">
        <v>1.3772</v>
      </c>
      <c r="AH266" s="16" t="s">
        <v>90</v>
      </c>
      <c r="AI266" s="16" t="s">
        <v>49</v>
      </c>
      <c r="AJ266" s="16" t="s">
        <v>124</v>
      </c>
      <c r="AK266" s="16" t="s">
        <v>51</v>
      </c>
      <c r="AL266" s="25">
        <v>204160</v>
      </c>
      <c r="AM266" s="43">
        <f t="shared" si="19"/>
        <v>222.06512425021424</v>
      </c>
      <c r="AN266" s="16" t="s">
        <v>52</v>
      </c>
      <c r="AO266" s="16" t="s">
        <v>53</v>
      </c>
    </row>
    <row r="267" spans="1:41" ht="14.5" x14ac:dyDescent="0.35">
      <c r="A267" s="27" t="s">
        <v>959</v>
      </c>
      <c r="B267" s="16" t="s">
        <v>55</v>
      </c>
      <c r="C267" s="16" t="s">
        <v>43</v>
      </c>
      <c r="D267" s="16" t="s">
        <v>44</v>
      </c>
      <c r="E267" s="16" t="s">
        <v>585</v>
      </c>
      <c r="F267" s="16">
        <v>3</v>
      </c>
      <c r="G267" s="30" t="s">
        <v>960</v>
      </c>
      <c r="H267" s="16">
        <v>0</v>
      </c>
      <c r="I267" s="16" t="s">
        <v>718</v>
      </c>
      <c r="J267" s="16">
        <v>122.35</v>
      </c>
      <c r="K267" s="16">
        <v>222</v>
      </c>
      <c r="L267" s="16">
        <v>2600</v>
      </c>
      <c r="M267" s="8">
        <v>60</v>
      </c>
      <c r="N267" s="21">
        <v>45138</v>
      </c>
      <c r="O267" s="7">
        <f t="shared" si="16"/>
        <v>31</v>
      </c>
      <c r="P267" s="22">
        <f t="shared" si="17"/>
        <v>1</v>
      </c>
      <c r="Q267" s="22">
        <f t="shared" si="18"/>
        <v>31</v>
      </c>
      <c r="R267" s="16">
        <v>38</v>
      </c>
      <c r="S267">
        <v>4.6215257450173404</v>
      </c>
      <c r="T267">
        <v>-74.091135131540895</v>
      </c>
      <c r="U267" s="22">
        <v>16708</v>
      </c>
      <c r="V267" s="22">
        <v>16547.333330000001</v>
      </c>
      <c r="W267" s="25">
        <v>11421</v>
      </c>
      <c r="X267" s="24">
        <v>11570</v>
      </c>
      <c r="Y267" s="24">
        <v>190824</v>
      </c>
      <c r="Z267" s="24">
        <v>191459</v>
      </c>
      <c r="AA267" s="24">
        <v>13739</v>
      </c>
      <c r="AB267" s="24">
        <v>14047</v>
      </c>
      <c r="AC267" s="24">
        <v>68197</v>
      </c>
      <c r="AD267" s="24">
        <v>67932</v>
      </c>
      <c r="AE267" s="24">
        <v>7854</v>
      </c>
      <c r="AF267" s="24">
        <v>7688</v>
      </c>
      <c r="AG267" s="17">
        <v>0</v>
      </c>
      <c r="AH267" s="16" t="s">
        <v>58</v>
      </c>
      <c r="AI267" s="16" t="s">
        <v>49</v>
      </c>
      <c r="AJ267" s="16" t="s">
        <v>50</v>
      </c>
      <c r="AK267" s="16" t="s">
        <v>51</v>
      </c>
      <c r="AL267" s="25">
        <v>232000</v>
      </c>
      <c r="AM267" s="43">
        <f t="shared" si="19"/>
        <v>64.192889252145491</v>
      </c>
      <c r="AN267" s="16" t="s">
        <v>293</v>
      </c>
      <c r="AO267" s="16" t="s">
        <v>60</v>
      </c>
    </row>
    <row r="268" spans="1:41" ht="14.5" x14ac:dyDescent="0.35">
      <c r="A268" s="27" t="s">
        <v>961</v>
      </c>
      <c r="B268" s="16" t="s">
        <v>42</v>
      </c>
      <c r="C268" s="16" t="s">
        <v>93</v>
      </c>
      <c r="D268" s="16" t="s">
        <v>744</v>
      </c>
      <c r="E268" s="16" t="s">
        <v>745</v>
      </c>
      <c r="F268" s="16">
        <v>3</v>
      </c>
      <c r="G268" s="30" t="s">
        <v>962</v>
      </c>
      <c r="H268" s="16">
        <v>0</v>
      </c>
      <c r="I268" s="16" t="s">
        <v>47</v>
      </c>
      <c r="J268" s="16">
        <v>120</v>
      </c>
      <c r="K268" s="16">
        <v>1140</v>
      </c>
      <c r="L268" s="16">
        <v>820</v>
      </c>
      <c r="M268" s="8">
        <v>182</v>
      </c>
      <c r="N268" s="21">
        <v>45189</v>
      </c>
      <c r="O268" s="7">
        <f t="shared" si="16"/>
        <v>20</v>
      </c>
      <c r="P268" s="22">
        <f t="shared" si="17"/>
        <v>11</v>
      </c>
      <c r="Q268" s="22">
        <f t="shared" si="18"/>
        <v>30</v>
      </c>
      <c r="R268" s="16">
        <v>36</v>
      </c>
      <c r="S268">
        <v>5.0216862227441696</v>
      </c>
      <c r="T268">
        <v>-74.001662121597306</v>
      </c>
      <c r="U268" s="22">
        <v>14400</v>
      </c>
      <c r="V268" s="22">
        <v>13921.833329999999</v>
      </c>
      <c r="W268" s="25">
        <v>10780</v>
      </c>
      <c r="X268" s="24">
        <v>11700</v>
      </c>
      <c r="Y268" s="24">
        <v>155238</v>
      </c>
      <c r="Z268" s="24">
        <v>162889</v>
      </c>
      <c r="AA268" s="24">
        <v>-936</v>
      </c>
      <c r="AB268" s="24">
        <v>3044</v>
      </c>
      <c r="AC268" s="24">
        <v>56194</v>
      </c>
      <c r="AD268" s="24">
        <v>58262</v>
      </c>
      <c r="AE268" s="24">
        <v>9580</v>
      </c>
      <c r="AF268" s="24">
        <v>9357</v>
      </c>
      <c r="AG268" s="17">
        <v>0</v>
      </c>
      <c r="AH268" s="16" t="s">
        <v>64</v>
      </c>
      <c r="AI268" s="16" t="s">
        <v>49</v>
      </c>
      <c r="AJ268" s="16" t="s">
        <v>124</v>
      </c>
      <c r="AK268" s="16" t="s">
        <v>51</v>
      </c>
      <c r="AL268" s="25">
        <v>204160</v>
      </c>
      <c r="AM268" s="43">
        <f t="shared" si="19"/>
        <v>79.833333333333329</v>
      </c>
      <c r="AN268" s="16" t="s">
        <v>963</v>
      </c>
      <c r="AO268" s="16" t="s">
        <v>53</v>
      </c>
    </row>
    <row r="269" spans="1:41" ht="14.5" x14ac:dyDescent="0.35">
      <c r="A269" s="27" t="s">
        <v>964</v>
      </c>
      <c r="B269" s="16" t="s">
        <v>42</v>
      </c>
      <c r="C269" s="16" t="s">
        <v>43</v>
      </c>
      <c r="D269" s="16" t="s">
        <v>44</v>
      </c>
      <c r="E269" s="16" t="s">
        <v>254</v>
      </c>
      <c r="F269" s="16">
        <v>5</v>
      </c>
      <c r="G269" s="30" t="s">
        <v>965</v>
      </c>
      <c r="H269" s="16">
        <v>0</v>
      </c>
      <c r="I269" s="16" t="s">
        <v>102</v>
      </c>
      <c r="J269" s="16">
        <v>112</v>
      </c>
      <c r="K269" s="16">
        <v>1899</v>
      </c>
      <c r="L269" s="16">
        <v>1880</v>
      </c>
      <c r="M269" s="8">
        <v>0</v>
      </c>
      <c r="N269" s="21">
        <v>43377</v>
      </c>
      <c r="O269" s="7">
        <f t="shared" si="16"/>
        <v>4</v>
      </c>
      <c r="P269" s="22">
        <f t="shared" si="17"/>
        <v>28</v>
      </c>
      <c r="Q269" s="22">
        <f t="shared" si="18"/>
        <v>31</v>
      </c>
      <c r="R269" s="16">
        <v>95</v>
      </c>
      <c r="S269">
        <v>4.6983100847629498</v>
      </c>
      <c r="T269">
        <v>-74.054808859088098</v>
      </c>
      <c r="U269" s="22">
        <v>34594</v>
      </c>
      <c r="V269" s="22">
        <v>34263.333330000001</v>
      </c>
      <c r="W269" s="25">
        <v>8741</v>
      </c>
      <c r="X269" s="24">
        <v>8728</v>
      </c>
      <c r="Y269" s="24">
        <v>302377</v>
      </c>
      <c r="Z269" s="24">
        <v>299059</v>
      </c>
      <c r="AA269" s="24">
        <v>44679</v>
      </c>
      <c r="AB269" s="24">
        <v>40636</v>
      </c>
      <c r="AC269" s="24">
        <v>122292</v>
      </c>
      <c r="AD269" s="24">
        <v>120157</v>
      </c>
      <c r="AE269" s="24">
        <v>18341</v>
      </c>
      <c r="AF269" s="24">
        <v>18498</v>
      </c>
      <c r="AG269" s="17">
        <v>0</v>
      </c>
      <c r="AH269" s="16" t="s">
        <v>58</v>
      </c>
      <c r="AI269" s="16" t="s">
        <v>49</v>
      </c>
      <c r="AJ269" s="16" t="s">
        <v>124</v>
      </c>
      <c r="AK269" s="16" t="s">
        <v>51</v>
      </c>
      <c r="AL269" s="25">
        <v>204160</v>
      </c>
      <c r="AM269" s="43">
        <f t="shared" si="19"/>
        <v>163.75892857142858</v>
      </c>
      <c r="AN269" s="16">
        <v>0</v>
      </c>
      <c r="AO269" s="16" t="s">
        <v>53</v>
      </c>
    </row>
    <row r="270" spans="1:41" ht="14.5" x14ac:dyDescent="0.35">
      <c r="A270" s="27" t="s">
        <v>966</v>
      </c>
      <c r="B270" s="16" t="s">
        <v>55</v>
      </c>
      <c r="C270" s="16" t="s">
        <v>43</v>
      </c>
      <c r="D270" s="16" t="s">
        <v>44</v>
      </c>
      <c r="E270" s="16" t="s">
        <v>444</v>
      </c>
      <c r="F270" s="16">
        <v>3</v>
      </c>
      <c r="G270" s="30" t="s">
        <v>967</v>
      </c>
      <c r="H270" s="16">
        <v>0</v>
      </c>
      <c r="I270" s="16" t="s">
        <v>47</v>
      </c>
      <c r="J270" s="16">
        <v>101.14</v>
      </c>
      <c r="K270" s="16">
        <v>1111</v>
      </c>
      <c r="L270" s="16">
        <v>2310</v>
      </c>
      <c r="M270" s="8">
        <v>77</v>
      </c>
      <c r="N270" s="21">
        <v>45076</v>
      </c>
      <c r="O270" s="7">
        <f t="shared" si="16"/>
        <v>30</v>
      </c>
      <c r="P270" s="22">
        <f t="shared" si="17"/>
        <v>2</v>
      </c>
      <c r="Q270" s="22">
        <f t="shared" si="18"/>
        <v>31</v>
      </c>
      <c r="R270" s="16">
        <v>40</v>
      </c>
      <c r="S270">
        <v>4.6118315562420298</v>
      </c>
      <c r="T270">
        <v>-74.089546142628095</v>
      </c>
      <c r="U270" s="22">
        <v>22567</v>
      </c>
      <c r="V270" s="22">
        <v>23257</v>
      </c>
      <c r="W270" s="25">
        <v>10578</v>
      </c>
      <c r="X270" s="24">
        <v>10646</v>
      </c>
      <c r="Y270" s="24">
        <v>238704</v>
      </c>
      <c r="Z270" s="24">
        <v>247594</v>
      </c>
      <c r="AA270" s="24">
        <v>19675</v>
      </c>
      <c r="AB270" s="24">
        <v>25239</v>
      </c>
      <c r="AC270" s="24">
        <v>84301</v>
      </c>
      <c r="AD270" s="24">
        <v>86691</v>
      </c>
      <c r="AE270" s="24">
        <v>11237</v>
      </c>
      <c r="AF270" s="24">
        <v>11217</v>
      </c>
      <c r="AG270" s="17">
        <v>0</v>
      </c>
      <c r="AH270" s="16" t="s">
        <v>58</v>
      </c>
      <c r="AI270" s="16" t="s">
        <v>49</v>
      </c>
      <c r="AJ270" s="16" t="s">
        <v>50</v>
      </c>
      <c r="AK270" s="16" t="s">
        <v>51</v>
      </c>
      <c r="AL270" s="25">
        <v>232000</v>
      </c>
      <c r="AM270" s="43">
        <f t="shared" si="19"/>
        <v>111.10342100059323</v>
      </c>
      <c r="AN270" s="16" t="s">
        <v>503</v>
      </c>
      <c r="AO270" s="16" t="s">
        <v>60</v>
      </c>
    </row>
    <row r="271" spans="1:41" ht="14.5" x14ac:dyDescent="0.35">
      <c r="A271" s="27" t="s">
        <v>968</v>
      </c>
      <c r="B271" s="16" t="s">
        <v>119</v>
      </c>
      <c r="C271" s="16" t="s">
        <v>120</v>
      </c>
      <c r="D271" s="16" t="s">
        <v>121</v>
      </c>
      <c r="E271" s="16" t="s">
        <v>674</v>
      </c>
      <c r="F271" s="16">
        <v>3</v>
      </c>
      <c r="G271" s="30" t="s">
        <v>969</v>
      </c>
      <c r="H271" s="16">
        <v>0</v>
      </c>
      <c r="I271" s="16" t="s">
        <v>102</v>
      </c>
      <c r="J271" s="16">
        <v>200.52</v>
      </c>
      <c r="K271" s="16">
        <v>741</v>
      </c>
      <c r="L271" s="16">
        <v>264</v>
      </c>
      <c r="M271" s="8">
        <v>0</v>
      </c>
      <c r="N271" s="21">
        <v>42551</v>
      </c>
      <c r="O271" s="7">
        <f t="shared" si="16"/>
        <v>30</v>
      </c>
      <c r="P271" s="22">
        <f t="shared" si="17"/>
        <v>1</v>
      </c>
      <c r="Q271" s="22">
        <f t="shared" si="18"/>
        <v>30</v>
      </c>
      <c r="R271" s="16">
        <v>116</v>
      </c>
      <c r="S271">
        <v>7.1348609981056397</v>
      </c>
      <c r="T271">
        <v>-73.118221804176599</v>
      </c>
      <c r="U271" s="22">
        <v>21916</v>
      </c>
      <c r="V271" s="22">
        <v>19486.5</v>
      </c>
      <c r="W271" s="25">
        <v>11080</v>
      </c>
      <c r="X271" s="24">
        <v>10668</v>
      </c>
      <c r="Y271" s="24">
        <v>242826</v>
      </c>
      <c r="Z271" s="24">
        <v>207876</v>
      </c>
      <c r="AA271" s="24">
        <v>30478</v>
      </c>
      <c r="AB271" s="24">
        <v>18905</v>
      </c>
      <c r="AC271" s="24">
        <v>88205</v>
      </c>
      <c r="AD271" s="24">
        <v>73752</v>
      </c>
      <c r="AE271" s="24">
        <v>5942</v>
      </c>
      <c r="AF271" s="24">
        <v>5975</v>
      </c>
      <c r="AG271" s="17">
        <v>0</v>
      </c>
      <c r="AH271" s="16" t="s">
        <v>58</v>
      </c>
      <c r="AI271" s="16" t="s">
        <v>49</v>
      </c>
      <c r="AJ271" s="16" t="s">
        <v>124</v>
      </c>
      <c r="AK271" s="16" t="s">
        <v>51</v>
      </c>
      <c r="AL271" s="25">
        <v>232000</v>
      </c>
      <c r="AM271" s="43">
        <f t="shared" si="19"/>
        <v>29.632954318771194</v>
      </c>
      <c r="AN271" s="16">
        <v>0</v>
      </c>
      <c r="AO271" s="16" t="s">
        <v>60</v>
      </c>
    </row>
    <row r="272" spans="1:41" ht="14.5" x14ac:dyDescent="0.35">
      <c r="A272" s="27" t="s">
        <v>970</v>
      </c>
      <c r="B272" s="16" t="s">
        <v>42</v>
      </c>
      <c r="C272" s="16" t="s">
        <v>43</v>
      </c>
      <c r="D272" s="16" t="s">
        <v>44</v>
      </c>
      <c r="E272" s="16" t="s">
        <v>330</v>
      </c>
      <c r="F272" s="16">
        <v>5</v>
      </c>
      <c r="G272" s="30" t="s">
        <v>971</v>
      </c>
      <c r="H272" s="16" t="s">
        <v>972</v>
      </c>
      <c r="I272" s="16" t="s">
        <v>47</v>
      </c>
      <c r="J272" s="16">
        <v>111.32</v>
      </c>
      <c r="K272" s="16">
        <v>3177</v>
      </c>
      <c r="L272" s="16">
        <v>315</v>
      </c>
      <c r="M272" s="8">
        <v>52</v>
      </c>
      <c r="N272" s="21">
        <v>45890</v>
      </c>
      <c r="O272" s="7">
        <f t="shared" si="16"/>
        <v>21</v>
      </c>
      <c r="P272" s="22">
        <f t="shared" si="17"/>
        <v>11</v>
      </c>
      <c r="Q272" s="22">
        <f t="shared" si="18"/>
        <v>31</v>
      </c>
      <c r="R272" s="16">
        <v>13</v>
      </c>
      <c r="S272">
        <v>4.6947556348935997</v>
      </c>
      <c r="T272">
        <v>-74.060798976453</v>
      </c>
      <c r="U272" s="22">
        <v>16082</v>
      </c>
      <c r="V272" s="22">
        <v>15602.333329999999</v>
      </c>
      <c r="W272" s="25">
        <v>12593</v>
      </c>
      <c r="X272" s="24">
        <v>12965</v>
      </c>
      <c r="Y272" s="24">
        <v>202520</v>
      </c>
      <c r="Z272" s="24">
        <v>202279</v>
      </c>
      <c r="AA272" s="24">
        <v>21166</v>
      </c>
      <c r="AB272" s="24">
        <v>19675</v>
      </c>
      <c r="AC272" s="24">
        <v>77525</v>
      </c>
      <c r="AD272" s="24">
        <v>75676</v>
      </c>
      <c r="AE272" s="24">
        <v>10510</v>
      </c>
      <c r="AF272" s="24">
        <v>10228</v>
      </c>
      <c r="AG272" s="17">
        <v>1.2697000000000001</v>
      </c>
      <c r="AH272" s="16" t="s">
        <v>48</v>
      </c>
      <c r="AI272" s="16" t="s">
        <v>49</v>
      </c>
      <c r="AJ272" s="16" t="s">
        <v>50</v>
      </c>
      <c r="AK272" s="16" t="s">
        <v>71</v>
      </c>
      <c r="AL272" s="25">
        <v>232000</v>
      </c>
      <c r="AM272" s="43">
        <f t="shared" si="19"/>
        <v>94.412504491555879</v>
      </c>
      <c r="AN272" s="16" t="s">
        <v>293</v>
      </c>
      <c r="AO272" s="16" t="s">
        <v>60</v>
      </c>
    </row>
    <row r="273" spans="1:41" ht="14.5" x14ac:dyDescent="0.35">
      <c r="A273" s="27" t="s">
        <v>973</v>
      </c>
      <c r="B273" s="16" t="s">
        <v>55</v>
      </c>
      <c r="C273" s="16" t="s">
        <v>43</v>
      </c>
      <c r="D273" s="16" t="s">
        <v>44</v>
      </c>
      <c r="E273" s="16" t="s">
        <v>352</v>
      </c>
      <c r="F273" s="16">
        <v>3</v>
      </c>
      <c r="G273" s="30" t="s">
        <v>974</v>
      </c>
      <c r="H273" s="16">
        <v>0</v>
      </c>
      <c r="I273" s="16" t="s">
        <v>102</v>
      </c>
      <c r="J273" s="16">
        <v>209.3</v>
      </c>
      <c r="K273" s="16">
        <v>2631</v>
      </c>
      <c r="L273" s="16">
        <v>923</v>
      </c>
      <c r="M273" s="8">
        <v>170</v>
      </c>
      <c r="N273" s="21">
        <v>44804</v>
      </c>
      <c r="O273" s="7">
        <f t="shared" si="16"/>
        <v>31</v>
      </c>
      <c r="P273" s="22">
        <f t="shared" si="17"/>
        <v>1</v>
      </c>
      <c r="Q273" s="22">
        <f t="shared" si="18"/>
        <v>31</v>
      </c>
      <c r="R273" s="16">
        <v>49</v>
      </c>
      <c r="S273">
        <v>4.6755673959487201</v>
      </c>
      <c r="T273">
        <v>-74.097218279140094</v>
      </c>
      <c r="U273" s="22">
        <v>18412</v>
      </c>
      <c r="V273" s="22">
        <v>17914.166669999999</v>
      </c>
      <c r="W273" s="25">
        <v>12666</v>
      </c>
      <c r="X273" s="24">
        <v>12697</v>
      </c>
      <c r="Y273" s="24">
        <v>233200</v>
      </c>
      <c r="Z273" s="24">
        <v>227450</v>
      </c>
      <c r="AA273" s="24">
        <v>20833</v>
      </c>
      <c r="AB273" s="24">
        <v>16615</v>
      </c>
      <c r="AC273" s="24">
        <v>73203</v>
      </c>
      <c r="AD273" s="24">
        <v>70506</v>
      </c>
      <c r="AE273" s="24">
        <v>6287</v>
      </c>
      <c r="AF273" s="24">
        <v>6121</v>
      </c>
      <c r="AG273" s="17">
        <v>0</v>
      </c>
      <c r="AH273" s="16" t="s">
        <v>48</v>
      </c>
      <c r="AI273" s="16" t="s">
        <v>49</v>
      </c>
      <c r="AJ273" s="16" t="s">
        <v>50</v>
      </c>
      <c r="AK273" s="16" t="s">
        <v>51</v>
      </c>
      <c r="AL273" s="25">
        <v>232000</v>
      </c>
      <c r="AM273" s="43">
        <f t="shared" si="19"/>
        <v>30.038222646918296</v>
      </c>
      <c r="AN273" s="16" t="s">
        <v>313</v>
      </c>
      <c r="AO273" s="16" t="s">
        <v>53</v>
      </c>
    </row>
    <row r="274" spans="1:41" ht="14.5" x14ac:dyDescent="0.35">
      <c r="A274" s="27" t="s">
        <v>975</v>
      </c>
      <c r="B274" s="16" t="s">
        <v>42</v>
      </c>
      <c r="C274" s="16" t="s">
        <v>43</v>
      </c>
      <c r="D274" s="16" t="s">
        <v>44</v>
      </c>
      <c r="E274" s="16" t="s">
        <v>458</v>
      </c>
      <c r="F274" s="16">
        <v>3</v>
      </c>
      <c r="G274" s="30" t="s">
        <v>976</v>
      </c>
      <c r="H274" s="16">
        <v>0</v>
      </c>
      <c r="I274" s="16" t="s">
        <v>47</v>
      </c>
      <c r="J274" s="16">
        <v>94.22</v>
      </c>
      <c r="K274" s="16">
        <v>2188</v>
      </c>
      <c r="L274" s="16">
        <v>848</v>
      </c>
      <c r="M274" s="8">
        <v>78</v>
      </c>
      <c r="N274" s="21">
        <v>44845</v>
      </c>
      <c r="O274" s="7">
        <f t="shared" si="16"/>
        <v>11</v>
      </c>
      <c r="P274" s="22">
        <f t="shared" si="17"/>
        <v>21</v>
      </c>
      <c r="Q274" s="22">
        <f t="shared" si="18"/>
        <v>31</v>
      </c>
      <c r="R274" s="16">
        <v>47</v>
      </c>
      <c r="S274">
        <v>4.7413180917344997</v>
      </c>
      <c r="T274">
        <v>-74.045784582197996</v>
      </c>
      <c r="U274" s="22">
        <v>19358</v>
      </c>
      <c r="V274" s="22">
        <v>19367</v>
      </c>
      <c r="W274" s="25">
        <v>11133</v>
      </c>
      <c r="X274" s="24">
        <v>11207</v>
      </c>
      <c r="Y274" s="24">
        <v>215510</v>
      </c>
      <c r="Z274" s="24">
        <v>217036</v>
      </c>
      <c r="AA274" s="24">
        <v>16587</v>
      </c>
      <c r="AB274" s="24">
        <v>19275</v>
      </c>
      <c r="AC274" s="24">
        <v>79358</v>
      </c>
      <c r="AD274" s="24">
        <v>77942</v>
      </c>
      <c r="AE274" s="24">
        <v>11843</v>
      </c>
      <c r="AF274" s="24">
        <v>11845</v>
      </c>
      <c r="AG274" s="17">
        <v>0</v>
      </c>
      <c r="AH274" s="16" t="s">
        <v>934</v>
      </c>
      <c r="AI274" s="16" t="s">
        <v>49</v>
      </c>
      <c r="AJ274" s="16" t="s">
        <v>124</v>
      </c>
      <c r="AK274" s="16" t="s">
        <v>51</v>
      </c>
      <c r="AL274" s="25">
        <v>204160</v>
      </c>
      <c r="AM274" s="43">
        <f t="shared" si="19"/>
        <v>125.69518149012949</v>
      </c>
      <c r="AN274" s="16" t="s">
        <v>652</v>
      </c>
      <c r="AO274" s="16" t="s">
        <v>53</v>
      </c>
    </row>
    <row r="275" spans="1:41" ht="14.5" x14ac:dyDescent="0.35">
      <c r="A275" s="27" t="s">
        <v>977</v>
      </c>
      <c r="B275" s="16" t="s">
        <v>55</v>
      </c>
      <c r="C275" s="16" t="s">
        <v>43</v>
      </c>
      <c r="D275" s="16" t="s">
        <v>44</v>
      </c>
      <c r="E275" s="16" t="s">
        <v>466</v>
      </c>
      <c r="F275" s="16">
        <v>4</v>
      </c>
      <c r="G275" s="30" t="s">
        <v>978</v>
      </c>
      <c r="H275" s="16">
        <v>0</v>
      </c>
      <c r="I275" s="16" t="s">
        <v>102</v>
      </c>
      <c r="J275" s="16">
        <v>115.75</v>
      </c>
      <c r="K275" s="16">
        <v>3906</v>
      </c>
      <c r="L275" s="16">
        <v>692</v>
      </c>
      <c r="M275" s="8">
        <v>92</v>
      </c>
      <c r="N275" s="21">
        <v>44734</v>
      </c>
      <c r="O275" s="7">
        <f t="shared" si="16"/>
        <v>22</v>
      </c>
      <c r="P275" s="22">
        <f t="shared" si="17"/>
        <v>9</v>
      </c>
      <c r="Q275" s="22">
        <f t="shared" si="18"/>
        <v>30</v>
      </c>
      <c r="R275" s="16">
        <v>51</v>
      </c>
      <c r="S275">
        <v>4.64810078402986</v>
      </c>
      <c r="T275">
        <v>-74.081599674261994</v>
      </c>
      <c r="U275" s="22">
        <v>27514</v>
      </c>
      <c r="V275" s="22">
        <v>26188.333330000001</v>
      </c>
      <c r="W275" s="25">
        <v>13587</v>
      </c>
      <c r="X275" s="24">
        <v>13679</v>
      </c>
      <c r="Y275" s="24">
        <v>373833</v>
      </c>
      <c r="Z275" s="24">
        <v>358222</v>
      </c>
      <c r="AA275" s="24">
        <v>60147</v>
      </c>
      <c r="AB275" s="24">
        <v>53436</v>
      </c>
      <c r="AC275" s="24">
        <v>135855</v>
      </c>
      <c r="AD275" s="24">
        <v>129663</v>
      </c>
      <c r="AE275" s="24">
        <v>7517</v>
      </c>
      <c r="AF275" s="24">
        <v>7476</v>
      </c>
      <c r="AG275" s="17">
        <v>0</v>
      </c>
      <c r="AH275" s="16" t="s">
        <v>58</v>
      </c>
      <c r="AI275" s="16" t="s">
        <v>49</v>
      </c>
      <c r="AJ275" s="16" t="s">
        <v>124</v>
      </c>
      <c r="AK275" s="16" t="s">
        <v>51</v>
      </c>
      <c r="AL275" s="25">
        <v>204160</v>
      </c>
      <c r="AM275" s="43">
        <f t="shared" si="19"/>
        <v>64.941684665226788</v>
      </c>
      <c r="AN275" s="16" t="s">
        <v>979</v>
      </c>
      <c r="AO275" s="16" t="s">
        <v>60</v>
      </c>
    </row>
    <row r="276" spans="1:41" ht="14.5" x14ac:dyDescent="0.35">
      <c r="A276" s="27" t="s">
        <v>980</v>
      </c>
      <c r="B276" s="16" t="s">
        <v>55</v>
      </c>
      <c r="C276" s="16" t="s">
        <v>93</v>
      </c>
      <c r="D276" s="16" t="s">
        <v>94</v>
      </c>
      <c r="E276" s="16" t="s">
        <v>696</v>
      </c>
      <c r="F276" s="16">
        <v>3</v>
      </c>
      <c r="G276" s="30" t="s">
        <v>981</v>
      </c>
      <c r="H276" s="16">
        <v>0</v>
      </c>
      <c r="I276" s="16" t="s">
        <v>47</v>
      </c>
      <c r="J276" s="16">
        <v>124.34</v>
      </c>
      <c r="K276" s="16">
        <v>357</v>
      </c>
      <c r="L276" s="16">
        <v>800</v>
      </c>
      <c r="M276" s="8">
        <v>156</v>
      </c>
      <c r="N276" s="21">
        <v>45009</v>
      </c>
      <c r="O276" s="7">
        <f t="shared" si="16"/>
        <v>24</v>
      </c>
      <c r="P276" s="22">
        <f t="shared" si="17"/>
        <v>8</v>
      </c>
      <c r="Q276" s="22">
        <f t="shared" si="18"/>
        <v>31</v>
      </c>
      <c r="R276" s="16">
        <v>42</v>
      </c>
      <c r="S276">
        <v>4.2987715517168104</v>
      </c>
      <c r="T276">
        <v>-74.807560538314505</v>
      </c>
      <c r="U276" s="22">
        <v>16162</v>
      </c>
      <c r="V276" s="22">
        <v>15101.5</v>
      </c>
      <c r="W276" s="25">
        <v>11492</v>
      </c>
      <c r="X276" s="24">
        <v>11950</v>
      </c>
      <c r="Y276" s="24">
        <v>185738</v>
      </c>
      <c r="Z276" s="24">
        <v>180466</v>
      </c>
      <c r="AA276" s="24">
        <v>3819</v>
      </c>
      <c r="AB276" s="42">
        <v>1445</v>
      </c>
      <c r="AC276" s="24">
        <v>59534</v>
      </c>
      <c r="AD276" s="24">
        <v>57582</v>
      </c>
      <c r="AE276" s="24">
        <v>6041</v>
      </c>
      <c r="AF276" s="24">
        <v>6111</v>
      </c>
      <c r="AG276" s="17">
        <v>0</v>
      </c>
      <c r="AH276" s="16" t="s">
        <v>48</v>
      </c>
      <c r="AI276" s="16" t="s">
        <v>49</v>
      </c>
      <c r="AJ276" s="16" t="s">
        <v>50</v>
      </c>
      <c r="AK276" s="16" t="s">
        <v>51</v>
      </c>
      <c r="AL276" s="25">
        <v>232000</v>
      </c>
      <c r="AM276" s="43">
        <f t="shared" si="19"/>
        <v>48.584526298857966</v>
      </c>
      <c r="AN276" s="16" t="s">
        <v>982</v>
      </c>
      <c r="AO276" s="16" t="s">
        <v>60</v>
      </c>
    </row>
    <row r="277" spans="1:41" ht="14.5" x14ac:dyDescent="0.35">
      <c r="A277" s="27" t="s">
        <v>983</v>
      </c>
      <c r="B277" s="16" t="s">
        <v>42</v>
      </c>
      <c r="C277" s="16" t="s">
        <v>43</v>
      </c>
      <c r="D277" s="16" t="s">
        <v>44</v>
      </c>
      <c r="E277" s="16" t="s">
        <v>865</v>
      </c>
      <c r="F277" s="16">
        <v>4</v>
      </c>
      <c r="G277" s="30" t="s">
        <v>984</v>
      </c>
      <c r="H277" s="16">
        <v>0</v>
      </c>
      <c r="I277" s="16" t="s">
        <v>47</v>
      </c>
      <c r="J277" s="16">
        <v>115.74</v>
      </c>
      <c r="K277" s="16">
        <v>1491</v>
      </c>
      <c r="L277" s="16">
        <v>1350</v>
      </c>
      <c r="M277" s="8">
        <v>98</v>
      </c>
      <c r="N277" s="21">
        <v>45443</v>
      </c>
      <c r="O277" s="7">
        <f t="shared" si="16"/>
        <v>31</v>
      </c>
      <c r="P277" s="22">
        <f t="shared" si="17"/>
        <v>1</v>
      </c>
      <c r="Q277" s="22">
        <f t="shared" si="18"/>
        <v>31</v>
      </c>
      <c r="R277" s="16">
        <v>28</v>
      </c>
      <c r="S277">
        <v>4.7447928330937703</v>
      </c>
      <c r="T277">
        <v>-74.093353496173194</v>
      </c>
      <c r="U277" s="22">
        <v>15624</v>
      </c>
      <c r="V277" s="22">
        <v>16030.666670000001</v>
      </c>
      <c r="W277" s="25">
        <v>10348</v>
      </c>
      <c r="X277" s="24">
        <v>10680</v>
      </c>
      <c r="Y277" s="24">
        <v>161682</v>
      </c>
      <c r="Z277" s="24">
        <v>171214</v>
      </c>
      <c r="AA277" s="42">
        <v>-1345</v>
      </c>
      <c r="AB277" s="24">
        <v>4651</v>
      </c>
      <c r="AC277" s="24">
        <v>56204</v>
      </c>
      <c r="AD277" s="24">
        <v>59338</v>
      </c>
      <c r="AE277" s="24">
        <v>12681</v>
      </c>
      <c r="AF277" s="24">
        <v>12607</v>
      </c>
      <c r="AG277" s="17">
        <v>0</v>
      </c>
      <c r="AH277" s="16" t="s">
        <v>452</v>
      </c>
      <c r="AI277" s="16" t="s">
        <v>49</v>
      </c>
      <c r="AJ277" s="16" t="s">
        <v>50</v>
      </c>
      <c r="AK277" s="16" t="s">
        <v>51</v>
      </c>
      <c r="AL277" s="25">
        <v>232000</v>
      </c>
      <c r="AM277" s="43">
        <f t="shared" si="19"/>
        <v>109.56454121306376</v>
      </c>
      <c r="AN277" s="16" t="s">
        <v>985</v>
      </c>
      <c r="AO277" s="16" t="s">
        <v>53</v>
      </c>
    </row>
    <row r="278" spans="1:41" ht="14.5" x14ac:dyDescent="0.35">
      <c r="A278" s="27" t="s">
        <v>986</v>
      </c>
      <c r="B278" s="16" t="s">
        <v>42</v>
      </c>
      <c r="C278" s="16" t="s">
        <v>43</v>
      </c>
      <c r="D278" s="16" t="s">
        <v>44</v>
      </c>
      <c r="E278" s="16" t="s">
        <v>68</v>
      </c>
      <c r="F278" s="16">
        <v>6</v>
      </c>
      <c r="G278" s="30" t="s">
        <v>987</v>
      </c>
      <c r="H278" s="16">
        <v>0</v>
      </c>
      <c r="I278" s="16" t="s">
        <v>47</v>
      </c>
      <c r="J278" s="16">
        <v>102.3</v>
      </c>
      <c r="K278" s="16">
        <v>1938</v>
      </c>
      <c r="L278" s="16">
        <v>997</v>
      </c>
      <c r="M278" s="8">
        <v>94</v>
      </c>
      <c r="N278" s="21">
        <v>44818</v>
      </c>
      <c r="O278" s="7">
        <f t="shared" si="16"/>
        <v>14</v>
      </c>
      <c r="P278" s="22">
        <f t="shared" si="17"/>
        <v>17</v>
      </c>
      <c r="Q278" s="22">
        <f t="shared" si="18"/>
        <v>30</v>
      </c>
      <c r="R278" s="16">
        <v>48</v>
      </c>
      <c r="S278">
        <v>4.6792086182114199</v>
      </c>
      <c r="T278">
        <v>-74.052451833781006</v>
      </c>
      <c r="U278" s="22">
        <v>26366</v>
      </c>
      <c r="V278" s="22">
        <v>26530.333330000001</v>
      </c>
      <c r="W278" s="25">
        <v>10840</v>
      </c>
      <c r="X278" s="24">
        <v>10979</v>
      </c>
      <c r="Y278" s="24">
        <v>285812</v>
      </c>
      <c r="Z278" s="24">
        <v>291274</v>
      </c>
      <c r="AA278" s="24">
        <v>46157</v>
      </c>
      <c r="AB278" s="24">
        <v>48613</v>
      </c>
      <c r="AC278" s="24">
        <v>118247</v>
      </c>
      <c r="AD278" s="24">
        <v>116220</v>
      </c>
      <c r="AE278" s="24">
        <v>11983</v>
      </c>
      <c r="AF278" s="24">
        <v>11837</v>
      </c>
      <c r="AG278" s="17">
        <v>0</v>
      </c>
      <c r="AH278" s="16" t="s">
        <v>48</v>
      </c>
      <c r="AI278" s="16" t="s">
        <v>49</v>
      </c>
      <c r="AJ278" s="16" t="s">
        <v>50</v>
      </c>
      <c r="AK278" s="16" t="s">
        <v>51</v>
      </c>
      <c r="AL278" s="25">
        <v>232000</v>
      </c>
      <c r="AM278" s="43">
        <f t="shared" si="19"/>
        <v>117.13587487781037</v>
      </c>
      <c r="AN278" s="16" t="s">
        <v>390</v>
      </c>
      <c r="AO278" s="16" t="s">
        <v>60</v>
      </c>
    </row>
    <row r="279" spans="1:41" ht="14.5" x14ac:dyDescent="0.35">
      <c r="A279" s="27" t="s">
        <v>988</v>
      </c>
      <c r="B279" s="16" t="s">
        <v>105</v>
      </c>
      <c r="C279" s="16" t="s">
        <v>112</v>
      </c>
      <c r="D279" s="16" t="s">
        <v>113</v>
      </c>
      <c r="E279" s="16" t="s">
        <v>268</v>
      </c>
      <c r="F279" s="16">
        <v>4</v>
      </c>
      <c r="G279" s="30" t="s">
        <v>989</v>
      </c>
      <c r="H279" s="16">
        <v>0</v>
      </c>
      <c r="I279" s="16" t="s">
        <v>47</v>
      </c>
      <c r="J279" s="16">
        <v>95.9</v>
      </c>
      <c r="K279" s="16">
        <v>2477</v>
      </c>
      <c r="L279" s="16">
        <v>1117</v>
      </c>
      <c r="M279" s="8">
        <v>40</v>
      </c>
      <c r="N279" s="21">
        <v>45198</v>
      </c>
      <c r="O279" s="7">
        <f t="shared" si="16"/>
        <v>29</v>
      </c>
      <c r="P279" s="22">
        <f t="shared" si="17"/>
        <v>2</v>
      </c>
      <c r="Q279" s="22">
        <f t="shared" si="18"/>
        <v>30</v>
      </c>
      <c r="R279" s="16">
        <v>36</v>
      </c>
      <c r="S279">
        <v>3.4903741637293901</v>
      </c>
      <c r="T279">
        <v>-76.523294099465701</v>
      </c>
      <c r="U279" s="22">
        <v>10083</v>
      </c>
      <c r="V279" s="22">
        <v>14422.166670000001</v>
      </c>
      <c r="W279" s="25">
        <v>13655</v>
      </c>
      <c r="X279" s="24">
        <v>14413</v>
      </c>
      <c r="Y279" s="24">
        <v>137686</v>
      </c>
      <c r="Z279" s="24">
        <v>207864</v>
      </c>
      <c r="AA279" s="24">
        <v>-27406</v>
      </c>
      <c r="AB279" s="24">
        <v>10585</v>
      </c>
      <c r="AC279" s="24">
        <v>45683</v>
      </c>
      <c r="AD279" s="24">
        <v>75984</v>
      </c>
      <c r="AE279" s="24">
        <v>9509</v>
      </c>
      <c r="AF279" s="24">
        <v>9765</v>
      </c>
      <c r="AG279" s="17">
        <v>0</v>
      </c>
      <c r="AH279" s="16" t="s">
        <v>198</v>
      </c>
      <c r="AI279" s="16" t="s">
        <v>49</v>
      </c>
      <c r="AJ279" s="16" t="s">
        <v>124</v>
      </c>
      <c r="AK279" s="16" t="s">
        <v>51</v>
      </c>
      <c r="AL279" s="25">
        <v>204160</v>
      </c>
      <c r="AM279" s="43">
        <f t="shared" si="19"/>
        <v>99.155370177267983</v>
      </c>
      <c r="AN279" s="16" t="s">
        <v>258</v>
      </c>
      <c r="AO279" s="16" t="s">
        <v>53</v>
      </c>
    </row>
    <row r="280" spans="1:41" ht="14.5" x14ac:dyDescent="0.35">
      <c r="A280" s="27" t="s">
        <v>990</v>
      </c>
      <c r="B280" s="16" t="s">
        <v>42</v>
      </c>
      <c r="C280" s="16" t="s">
        <v>43</v>
      </c>
      <c r="D280" s="16" t="s">
        <v>44</v>
      </c>
      <c r="E280" s="16" t="s">
        <v>68</v>
      </c>
      <c r="F280" s="16">
        <v>3</v>
      </c>
      <c r="G280" s="30" t="s">
        <v>991</v>
      </c>
      <c r="H280" s="16">
        <v>0</v>
      </c>
      <c r="I280" s="16" t="s">
        <v>47</v>
      </c>
      <c r="J280" s="16">
        <v>117.19</v>
      </c>
      <c r="K280" s="16">
        <v>1198</v>
      </c>
      <c r="L280" s="16">
        <v>1892</v>
      </c>
      <c r="M280" s="8">
        <v>122</v>
      </c>
      <c r="N280" s="21">
        <v>45408</v>
      </c>
      <c r="O280" s="7">
        <f t="shared" si="16"/>
        <v>26</v>
      </c>
      <c r="P280" s="22">
        <f t="shared" si="17"/>
        <v>5</v>
      </c>
      <c r="Q280" s="22">
        <f t="shared" si="18"/>
        <v>30</v>
      </c>
      <c r="R280" s="16">
        <v>29</v>
      </c>
      <c r="S280">
        <v>4.6540124117448904</v>
      </c>
      <c r="T280">
        <v>-74.062627958561606</v>
      </c>
      <c r="U280" s="22">
        <v>31550</v>
      </c>
      <c r="V280" s="22">
        <v>31274.833330000001</v>
      </c>
      <c r="W280" s="25">
        <v>10462</v>
      </c>
      <c r="X280" s="24">
        <v>10506</v>
      </c>
      <c r="Y280" s="24">
        <v>330082</v>
      </c>
      <c r="Z280" s="24">
        <v>328576</v>
      </c>
      <c r="AA280" s="24">
        <v>52347</v>
      </c>
      <c r="AB280" s="24">
        <v>50857</v>
      </c>
      <c r="AC280" s="24">
        <v>124673</v>
      </c>
      <c r="AD280" s="24">
        <v>120320</v>
      </c>
      <c r="AE280" s="24">
        <v>7135</v>
      </c>
      <c r="AF280" s="24">
        <v>7198</v>
      </c>
      <c r="AG280" s="17">
        <v>0</v>
      </c>
      <c r="AH280" s="16" t="s">
        <v>217</v>
      </c>
      <c r="AI280" s="16" t="s">
        <v>49</v>
      </c>
      <c r="AJ280" s="16" t="s">
        <v>124</v>
      </c>
      <c r="AK280" s="16" t="s">
        <v>51</v>
      </c>
      <c r="AL280" s="25">
        <v>204160</v>
      </c>
      <c r="AM280" s="43">
        <f t="shared" si="19"/>
        <v>60.884034473931223</v>
      </c>
      <c r="AN280" s="16" t="s">
        <v>789</v>
      </c>
      <c r="AO280" s="16" t="s">
        <v>60</v>
      </c>
    </row>
    <row r="281" spans="1:41" ht="14.5" x14ac:dyDescent="0.35">
      <c r="A281" s="32" t="s">
        <v>992</v>
      </c>
      <c r="B281" s="32" t="s">
        <v>42</v>
      </c>
      <c r="C281" s="32" t="s">
        <v>43</v>
      </c>
      <c r="D281" s="32" t="s">
        <v>44</v>
      </c>
      <c r="E281" s="32" t="s">
        <v>272</v>
      </c>
      <c r="F281" s="33">
        <v>4</v>
      </c>
      <c r="G281" s="30" t="s">
        <v>993</v>
      </c>
      <c r="H281" s="32" t="s">
        <v>64</v>
      </c>
      <c r="I281" s="32" t="s">
        <v>47</v>
      </c>
      <c r="J281" s="34">
        <v>109.82</v>
      </c>
      <c r="K281" s="33">
        <v>1350</v>
      </c>
      <c r="L281" s="33">
        <v>1300</v>
      </c>
      <c r="M281" s="8">
        <v>81</v>
      </c>
      <c r="N281" s="35">
        <v>46293</v>
      </c>
      <c r="O281" s="7">
        <f t="shared" si="16"/>
        <v>28</v>
      </c>
      <c r="P281" s="22">
        <f t="shared" si="17"/>
        <v>3</v>
      </c>
      <c r="Q281" s="22">
        <f t="shared" si="18"/>
        <v>30</v>
      </c>
      <c r="R281" s="16">
        <v>0</v>
      </c>
      <c r="S281" s="36">
        <v>4.6914709999999999</v>
      </c>
      <c r="T281" s="36">
        <v>-74.076387999999994</v>
      </c>
      <c r="U281" s="22">
        <v>0</v>
      </c>
      <c r="V281" s="22">
        <v>0</v>
      </c>
      <c r="W281" s="25">
        <v>0</v>
      </c>
      <c r="X281" s="24">
        <v>0</v>
      </c>
      <c r="Y281" s="24">
        <v>0</v>
      </c>
      <c r="Z281" s="24">
        <v>0</v>
      </c>
      <c r="AA281" s="24">
        <v>0</v>
      </c>
      <c r="AB281" s="24">
        <v>0</v>
      </c>
      <c r="AC281" s="24">
        <v>0</v>
      </c>
      <c r="AD281" s="24">
        <v>0</v>
      </c>
      <c r="AE281" s="24">
        <v>0</v>
      </c>
      <c r="AF281" s="24">
        <v>0</v>
      </c>
      <c r="AG281" s="16">
        <v>0</v>
      </c>
      <c r="AH281" s="16" t="s">
        <v>64</v>
      </c>
      <c r="AI281" s="31" t="s">
        <v>49</v>
      </c>
      <c r="AJ281" s="31" t="s">
        <v>50</v>
      </c>
      <c r="AK281" s="16" t="s">
        <v>65</v>
      </c>
      <c r="AL281" s="37">
        <v>232000</v>
      </c>
      <c r="AM281" s="43">
        <f t="shared" si="19"/>
        <v>0</v>
      </c>
      <c r="AN281" s="16" t="s">
        <v>994</v>
      </c>
      <c r="AO281" s="16" t="s">
        <v>60</v>
      </c>
    </row>
    <row r="282" spans="1:41" ht="14.5" x14ac:dyDescent="0.35">
      <c r="A282" s="27" t="s">
        <v>995</v>
      </c>
      <c r="B282" s="16" t="s">
        <v>105</v>
      </c>
      <c r="C282" s="16" t="s">
        <v>157</v>
      </c>
      <c r="D282" s="16" t="s">
        <v>158</v>
      </c>
      <c r="E282" s="16" t="s">
        <v>263</v>
      </c>
      <c r="F282" s="16">
        <v>5</v>
      </c>
      <c r="G282" s="30" t="s">
        <v>996</v>
      </c>
      <c r="H282" s="16" t="s">
        <v>997</v>
      </c>
      <c r="I282" s="16" t="s">
        <v>47</v>
      </c>
      <c r="J282" s="16">
        <v>132.01</v>
      </c>
      <c r="K282" s="16">
        <v>2598</v>
      </c>
      <c r="L282" s="16">
        <v>851</v>
      </c>
      <c r="M282" s="8">
        <v>81</v>
      </c>
      <c r="N282" s="21">
        <v>45605</v>
      </c>
      <c r="O282" s="7">
        <f t="shared" si="16"/>
        <v>9</v>
      </c>
      <c r="P282" s="22">
        <f t="shared" si="17"/>
        <v>22</v>
      </c>
      <c r="Q282" s="22">
        <f t="shared" si="18"/>
        <v>30</v>
      </c>
      <c r="R282" s="16">
        <v>22</v>
      </c>
      <c r="S282">
        <v>6.2529270059687301</v>
      </c>
      <c r="T282">
        <v>-75.592529084084902</v>
      </c>
      <c r="U282" s="22">
        <v>15331</v>
      </c>
      <c r="V282" s="22">
        <v>14046.833329999999</v>
      </c>
      <c r="W282" s="25">
        <v>13361</v>
      </c>
      <c r="X282" s="24">
        <v>13703</v>
      </c>
      <c r="Y282" s="24">
        <v>204843</v>
      </c>
      <c r="Z282" s="24">
        <v>192486</v>
      </c>
      <c r="AA282" s="24">
        <v>14149</v>
      </c>
      <c r="AB282" s="24">
        <v>9997</v>
      </c>
      <c r="AC282" s="24">
        <v>78826</v>
      </c>
      <c r="AD282" s="24">
        <v>72916</v>
      </c>
      <c r="AE282" s="24">
        <v>12000</v>
      </c>
      <c r="AF282" s="24">
        <v>12120</v>
      </c>
      <c r="AG282" s="17">
        <v>0</v>
      </c>
      <c r="AH282" s="16" t="s">
        <v>198</v>
      </c>
      <c r="AI282" s="16" t="s">
        <v>49</v>
      </c>
      <c r="AJ282" s="16" t="s">
        <v>50</v>
      </c>
      <c r="AK282" s="16" t="s">
        <v>51</v>
      </c>
      <c r="AL282" s="25">
        <v>232000</v>
      </c>
      <c r="AM282" s="43">
        <f t="shared" si="19"/>
        <v>90.90220437845619</v>
      </c>
      <c r="AN282" s="16" t="s">
        <v>365</v>
      </c>
      <c r="AO282" s="16" t="s">
        <v>60</v>
      </c>
    </row>
    <row r="283" spans="1:41" ht="14.5" x14ac:dyDescent="0.35">
      <c r="A283" s="27" t="s">
        <v>998</v>
      </c>
      <c r="B283" s="32" t="s">
        <v>42</v>
      </c>
      <c r="C283" s="32" t="s">
        <v>93</v>
      </c>
      <c r="D283" s="32" t="s">
        <v>281</v>
      </c>
      <c r="E283" s="32" t="s">
        <v>282</v>
      </c>
      <c r="F283" s="33">
        <v>5</v>
      </c>
      <c r="G283" s="30" t="s">
        <v>999</v>
      </c>
      <c r="H283" s="32" t="s">
        <v>64</v>
      </c>
      <c r="I283" s="32" t="s">
        <v>47</v>
      </c>
      <c r="J283" s="34">
        <v>119.91</v>
      </c>
      <c r="K283" s="33">
        <v>256</v>
      </c>
      <c r="L283" s="33">
        <v>350</v>
      </c>
      <c r="M283" s="8">
        <v>55</v>
      </c>
      <c r="N283" s="35">
        <v>46265</v>
      </c>
      <c r="O283" s="7">
        <f t="shared" si="16"/>
        <v>31</v>
      </c>
      <c r="P283" s="22">
        <f t="shared" si="17"/>
        <v>1</v>
      </c>
      <c r="Q283" s="22">
        <f t="shared" si="18"/>
        <v>31</v>
      </c>
      <c r="R283" s="16">
        <v>0</v>
      </c>
      <c r="S283" s="29">
        <v>4.8768359999999999</v>
      </c>
      <c r="T283" s="29">
        <v>-74.037486000000001</v>
      </c>
      <c r="U283" s="22">
        <v>187</v>
      </c>
      <c r="V283" s="22">
        <v>187</v>
      </c>
      <c r="W283" s="25">
        <v>13851</v>
      </c>
      <c r="X283" s="24">
        <v>13851</v>
      </c>
      <c r="Y283" s="24">
        <v>2590</v>
      </c>
      <c r="Z283" s="24">
        <v>2590</v>
      </c>
      <c r="AA283" s="24">
        <v>-10475</v>
      </c>
      <c r="AB283" s="24">
        <v>-10475</v>
      </c>
      <c r="AC283" s="24">
        <v>5592</v>
      </c>
      <c r="AD283" s="24">
        <v>5592</v>
      </c>
      <c r="AE283" s="24">
        <v>0</v>
      </c>
      <c r="AF283" s="24">
        <v>0</v>
      </c>
      <c r="AG283" s="17">
        <v>0</v>
      </c>
      <c r="AH283" s="16" t="s">
        <v>64</v>
      </c>
      <c r="AI283" s="31" t="s">
        <v>49</v>
      </c>
      <c r="AJ283" s="31" t="s">
        <v>50</v>
      </c>
      <c r="AK283" s="16" t="s">
        <v>65</v>
      </c>
      <c r="AL283" s="25">
        <v>204160</v>
      </c>
      <c r="AM283" s="43">
        <f t="shared" si="19"/>
        <v>0</v>
      </c>
      <c r="AN283" s="8" t="s">
        <v>1000</v>
      </c>
      <c r="AO283" s="8" t="s">
        <v>64</v>
      </c>
    </row>
    <row r="284" spans="1:41" ht="14.5" x14ac:dyDescent="0.35">
      <c r="A284" s="27" t="s">
        <v>1001</v>
      </c>
      <c r="B284" s="16" t="s">
        <v>55</v>
      </c>
      <c r="C284" s="16" t="s">
        <v>43</v>
      </c>
      <c r="D284" s="16" t="s">
        <v>44</v>
      </c>
      <c r="E284" s="16" t="s">
        <v>372</v>
      </c>
      <c r="F284" s="16">
        <v>3</v>
      </c>
      <c r="G284" s="30" t="s">
        <v>1002</v>
      </c>
      <c r="H284" s="16">
        <v>0</v>
      </c>
      <c r="I284" s="16" t="s">
        <v>47</v>
      </c>
      <c r="J284" s="16">
        <v>97.46</v>
      </c>
      <c r="K284" s="16">
        <v>1210</v>
      </c>
      <c r="L284" s="16">
        <v>1578</v>
      </c>
      <c r="M284" s="8">
        <v>29</v>
      </c>
      <c r="N284" s="21">
        <v>45377</v>
      </c>
      <c r="O284" s="7">
        <f t="shared" si="16"/>
        <v>26</v>
      </c>
      <c r="P284" s="22">
        <f t="shared" si="17"/>
        <v>6</v>
      </c>
      <c r="Q284" s="22">
        <f t="shared" si="18"/>
        <v>31</v>
      </c>
      <c r="R284" s="16">
        <v>30</v>
      </c>
      <c r="S284">
        <v>4.6753528709422998</v>
      </c>
      <c r="T284">
        <v>-74.145637929110194</v>
      </c>
      <c r="U284" s="22">
        <v>17381</v>
      </c>
      <c r="V284" s="22">
        <v>18554.666669999999</v>
      </c>
      <c r="W284" s="25">
        <v>12204</v>
      </c>
      <c r="X284" s="24">
        <v>12558</v>
      </c>
      <c r="Y284" s="24">
        <v>212125</v>
      </c>
      <c r="Z284" s="24">
        <v>233011</v>
      </c>
      <c r="AA284" s="24">
        <v>6295</v>
      </c>
      <c r="AB284" s="24">
        <v>17712</v>
      </c>
      <c r="AC284" s="24">
        <v>68395</v>
      </c>
      <c r="AD284" s="24">
        <v>75760</v>
      </c>
      <c r="AE284" s="24">
        <v>9951</v>
      </c>
      <c r="AF284" s="24">
        <v>10053</v>
      </c>
      <c r="AG284" s="17">
        <v>0</v>
      </c>
      <c r="AH284" s="16" t="s">
        <v>136</v>
      </c>
      <c r="AI284" s="16" t="s">
        <v>49</v>
      </c>
      <c r="AJ284" s="16" t="s">
        <v>50</v>
      </c>
      <c r="AK284" s="16" t="s">
        <v>51</v>
      </c>
      <c r="AL284" s="25">
        <v>232000</v>
      </c>
      <c r="AM284" s="43">
        <f t="shared" si="19"/>
        <v>102.10342704699364</v>
      </c>
      <c r="AN284" s="16" t="s">
        <v>1003</v>
      </c>
      <c r="AO284" s="16" t="s">
        <v>98</v>
      </c>
    </row>
    <row r="285" spans="1:41" ht="14.5" x14ac:dyDescent="0.35">
      <c r="A285" s="27" t="s">
        <v>1004</v>
      </c>
      <c r="B285" s="16" t="s">
        <v>55</v>
      </c>
      <c r="C285" s="16" t="s">
        <v>43</v>
      </c>
      <c r="D285" s="16" t="s">
        <v>44</v>
      </c>
      <c r="E285" s="16" t="s">
        <v>372</v>
      </c>
      <c r="F285" s="16">
        <v>3</v>
      </c>
      <c r="G285" s="30" t="s">
        <v>1005</v>
      </c>
      <c r="H285" s="16">
        <v>0</v>
      </c>
      <c r="I285" s="16" t="s">
        <v>47</v>
      </c>
      <c r="J285" s="16">
        <v>342.23</v>
      </c>
      <c r="K285" s="16">
        <v>1371</v>
      </c>
      <c r="L285" s="16">
        <v>2426</v>
      </c>
      <c r="M285" s="8">
        <v>210</v>
      </c>
      <c r="N285" s="21">
        <v>44800</v>
      </c>
      <c r="O285" s="7">
        <f t="shared" si="16"/>
        <v>27</v>
      </c>
      <c r="P285" s="22">
        <f t="shared" si="17"/>
        <v>5</v>
      </c>
      <c r="Q285" s="22">
        <f t="shared" si="18"/>
        <v>31</v>
      </c>
      <c r="R285" s="16">
        <v>49</v>
      </c>
      <c r="S285">
        <v>4.6747435239728699</v>
      </c>
      <c r="T285">
        <v>-74.142169482795097</v>
      </c>
      <c r="U285" s="22">
        <v>20502</v>
      </c>
      <c r="V285" s="22">
        <v>19006</v>
      </c>
      <c r="W285" s="25">
        <v>12628</v>
      </c>
      <c r="X285" s="24">
        <v>12999</v>
      </c>
      <c r="Y285" s="24">
        <v>258900</v>
      </c>
      <c r="Z285" s="24">
        <v>247065</v>
      </c>
      <c r="AA285" s="24">
        <v>21079</v>
      </c>
      <c r="AB285" s="24">
        <v>22605</v>
      </c>
      <c r="AC285" s="24">
        <v>86935</v>
      </c>
      <c r="AD285" s="24">
        <v>83369</v>
      </c>
      <c r="AE285" s="24">
        <v>9567</v>
      </c>
      <c r="AF285" s="24">
        <v>9345</v>
      </c>
      <c r="AG285" s="17">
        <v>0</v>
      </c>
      <c r="AH285" s="16" t="s">
        <v>48</v>
      </c>
      <c r="AI285" s="16" t="s">
        <v>49</v>
      </c>
      <c r="AJ285" s="16" t="s">
        <v>50</v>
      </c>
      <c r="AK285" s="16" t="s">
        <v>51</v>
      </c>
      <c r="AL285" s="25">
        <v>232000</v>
      </c>
      <c r="AM285" s="43">
        <f t="shared" si="19"/>
        <v>27.954884142243518</v>
      </c>
      <c r="AN285" s="16" t="s">
        <v>477</v>
      </c>
      <c r="AO285" s="16" t="s">
        <v>60</v>
      </c>
    </row>
    <row r="286" spans="1:41" ht="14.5" x14ac:dyDescent="0.35">
      <c r="A286" s="27" t="s">
        <v>1006</v>
      </c>
      <c r="B286" s="16" t="s">
        <v>105</v>
      </c>
      <c r="C286" s="16" t="s">
        <v>177</v>
      </c>
      <c r="D286" s="16" t="s">
        <v>178</v>
      </c>
      <c r="E286" s="16" t="s">
        <v>228</v>
      </c>
      <c r="F286" s="16">
        <v>5</v>
      </c>
      <c r="G286" s="30" t="s">
        <v>1007</v>
      </c>
      <c r="H286" s="16">
        <v>0</v>
      </c>
      <c r="I286" s="16" t="s">
        <v>47</v>
      </c>
      <c r="J286" s="16">
        <v>124.94</v>
      </c>
      <c r="K286" s="16">
        <v>1797</v>
      </c>
      <c r="L286" s="16">
        <v>490</v>
      </c>
      <c r="M286" s="8">
        <v>47</v>
      </c>
      <c r="N286" s="21">
        <v>45412</v>
      </c>
      <c r="O286" s="7">
        <f t="shared" si="16"/>
        <v>30</v>
      </c>
      <c r="P286" s="22">
        <f t="shared" si="17"/>
        <v>1</v>
      </c>
      <c r="Q286" s="22">
        <f t="shared" si="18"/>
        <v>30</v>
      </c>
      <c r="R286" s="16">
        <v>29</v>
      </c>
      <c r="S286">
        <v>4.5684425313622201</v>
      </c>
      <c r="T286">
        <v>-75.650723883218802</v>
      </c>
      <c r="U286" s="22">
        <v>13715</v>
      </c>
      <c r="V286" s="22">
        <v>13280.833329999999</v>
      </c>
      <c r="W286" s="25">
        <v>15071</v>
      </c>
      <c r="X286" s="24">
        <v>14497</v>
      </c>
      <c r="Y286" s="24">
        <v>206704</v>
      </c>
      <c r="Z286" s="24">
        <v>192531</v>
      </c>
      <c r="AA286" s="24">
        <v>9941</v>
      </c>
      <c r="AB286" s="24">
        <v>9927</v>
      </c>
      <c r="AC286" s="24">
        <v>77255</v>
      </c>
      <c r="AD286" s="24">
        <v>70143</v>
      </c>
      <c r="AE286" s="24">
        <v>10504</v>
      </c>
      <c r="AF286" s="24">
        <v>10569</v>
      </c>
      <c r="AG286" s="17">
        <v>0</v>
      </c>
      <c r="AH286" s="16" t="s">
        <v>136</v>
      </c>
      <c r="AI286" s="16" t="s">
        <v>49</v>
      </c>
      <c r="AJ286" s="16" t="s">
        <v>76</v>
      </c>
      <c r="AK286" s="16" t="s">
        <v>51</v>
      </c>
      <c r="AL286" s="25">
        <v>241405</v>
      </c>
      <c r="AM286" s="43">
        <f t="shared" si="19"/>
        <v>84.072354730270533</v>
      </c>
      <c r="AN286" s="16" t="s">
        <v>507</v>
      </c>
      <c r="AO286" s="16" t="s">
        <v>53</v>
      </c>
    </row>
    <row r="287" spans="1:41" ht="14.5" x14ac:dyDescent="0.35">
      <c r="A287" s="27" t="s">
        <v>1008</v>
      </c>
      <c r="B287" s="16" t="s">
        <v>183</v>
      </c>
      <c r="C287" s="16" t="s">
        <v>184</v>
      </c>
      <c r="D287" s="16" t="s">
        <v>185</v>
      </c>
      <c r="E287" s="16" t="s">
        <v>1009</v>
      </c>
      <c r="F287" s="16">
        <v>4</v>
      </c>
      <c r="G287" s="30" t="s">
        <v>1010</v>
      </c>
      <c r="H287" s="16" t="s">
        <v>1011</v>
      </c>
      <c r="I287" s="16" t="s">
        <v>47</v>
      </c>
      <c r="J287" s="16">
        <v>132.9</v>
      </c>
      <c r="K287" s="16">
        <v>924</v>
      </c>
      <c r="L287" s="16">
        <v>513</v>
      </c>
      <c r="M287" s="8">
        <v>66</v>
      </c>
      <c r="N287" s="21">
        <v>45715</v>
      </c>
      <c r="O287" s="7">
        <f t="shared" si="16"/>
        <v>27</v>
      </c>
      <c r="P287" s="22">
        <f t="shared" si="17"/>
        <v>2</v>
      </c>
      <c r="Q287" s="22">
        <f t="shared" si="18"/>
        <v>28</v>
      </c>
      <c r="R287" s="16">
        <v>19</v>
      </c>
      <c r="S287">
        <v>10.9845809288444</v>
      </c>
      <c r="T287">
        <v>-74.808992841489399</v>
      </c>
      <c r="U287" s="22">
        <v>18574</v>
      </c>
      <c r="V287" s="22">
        <v>17722.333330000001</v>
      </c>
      <c r="W287" s="25">
        <v>11552</v>
      </c>
      <c r="X287" s="24">
        <v>11748</v>
      </c>
      <c r="Y287" s="24">
        <v>214562</v>
      </c>
      <c r="Z287" s="24">
        <v>208203</v>
      </c>
      <c r="AA287" s="24">
        <v>11219</v>
      </c>
      <c r="AB287" s="24">
        <v>14023</v>
      </c>
      <c r="AC287" s="24">
        <v>80117</v>
      </c>
      <c r="AD287" s="24">
        <v>77202</v>
      </c>
      <c r="AE287" s="24">
        <v>8416</v>
      </c>
      <c r="AF287" s="24">
        <v>8506</v>
      </c>
      <c r="AG287" s="17">
        <v>1.5343</v>
      </c>
      <c r="AH287" s="16" t="s">
        <v>130</v>
      </c>
      <c r="AI287" s="16" t="s">
        <v>49</v>
      </c>
      <c r="AJ287" s="16" t="s">
        <v>50</v>
      </c>
      <c r="AK287" s="16" t="s">
        <v>51</v>
      </c>
      <c r="AL287" s="25">
        <v>232000</v>
      </c>
      <c r="AM287" s="43">
        <f t="shared" si="19"/>
        <v>63.325808878856279</v>
      </c>
      <c r="AN287" s="16" t="s">
        <v>234</v>
      </c>
      <c r="AO287" s="16" t="s">
        <v>98</v>
      </c>
    </row>
    <row r="288" spans="1:41" ht="14.5" x14ac:dyDescent="0.35">
      <c r="A288" s="27" t="s">
        <v>1012</v>
      </c>
      <c r="B288" s="16" t="s">
        <v>42</v>
      </c>
      <c r="C288" s="16" t="s">
        <v>43</v>
      </c>
      <c r="D288" s="16" t="s">
        <v>44</v>
      </c>
      <c r="E288" s="16" t="s">
        <v>68</v>
      </c>
      <c r="F288" s="16">
        <v>5</v>
      </c>
      <c r="G288" s="30" t="s">
        <v>1013</v>
      </c>
      <c r="H288" s="16" t="s">
        <v>1014</v>
      </c>
      <c r="I288" s="16" t="s">
        <v>102</v>
      </c>
      <c r="J288" s="16">
        <v>121.6</v>
      </c>
      <c r="K288" s="16">
        <v>983</v>
      </c>
      <c r="L288" s="16">
        <v>2806</v>
      </c>
      <c r="M288" s="8">
        <v>89</v>
      </c>
      <c r="N288" s="21">
        <v>46234</v>
      </c>
      <c r="O288" s="7">
        <f t="shared" si="16"/>
        <v>31</v>
      </c>
      <c r="P288" s="22">
        <f t="shared" si="17"/>
        <v>1</v>
      </c>
      <c r="Q288" s="22">
        <f t="shared" si="18"/>
        <v>31</v>
      </c>
      <c r="R288" s="16">
        <v>2</v>
      </c>
      <c r="S288">
        <v>4.6780964145792296</v>
      </c>
      <c r="T288">
        <v>-74.049914220316595</v>
      </c>
      <c r="U288" s="22">
        <v>12609</v>
      </c>
      <c r="V288" s="22">
        <v>6507</v>
      </c>
      <c r="W288" s="25">
        <v>10842</v>
      </c>
      <c r="X288" s="25">
        <v>10894</v>
      </c>
      <c r="Y288" s="24">
        <v>136707</v>
      </c>
      <c r="Z288" s="24">
        <v>70886</v>
      </c>
      <c r="AA288" s="41">
        <v>3889</v>
      </c>
      <c r="AB288" s="41">
        <v>-2654</v>
      </c>
      <c r="AC288" s="24">
        <v>54545</v>
      </c>
      <c r="AD288" s="24">
        <v>30071</v>
      </c>
      <c r="AE288" s="24">
        <v>10000</v>
      </c>
      <c r="AF288" s="24">
        <v>6225</v>
      </c>
      <c r="AG288" s="17">
        <v>0</v>
      </c>
      <c r="AH288" s="16" t="s">
        <v>198</v>
      </c>
      <c r="AI288" s="16" t="s">
        <v>49</v>
      </c>
      <c r="AJ288" s="16" t="s">
        <v>124</v>
      </c>
      <c r="AK288" s="16" t="s">
        <v>65</v>
      </c>
      <c r="AL288" s="25">
        <v>232000</v>
      </c>
      <c r="AM288" s="43">
        <f t="shared" si="19"/>
        <v>82.236842105263165</v>
      </c>
      <c r="AN288" s="16" t="s">
        <v>453</v>
      </c>
      <c r="AO288" s="16" t="s">
        <v>60</v>
      </c>
    </row>
    <row r="289" spans="1:41" ht="14.5" x14ac:dyDescent="0.35">
      <c r="A289" s="27" t="s">
        <v>1015</v>
      </c>
      <c r="B289" s="16" t="s">
        <v>119</v>
      </c>
      <c r="C289" s="16" t="s">
        <v>120</v>
      </c>
      <c r="D289" s="16" t="s">
        <v>220</v>
      </c>
      <c r="E289" s="16" t="s">
        <v>221</v>
      </c>
      <c r="F289" s="16">
        <v>5</v>
      </c>
      <c r="G289" s="30" t="s">
        <v>1016</v>
      </c>
      <c r="H289" s="16">
        <v>0</v>
      </c>
      <c r="I289" s="16" t="s">
        <v>102</v>
      </c>
      <c r="J289" s="16">
        <v>117.45</v>
      </c>
      <c r="K289" s="16">
        <v>2610</v>
      </c>
      <c r="L289" s="16">
        <v>1788</v>
      </c>
      <c r="M289" s="8">
        <v>0</v>
      </c>
      <c r="N289" s="21">
        <v>42551</v>
      </c>
      <c r="O289" s="7">
        <f t="shared" si="16"/>
        <v>30</v>
      </c>
      <c r="P289" s="22">
        <f t="shared" si="17"/>
        <v>1</v>
      </c>
      <c r="Q289" s="22">
        <f t="shared" si="18"/>
        <v>30</v>
      </c>
      <c r="R289" s="16">
        <v>116</v>
      </c>
      <c r="S289">
        <v>7.0715325693486202</v>
      </c>
      <c r="T289">
        <v>-73.114319788059504</v>
      </c>
      <c r="U289" s="22">
        <v>23039</v>
      </c>
      <c r="V289" s="22">
        <v>21496.333330000001</v>
      </c>
      <c r="W289" s="25">
        <v>10740</v>
      </c>
      <c r="X289" s="24">
        <v>10759</v>
      </c>
      <c r="Y289" s="24">
        <v>247448</v>
      </c>
      <c r="Z289" s="24">
        <v>231279</v>
      </c>
      <c r="AA289" s="24">
        <v>28552</v>
      </c>
      <c r="AB289" s="24">
        <v>26928</v>
      </c>
      <c r="AC289" s="24">
        <v>99389</v>
      </c>
      <c r="AD289" s="24">
        <v>92206</v>
      </c>
      <c r="AE289" s="24">
        <v>10878</v>
      </c>
      <c r="AF289" s="24">
        <v>10987</v>
      </c>
      <c r="AG289" s="17">
        <v>0</v>
      </c>
      <c r="AH289" s="16" t="s">
        <v>82</v>
      </c>
      <c r="AI289" s="16" t="s">
        <v>49</v>
      </c>
      <c r="AJ289" s="16" t="s">
        <v>50</v>
      </c>
      <c r="AK289" s="16" t="s">
        <v>51</v>
      </c>
      <c r="AL289" s="25">
        <v>232000</v>
      </c>
      <c r="AM289" s="43">
        <f t="shared" si="19"/>
        <v>92.618135376756058</v>
      </c>
      <c r="AN289" s="16" t="s">
        <v>606</v>
      </c>
      <c r="AO289" s="16" t="s">
        <v>53</v>
      </c>
    </row>
    <row r="290" spans="1:41" ht="14.5" x14ac:dyDescent="0.35">
      <c r="A290" s="27" t="s">
        <v>1017</v>
      </c>
      <c r="B290" s="16" t="s">
        <v>119</v>
      </c>
      <c r="C290" s="16" t="s">
        <v>120</v>
      </c>
      <c r="D290" s="16" t="s">
        <v>121</v>
      </c>
      <c r="E290" s="16" t="s">
        <v>696</v>
      </c>
      <c r="F290" s="16">
        <v>3</v>
      </c>
      <c r="G290" s="30" t="s">
        <v>1018</v>
      </c>
      <c r="H290" s="16">
        <v>0</v>
      </c>
      <c r="I290" s="16" t="s">
        <v>47</v>
      </c>
      <c r="J290" s="16">
        <v>114.7</v>
      </c>
      <c r="K290" s="16">
        <v>52</v>
      </c>
      <c r="L290" s="16">
        <v>3466</v>
      </c>
      <c r="M290" s="8">
        <v>0</v>
      </c>
      <c r="N290" s="21">
        <v>44097</v>
      </c>
      <c r="O290" s="7">
        <f t="shared" si="16"/>
        <v>23</v>
      </c>
      <c r="P290" s="22">
        <f t="shared" si="17"/>
        <v>8</v>
      </c>
      <c r="Q290" s="22">
        <f t="shared" si="18"/>
        <v>30</v>
      </c>
      <c r="R290" s="16">
        <v>72</v>
      </c>
      <c r="S290">
        <v>7.1176308465082698</v>
      </c>
      <c r="T290">
        <v>-73.128039189421003</v>
      </c>
      <c r="U290" s="22">
        <v>14259</v>
      </c>
      <c r="V290" s="22">
        <v>14663.166670000001</v>
      </c>
      <c r="W290" s="25">
        <v>11149</v>
      </c>
      <c r="X290" s="24">
        <v>11300</v>
      </c>
      <c r="Y290" s="24">
        <v>158976</v>
      </c>
      <c r="Z290" s="24">
        <v>165699</v>
      </c>
      <c r="AA290" s="24">
        <v>7784</v>
      </c>
      <c r="AB290" s="24">
        <v>10242</v>
      </c>
      <c r="AC290" s="24">
        <v>61342</v>
      </c>
      <c r="AD290" s="24">
        <v>63800</v>
      </c>
      <c r="AE290" s="24">
        <v>9416</v>
      </c>
      <c r="AF290" s="24">
        <v>9515</v>
      </c>
      <c r="AG290" s="17">
        <v>0</v>
      </c>
      <c r="AH290" s="16" t="s">
        <v>58</v>
      </c>
      <c r="AI290" s="16" t="s">
        <v>49</v>
      </c>
      <c r="AJ290" s="16" t="s">
        <v>50</v>
      </c>
      <c r="AK290" s="16" t="s">
        <v>51</v>
      </c>
      <c r="AL290" s="25">
        <v>232000</v>
      </c>
      <c r="AM290" s="43">
        <f t="shared" si="19"/>
        <v>82.092414995640794</v>
      </c>
      <c r="AN290" s="16" t="s">
        <v>1019</v>
      </c>
      <c r="AO290" s="16" t="s">
        <v>60</v>
      </c>
    </row>
    <row r="291" spans="1:41" ht="14.5" x14ac:dyDescent="0.35">
      <c r="A291" s="27" t="s">
        <v>1020</v>
      </c>
      <c r="B291" s="16" t="s">
        <v>55</v>
      </c>
      <c r="C291" s="16" t="s">
        <v>43</v>
      </c>
      <c r="D291" s="16" t="s">
        <v>44</v>
      </c>
      <c r="E291" s="16" t="s">
        <v>152</v>
      </c>
      <c r="F291" s="16">
        <v>4</v>
      </c>
      <c r="G291" s="30" t="s">
        <v>1021</v>
      </c>
      <c r="H291" s="16">
        <v>0</v>
      </c>
      <c r="I291" s="16" t="s">
        <v>47</v>
      </c>
      <c r="J291" s="16">
        <v>98.41</v>
      </c>
      <c r="K291" s="16">
        <v>1455</v>
      </c>
      <c r="L291" s="16">
        <v>1070</v>
      </c>
      <c r="M291" s="8">
        <v>116</v>
      </c>
      <c r="N291" s="21">
        <v>45258</v>
      </c>
      <c r="O291" s="7">
        <f t="shared" si="16"/>
        <v>28</v>
      </c>
      <c r="P291" s="22">
        <f t="shared" si="17"/>
        <v>3</v>
      </c>
      <c r="Q291" s="22">
        <f t="shared" si="18"/>
        <v>30</v>
      </c>
      <c r="R291" s="16">
        <v>34</v>
      </c>
      <c r="S291">
        <v>4.6416583574436299</v>
      </c>
      <c r="T291">
        <v>-74.077165504631395</v>
      </c>
      <c r="U291" s="22">
        <v>20473</v>
      </c>
      <c r="V291" s="22">
        <v>19866.333330000001</v>
      </c>
      <c r="W291" s="25">
        <v>12127</v>
      </c>
      <c r="X291" s="24">
        <v>11983</v>
      </c>
      <c r="Y291" s="24">
        <v>248265</v>
      </c>
      <c r="Z291" s="24">
        <v>238063</v>
      </c>
      <c r="AA291" s="24">
        <v>33562</v>
      </c>
      <c r="AB291" s="24">
        <v>24876</v>
      </c>
      <c r="AC291" s="24">
        <v>89415</v>
      </c>
      <c r="AD291" s="24">
        <v>83717</v>
      </c>
      <c r="AE291" s="24">
        <v>10348</v>
      </c>
      <c r="AF291" s="24">
        <v>10454</v>
      </c>
      <c r="AG291" s="17">
        <v>0</v>
      </c>
      <c r="AH291" s="16" t="s">
        <v>58</v>
      </c>
      <c r="AI291" s="16" t="s">
        <v>49</v>
      </c>
      <c r="AJ291" s="16" t="s">
        <v>50</v>
      </c>
      <c r="AK291" s="16" t="s">
        <v>51</v>
      </c>
      <c r="AL291" s="25">
        <v>232000</v>
      </c>
      <c r="AM291" s="43">
        <f t="shared" si="19"/>
        <v>105.15191545574638</v>
      </c>
      <c r="AN291" s="16" t="s">
        <v>1022</v>
      </c>
      <c r="AO291" s="16" t="s">
        <v>53</v>
      </c>
    </row>
    <row r="292" spans="1:41" ht="14.5" x14ac:dyDescent="0.35">
      <c r="A292" s="27" t="s">
        <v>1023</v>
      </c>
      <c r="B292" s="16" t="s">
        <v>55</v>
      </c>
      <c r="C292" s="16" t="s">
        <v>43</v>
      </c>
      <c r="D292" s="16" t="s">
        <v>44</v>
      </c>
      <c r="E292" s="16" t="s">
        <v>152</v>
      </c>
      <c r="F292" s="16">
        <v>4</v>
      </c>
      <c r="G292" s="30" t="s">
        <v>1024</v>
      </c>
      <c r="H292" s="16">
        <v>0</v>
      </c>
      <c r="I292" s="16" t="s">
        <v>102</v>
      </c>
      <c r="J292" s="16">
        <v>143.34</v>
      </c>
      <c r="K292" s="16">
        <v>1338</v>
      </c>
      <c r="L292" s="16">
        <v>635</v>
      </c>
      <c r="M292" s="8">
        <v>98</v>
      </c>
      <c r="N292" s="21">
        <v>44592</v>
      </c>
      <c r="O292" s="7">
        <f t="shared" si="16"/>
        <v>31</v>
      </c>
      <c r="P292" s="22">
        <f t="shared" si="17"/>
        <v>1</v>
      </c>
      <c r="Q292" s="22">
        <f t="shared" si="18"/>
        <v>31</v>
      </c>
      <c r="R292" s="16">
        <v>56</v>
      </c>
      <c r="S292">
        <v>4.64146593980142</v>
      </c>
      <c r="T292">
        <v>-74.073132290146603</v>
      </c>
      <c r="U292" s="22">
        <v>20891</v>
      </c>
      <c r="V292" s="22">
        <v>20569</v>
      </c>
      <c r="W292" s="25">
        <v>10745</v>
      </c>
      <c r="X292" s="24">
        <v>11103</v>
      </c>
      <c r="Y292" s="24">
        <v>224472</v>
      </c>
      <c r="Z292" s="24">
        <v>228371</v>
      </c>
      <c r="AA292" s="24">
        <v>9995</v>
      </c>
      <c r="AB292" s="24">
        <v>15170</v>
      </c>
      <c r="AC292" s="24">
        <v>72203</v>
      </c>
      <c r="AD292" s="24">
        <v>77380</v>
      </c>
      <c r="AE292" s="24">
        <v>11701</v>
      </c>
      <c r="AF292" s="24">
        <v>11818</v>
      </c>
      <c r="AG292" s="17">
        <v>0</v>
      </c>
      <c r="AH292" s="16" t="s">
        <v>90</v>
      </c>
      <c r="AI292" s="16" t="s">
        <v>49</v>
      </c>
      <c r="AJ292" s="16" t="s">
        <v>50</v>
      </c>
      <c r="AK292" s="16" t="s">
        <v>51</v>
      </c>
      <c r="AL292" s="25">
        <v>232000</v>
      </c>
      <c r="AM292" s="43">
        <f t="shared" si="19"/>
        <v>81.631086926189482</v>
      </c>
      <c r="AN292" s="16" t="s">
        <v>723</v>
      </c>
      <c r="AO292" s="16" t="s">
        <v>53</v>
      </c>
    </row>
    <row r="293" spans="1:41" ht="14.5" x14ac:dyDescent="0.35">
      <c r="A293" s="27" t="s">
        <v>1025</v>
      </c>
      <c r="B293" s="16" t="s">
        <v>105</v>
      </c>
      <c r="C293" s="16" t="s">
        <v>106</v>
      </c>
      <c r="D293" s="16" t="s">
        <v>298</v>
      </c>
      <c r="E293" s="16" t="s">
        <v>871</v>
      </c>
      <c r="F293" s="16">
        <v>4</v>
      </c>
      <c r="G293" s="30" t="s">
        <v>1026</v>
      </c>
      <c r="H293" s="16">
        <v>0</v>
      </c>
      <c r="I293" s="16" t="s">
        <v>47</v>
      </c>
      <c r="J293" s="16">
        <v>102</v>
      </c>
      <c r="K293" s="16">
        <v>868</v>
      </c>
      <c r="L293" s="16">
        <v>189</v>
      </c>
      <c r="M293" s="8">
        <v>52</v>
      </c>
      <c r="N293" s="21">
        <v>44951</v>
      </c>
      <c r="O293" s="7">
        <f t="shared" si="16"/>
        <v>25</v>
      </c>
      <c r="P293" s="22">
        <f t="shared" si="17"/>
        <v>7</v>
      </c>
      <c r="Q293" s="22">
        <f t="shared" si="18"/>
        <v>31</v>
      </c>
      <c r="R293" s="16">
        <v>44</v>
      </c>
      <c r="S293">
        <v>4.81152534233021</v>
      </c>
      <c r="T293">
        <v>-75.797022173337595</v>
      </c>
      <c r="U293" s="22">
        <v>21808</v>
      </c>
      <c r="V293" s="22">
        <v>19735.333330000001</v>
      </c>
      <c r="W293" s="25">
        <v>19402</v>
      </c>
      <c r="X293" s="24">
        <v>18687</v>
      </c>
      <c r="Y293" s="24">
        <v>423117</v>
      </c>
      <c r="Z293" s="24">
        <v>368785</v>
      </c>
      <c r="AA293" s="24">
        <v>74039</v>
      </c>
      <c r="AB293" s="24">
        <v>56722</v>
      </c>
      <c r="AC293" s="24">
        <v>159434</v>
      </c>
      <c r="AD293" s="24">
        <v>135035</v>
      </c>
      <c r="AE293" s="24">
        <v>9855</v>
      </c>
      <c r="AF293" s="24">
        <v>9961</v>
      </c>
      <c r="AG293" s="17">
        <v>0</v>
      </c>
      <c r="AH293" s="16" t="s">
        <v>130</v>
      </c>
      <c r="AI293" s="16" t="s">
        <v>49</v>
      </c>
      <c r="AJ293" s="16" t="s">
        <v>50</v>
      </c>
      <c r="AK293" s="16" t="s">
        <v>51</v>
      </c>
      <c r="AL293" s="25">
        <v>232000</v>
      </c>
      <c r="AM293" s="43">
        <f t="shared" si="19"/>
        <v>96.617647058823536</v>
      </c>
      <c r="AN293" s="16" t="s">
        <v>223</v>
      </c>
      <c r="AO293" s="16" t="s">
        <v>60</v>
      </c>
    </row>
    <row r="294" spans="1:41" ht="14.5" x14ac:dyDescent="0.35">
      <c r="A294" s="27" t="s">
        <v>1027</v>
      </c>
      <c r="B294" s="16" t="s">
        <v>55</v>
      </c>
      <c r="C294" s="16" t="s">
        <v>43</v>
      </c>
      <c r="D294" s="16" t="s">
        <v>44</v>
      </c>
      <c r="E294" s="16" t="s">
        <v>705</v>
      </c>
      <c r="F294" s="16">
        <v>3</v>
      </c>
      <c r="G294" s="30" t="s">
        <v>1028</v>
      </c>
      <c r="H294" s="16">
        <v>0</v>
      </c>
      <c r="I294" s="16" t="s">
        <v>47</v>
      </c>
      <c r="J294" s="16">
        <v>99.08</v>
      </c>
      <c r="K294" s="16">
        <v>2980</v>
      </c>
      <c r="L294" s="16">
        <v>590</v>
      </c>
      <c r="M294" s="8">
        <v>0</v>
      </c>
      <c r="N294" s="21">
        <v>45199</v>
      </c>
      <c r="O294" s="7">
        <f t="shared" si="16"/>
        <v>30</v>
      </c>
      <c r="P294" s="22">
        <f t="shared" si="17"/>
        <v>1</v>
      </c>
      <c r="Q294" s="22">
        <f t="shared" si="18"/>
        <v>30</v>
      </c>
      <c r="R294" s="16">
        <v>36</v>
      </c>
      <c r="S294">
        <v>4.7099391991845101</v>
      </c>
      <c r="T294">
        <v>-74.1206006307509</v>
      </c>
      <c r="U294" s="22">
        <v>11299</v>
      </c>
      <c r="V294" s="22">
        <v>11719.333329999999</v>
      </c>
      <c r="W294" s="25">
        <v>13809</v>
      </c>
      <c r="X294" s="24">
        <v>13622</v>
      </c>
      <c r="Y294" s="24">
        <v>156023</v>
      </c>
      <c r="Z294" s="24">
        <v>159644</v>
      </c>
      <c r="AA294" s="42">
        <v>-313</v>
      </c>
      <c r="AB294" s="24">
        <v>2457</v>
      </c>
      <c r="AC294" s="24">
        <v>47491</v>
      </c>
      <c r="AD294" s="24">
        <v>48597</v>
      </c>
      <c r="AE294" s="24">
        <v>5748</v>
      </c>
      <c r="AF294" s="24">
        <v>5815</v>
      </c>
      <c r="AG294" s="17">
        <v>0</v>
      </c>
      <c r="AH294" s="16" t="s">
        <v>58</v>
      </c>
      <c r="AI294" s="16" t="s">
        <v>49</v>
      </c>
      <c r="AJ294" s="16" t="s">
        <v>50</v>
      </c>
      <c r="AK294" s="16" t="s">
        <v>51</v>
      </c>
      <c r="AL294" s="25">
        <v>232000</v>
      </c>
      <c r="AM294" s="43">
        <f t="shared" si="19"/>
        <v>58.013726281792493</v>
      </c>
      <c r="AN294" s="16" t="s">
        <v>1029</v>
      </c>
      <c r="AO294" s="16" t="s">
        <v>60</v>
      </c>
    </row>
    <row r="295" spans="1:41" ht="14.5" x14ac:dyDescent="0.35">
      <c r="A295" s="27" t="s">
        <v>1030</v>
      </c>
      <c r="B295" s="16" t="s">
        <v>119</v>
      </c>
      <c r="C295" s="16" t="s">
        <v>120</v>
      </c>
      <c r="D295" s="16" t="s">
        <v>738</v>
      </c>
      <c r="E295" s="16" t="s">
        <v>739</v>
      </c>
      <c r="F295" s="16">
        <v>3</v>
      </c>
      <c r="G295" s="30" t="s">
        <v>1031</v>
      </c>
      <c r="H295" s="16">
        <v>0</v>
      </c>
      <c r="I295" s="16" t="s">
        <v>47</v>
      </c>
      <c r="J295" s="16">
        <v>80.73</v>
      </c>
      <c r="K295" s="16">
        <v>553</v>
      </c>
      <c r="L295" s="16">
        <v>1509</v>
      </c>
      <c r="M295" s="8">
        <v>0</v>
      </c>
      <c r="N295" s="21">
        <v>42697</v>
      </c>
      <c r="O295" s="7">
        <f t="shared" si="16"/>
        <v>23</v>
      </c>
      <c r="P295" s="22">
        <f t="shared" si="17"/>
        <v>8</v>
      </c>
      <c r="Q295" s="22">
        <f t="shared" si="18"/>
        <v>30</v>
      </c>
      <c r="R295" s="16">
        <v>116</v>
      </c>
      <c r="S295">
        <v>7.0736197374943304</v>
      </c>
      <c r="T295">
        <v>-73.169432929397203</v>
      </c>
      <c r="U295" s="22">
        <v>27735</v>
      </c>
      <c r="V295" s="22">
        <v>27327.666669999999</v>
      </c>
      <c r="W295" s="25">
        <v>10277</v>
      </c>
      <c r="X295" s="24">
        <v>10842</v>
      </c>
      <c r="Y295" s="24">
        <v>285023</v>
      </c>
      <c r="Z295" s="24">
        <v>296277</v>
      </c>
      <c r="AA295" s="24">
        <v>25515</v>
      </c>
      <c r="AB295" s="24">
        <v>32601</v>
      </c>
      <c r="AC295" s="24">
        <v>101372</v>
      </c>
      <c r="AD295" s="24">
        <v>101961</v>
      </c>
      <c r="AE295" s="24">
        <v>9157</v>
      </c>
      <c r="AF295" s="24">
        <v>9046</v>
      </c>
      <c r="AG295" s="17">
        <v>0</v>
      </c>
      <c r="AH295" s="16" t="s">
        <v>58</v>
      </c>
      <c r="AI295" s="16" t="s">
        <v>49</v>
      </c>
      <c r="AJ295" s="16" t="s">
        <v>50</v>
      </c>
      <c r="AK295" s="16" t="s">
        <v>51</v>
      </c>
      <c r="AL295" s="25">
        <v>232000</v>
      </c>
      <c r="AM295" s="43">
        <f t="shared" si="19"/>
        <v>113.42747429703951</v>
      </c>
      <c r="AN295" s="16" t="s">
        <v>87</v>
      </c>
      <c r="AO295" s="16" t="s">
        <v>60</v>
      </c>
    </row>
    <row r="296" spans="1:41" ht="14.5" x14ac:dyDescent="0.35">
      <c r="A296" s="27" t="s">
        <v>1032</v>
      </c>
      <c r="B296" s="16" t="s">
        <v>42</v>
      </c>
      <c r="C296" s="16" t="s">
        <v>43</v>
      </c>
      <c r="D296" s="16" t="s">
        <v>44</v>
      </c>
      <c r="E296" s="16" t="s">
        <v>254</v>
      </c>
      <c r="F296" s="16">
        <v>6</v>
      </c>
      <c r="G296" s="30" t="s">
        <v>1033</v>
      </c>
      <c r="H296" s="16" t="s">
        <v>1034</v>
      </c>
      <c r="I296" s="16" t="s">
        <v>102</v>
      </c>
      <c r="J296" s="16">
        <v>133.22999999999999</v>
      </c>
      <c r="K296" s="16">
        <v>1552</v>
      </c>
      <c r="L296" s="16">
        <v>2550</v>
      </c>
      <c r="M296" s="8">
        <v>130</v>
      </c>
      <c r="N296" s="21">
        <v>46112</v>
      </c>
      <c r="O296" s="7">
        <f t="shared" si="16"/>
        <v>31</v>
      </c>
      <c r="P296" s="22">
        <f t="shared" si="17"/>
        <v>1</v>
      </c>
      <c r="Q296" s="22">
        <f t="shared" si="18"/>
        <v>31</v>
      </c>
      <c r="R296" s="16">
        <v>6</v>
      </c>
      <c r="S296">
        <v>4.7015132075128498</v>
      </c>
      <c r="T296">
        <v>-74.049561193987003</v>
      </c>
      <c r="U296" s="22">
        <v>17879</v>
      </c>
      <c r="V296" s="22">
        <v>13392.333329999999</v>
      </c>
      <c r="W296" s="25">
        <v>10874</v>
      </c>
      <c r="X296" s="24">
        <v>10986</v>
      </c>
      <c r="Y296" s="24">
        <v>194421</v>
      </c>
      <c r="Z296" s="24">
        <v>147129</v>
      </c>
      <c r="AA296" s="24">
        <v>17922</v>
      </c>
      <c r="AB296" s="24">
        <v>8772</v>
      </c>
      <c r="AC296" s="24">
        <v>80426</v>
      </c>
      <c r="AD296" s="24">
        <v>59249</v>
      </c>
      <c r="AE296" s="24">
        <v>15100</v>
      </c>
      <c r="AF296" s="24">
        <v>11661</v>
      </c>
      <c r="AG296" s="17">
        <v>1.4596</v>
      </c>
      <c r="AH296" s="16" t="s">
        <v>48</v>
      </c>
      <c r="AI296" s="16" t="s">
        <v>49</v>
      </c>
      <c r="AJ296" s="16" t="s">
        <v>124</v>
      </c>
      <c r="AK296" s="16" t="s">
        <v>65</v>
      </c>
      <c r="AL296" s="25">
        <v>232000</v>
      </c>
      <c r="AM296" s="43">
        <f t="shared" si="19"/>
        <v>113.33783682353825</v>
      </c>
      <c r="AN296" s="16" t="s">
        <v>150</v>
      </c>
      <c r="AO296" s="16" t="s">
        <v>60</v>
      </c>
    </row>
    <row r="297" spans="1:41" ht="14.5" x14ac:dyDescent="0.35">
      <c r="A297" s="27" t="s">
        <v>1035</v>
      </c>
      <c r="B297" s="16" t="s">
        <v>119</v>
      </c>
      <c r="C297" s="16" t="s">
        <v>120</v>
      </c>
      <c r="D297" s="16" t="s">
        <v>121</v>
      </c>
      <c r="E297" s="16" t="s">
        <v>190</v>
      </c>
      <c r="F297" s="16">
        <v>4</v>
      </c>
      <c r="G297" s="30" t="s">
        <v>1036</v>
      </c>
      <c r="H297" s="16">
        <v>0</v>
      </c>
      <c r="I297" s="16" t="s">
        <v>47</v>
      </c>
      <c r="J297" s="16">
        <v>153.24</v>
      </c>
      <c r="K297" s="16">
        <v>276</v>
      </c>
      <c r="L297" s="16">
        <v>1627</v>
      </c>
      <c r="M297" s="8">
        <v>0</v>
      </c>
      <c r="N297" s="21">
        <v>43426</v>
      </c>
      <c r="O297" s="7">
        <f t="shared" si="16"/>
        <v>22</v>
      </c>
      <c r="P297" s="22">
        <f t="shared" si="17"/>
        <v>9</v>
      </c>
      <c r="Q297" s="22">
        <f t="shared" si="18"/>
        <v>30</v>
      </c>
      <c r="R297" s="16">
        <v>94</v>
      </c>
      <c r="S297">
        <v>7.1104914906083501</v>
      </c>
      <c r="T297">
        <v>-73.111570568004794</v>
      </c>
      <c r="U297" s="22">
        <v>24386</v>
      </c>
      <c r="V297" s="22">
        <v>23688.5</v>
      </c>
      <c r="W297" s="25">
        <v>10600</v>
      </c>
      <c r="X297" s="24">
        <v>10824</v>
      </c>
      <c r="Y297" s="24">
        <v>258496</v>
      </c>
      <c r="Z297" s="24">
        <v>256404</v>
      </c>
      <c r="AA297" s="24">
        <v>31484</v>
      </c>
      <c r="AB297" s="24">
        <v>34690</v>
      </c>
      <c r="AC297" s="24">
        <v>106644</v>
      </c>
      <c r="AD297" s="24">
        <v>105481</v>
      </c>
      <c r="AE297" s="24">
        <v>11958</v>
      </c>
      <c r="AF297" s="24">
        <v>12077</v>
      </c>
      <c r="AG297" s="17">
        <v>0</v>
      </c>
      <c r="AH297" s="16" t="s">
        <v>136</v>
      </c>
      <c r="AI297" s="16" t="s">
        <v>49</v>
      </c>
      <c r="AJ297" s="16" t="s">
        <v>76</v>
      </c>
      <c r="AK297" s="16" t="s">
        <v>51</v>
      </c>
      <c r="AL297" s="25">
        <v>241405</v>
      </c>
      <c r="AM297" s="43">
        <f t="shared" si="19"/>
        <v>78.034455755677371</v>
      </c>
      <c r="AN297" s="16">
        <v>0</v>
      </c>
      <c r="AO297" s="16" t="s">
        <v>60</v>
      </c>
    </row>
    <row r="298" spans="1:41" ht="14.5" x14ac:dyDescent="0.35">
      <c r="A298" s="27" t="s">
        <v>1037</v>
      </c>
      <c r="B298" s="16" t="s">
        <v>42</v>
      </c>
      <c r="C298" s="16" t="s">
        <v>43</v>
      </c>
      <c r="D298" s="16" t="s">
        <v>44</v>
      </c>
      <c r="E298" s="16" t="s">
        <v>100</v>
      </c>
      <c r="F298" s="16">
        <v>6</v>
      </c>
      <c r="G298" s="30" t="s">
        <v>1038</v>
      </c>
      <c r="H298" s="16">
        <v>0</v>
      </c>
      <c r="I298" s="16" t="s">
        <v>47</v>
      </c>
      <c r="J298" s="16">
        <v>90.62</v>
      </c>
      <c r="K298" s="16">
        <v>1940</v>
      </c>
      <c r="L298" s="16">
        <v>2715</v>
      </c>
      <c r="M298" s="8">
        <v>0</v>
      </c>
      <c r="N298" s="21">
        <v>44638</v>
      </c>
      <c r="O298" s="7">
        <f t="shared" si="16"/>
        <v>18</v>
      </c>
      <c r="P298" s="22">
        <f t="shared" si="17"/>
        <v>14</v>
      </c>
      <c r="Q298" s="22">
        <f t="shared" si="18"/>
        <v>31</v>
      </c>
      <c r="R298" s="16">
        <v>54</v>
      </c>
      <c r="S298">
        <v>4.7043544910864101</v>
      </c>
      <c r="T298">
        <v>-74.041701381656097</v>
      </c>
      <c r="U298" s="22">
        <v>14914</v>
      </c>
      <c r="V298" s="22">
        <v>15149</v>
      </c>
      <c r="W298" s="25">
        <v>11375</v>
      </c>
      <c r="X298" s="24">
        <v>11494</v>
      </c>
      <c r="Y298" s="24">
        <v>169651</v>
      </c>
      <c r="Z298" s="24">
        <v>174127</v>
      </c>
      <c r="AA298" s="24">
        <v>13213</v>
      </c>
      <c r="AB298" s="24">
        <v>13456</v>
      </c>
      <c r="AC298" s="24">
        <v>68136</v>
      </c>
      <c r="AD298" s="24">
        <v>69901</v>
      </c>
      <c r="AE298" s="24">
        <v>12574</v>
      </c>
      <c r="AF298" s="24">
        <v>12699</v>
      </c>
      <c r="AG298" s="17">
        <v>0</v>
      </c>
      <c r="AH298" s="16" t="s">
        <v>90</v>
      </c>
      <c r="AI298" s="16" t="s">
        <v>49</v>
      </c>
      <c r="AJ298" s="16" t="s">
        <v>124</v>
      </c>
      <c r="AK298" s="16" t="s">
        <v>51</v>
      </c>
      <c r="AL298" s="25">
        <v>204160</v>
      </c>
      <c r="AM298" s="43">
        <f t="shared" si="19"/>
        <v>138.75524166850585</v>
      </c>
      <c r="AN298" s="16" t="s">
        <v>1039</v>
      </c>
      <c r="AO298" s="16" t="s">
        <v>53</v>
      </c>
    </row>
    <row r="299" spans="1:41" ht="14.5" x14ac:dyDescent="0.35">
      <c r="A299" s="27" t="s">
        <v>1040</v>
      </c>
      <c r="B299" s="16" t="s">
        <v>119</v>
      </c>
      <c r="C299" s="16" t="s">
        <v>120</v>
      </c>
      <c r="D299" s="16" t="s">
        <v>121</v>
      </c>
      <c r="E299" s="16" t="s">
        <v>1041</v>
      </c>
      <c r="F299" s="16">
        <v>3</v>
      </c>
      <c r="G299" s="30" t="s">
        <v>1042</v>
      </c>
      <c r="H299" s="16">
        <v>0</v>
      </c>
      <c r="I299" s="16" t="s">
        <v>47</v>
      </c>
      <c r="J299" s="16">
        <v>104.6</v>
      </c>
      <c r="K299" s="16">
        <v>977</v>
      </c>
      <c r="L299" s="16">
        <v>260</v>
      </c>
      <c r="M299" s="8">
        <v>53</v>
      </c>
      <c r="N299" s="21">
        <v>44814</v>
      </c>
      <c r="O299" s="7">
        <f t="shared" si="16"/>
        <v>10</v>
      </c>
      <c r="P299" s="22">
        <f t="shared" si="17"/>
        <v>21</v>
      </c>
      <c r="Q299" s="22">
        <f t="shared" si="18"/>
        <v>30</v>
      </c>
      <c r="R299" s="16">
        <v>48</v>
      </c>
      <c r="S299">
        <v>7.0855009373402096</v>
      </c>
      <c r="T299">
        <v>-73.1136216291019</v>
      </c>
      <c r="U299" s="22">
        <v>20742</v>
      </c>
      <c r="V299" s="22">
        <v>20171.333330000001</v>
      </c>
      <c r="W299" s="25">
        <v>10546</v>
      </c>
      <c r="X299" s="24">
        <v>10858</v>
      </c>
      <c r="Y299" s="24">
        <v>218745</v>
      </c>
      <c r="Z299" s="24">
        <v>219016</v>
      </c>
      <c r="AA299" s="42">
        <v>9893</v>
      </c>
      <c r="AB299" s="24">
        <v>10992</v>
      </c>
      <c r="AC299" s="24">
        <v>79813</v>
      </c>
      <c r="AD299" s="24">
        <v>77763</v>
      </c>
      <c r="AE299" s="24">
        <v>12984</v>
      </c>
      <c r="AF299" s="24">
        <v>12652</v>
      </c>
      <c r="AG299" s="17">
        <v>0</v>
      </c>
      <c r="AH299" s="16" t="s">
        <v>217</v>
      </c>
      <c r="AI299" s="16" t="s">
        <v>49</v>
      </c>
      <c r="AJ299" s="16" t="s">
        <v>50</v>
      </c>
      <c r="AK299" s="16" t="s">
        <v>51</v>
      </c>
      <c r="AL299" s="25">
        <v>232000</v>
      </c>
      <c r="AM299" s="43">
        <f t="shared" si="19"/>
        <v>124.1300191204589</v>
      </c>
      <c r="AN299" s="16">
        <v>0</v>
      </c>
      <c r="AO299" s="16" t="s">
        <v>60</v>
      </c>
    </row>
    <row r="300" spans="1:41" ht="14.5" x14ac:dyDescent="0.35">
      <c r="A300" s="27" t="s">
        <v>1043</v>
      </c>
      <c r="B300" s="16" t="s">
        <v>105</v>
      </c>
      <c r="C300" s="16" t="s">
        <v>112</v>
      </c>
      <c r="D300" s="16" t="s">
        <v>113</v>
      </c>
      <c r="E300" s="16" t="s">
        <v>268</v>
      </c>
      <c r="F300" s="16">
        <v>5</v>
      </c>
      <c r="G300" s="30" t="s">
        <v>1044</v>
      </c>
      <c r="H300" s="16" t="s">
        <v>1045</v>
      </c>
      <c r="I300" s="16" t="s">
        <v>102</v>
      </c>
      <c r="J300" s="16">
        <v>138.06</v>
      </c>
      <c r="K300" s="16">
        <v>1570</v>
      </c>
      <c r="L300" s="16">
        <v>1058</v>
      </c>
      <c r="M300" s="8">
        <v>98</v>
      </c>
      <c r="N300" s="21">
        <v>45896</v>
      </c>
      <c r="O300" s="7">
        <f t="shared" si="16"/>
        <v>27</v>
      </c>
      <c r="P300" s="22">
        <f t="shared" si="17"/>
        <v>5</v>
      </c>
      <c r="Q300" s="22">
        <f t="shared" si="18"/>
        <v>31</v>
      </c>
      <c r="R300" s="16">
        <v>13</v>
      </c>
      <c r="S300">
        <v>3.4578809214491302</v>
      </c>
      <c r="T300">
        <v>-76.535489447377003</v>
      </c>
      <c r="U300" s="22">
        <v>14549</v>
      </c>
      <c r="V300" s="22">
        <v>14504.666670000001</v>
      </c>
      <c r="W300" s="25">
        <v>11965</v>
      </c>
      <c r="X300" s="24">
        <v>11821</v>
      </c>
      <c r="Y300" s="24">
        <v>174075</v>
      </c>
      <c r="Z300" s="24">
        <v>171459</v>
      </c>
      <c r="AA300" s="24">
        <v>2048</v>
      </c>
      <c r="AB300" s="24">
        <v>7122</v>
      </c>
      <c r="AC300" s="24">
        <v>71250</v>
      </c>
      <c r="AD300" s="24">
        <v>67524</v>
      </c>
      <c r="AE300" s="24">
        <v>10510</v>
      </c>
      <c r="AF300" s="24">
        <v>10191</v>
      </c>
      <c r="AG300" s="17">
        <v>1.0952</v>
      </c>
      <c r="AH300" s="16" t="s">
        <v>48</v>
      </c>
      <c r="AI300" s="16" t="s">
        <v>49</v>
      </c>
      <c r="AJ300" s="16" t="s">
        <v>50</v>
      </c>
      <c r="AK300" s="16" t="s">
        <v>71</v>
      </c>
      <c r="AL300" s="25">
        <v>232000</v>
      </c>
      <c r="AM300" s="43">
        <f t="shared" si="19"/>
        <v>76.126321889033747</v>
      </c>
      <c r="AN300" s="16" t="s">
        <v>1046</v>
      </c>
      <c r="AO300" s="16" t="s">
        <v>60</v>
      </c>
    </row>
    <row r="301" spans="1:41" ht="14.5" x14ac:dyDescent="0.35">
      <c r="A301" s="27" t="s">
        <v>1047</v>
      </c>
      <c r="B301" s="16" t="s">
        <v>119</v>
      </c>
      <c r="C301" s="16" t="s">
        <v>120</v>
      </c>
      <c r="D301" s="16" t="s">
        <v>121</v>
      </c>
      <c r="E301" s="16" t="s">
        <v>674</v>
      </c>
      <c r="F301" s="16">
        <v>3</v>
      </c>
      <c r="G301" s="30" t="s">
        <v>1048</v>
      </c>
      <c r="H301" s="16">
        <v>0</v>
      </c>
      <c r="I301" s="16" t="s">
        <v>47</v>
      </c>
      <c r="J301" s="16">
        <v>142.5</v>
      </c>
      <c r="K301" s="16">
        <v>1304</v>
      </c>
      <c r="L301" s="16">
        <v>925</v>
      </c>
      <c r="M301" s="8">
        <v>102</v>
      </c>
      <c r="N301" s="21">
        <v>45169</v>
      </c>
      <c r="O301" s="7">
        <f t="shared" si="16"/>
        <v>31</v>
      </c>
      <c r="P301" s="22">
        <f t="shared" si="17"/>
        <v>1</v>
      </c>
      <c r="Q301" s="22">
        <f t="shared" si="18"/>
        <v>31</v>
      </c>
      <c r="R301" s="16">
        <v>37</v>
      </c>
      <c r="S301">
        <v>7.1316222864471301</v>
      </c>
      <c r="T301">
        <v>-73.126309225527393</v>
      </c>
      <c r="U301" s="22">
        <v>20779</v>
      </c>
      <c r="V301" s="22">
        <v>20481.5</v>
      </c>
      <c r="W301" s="25">
        <v>12619</v>
      </c>
      <c r="X301" s="24">
        <v>12731</v>
      </c>
      <c r="Y301" s="24">
        <v>262217</v>
      </c>
      <c r="Z301" s="24">
        <v>260747</v>
      </c>
      <c r="AA301" s="24">
        <v>25188</v>
      </c>
      <c r="AB301" s="24">
        <v>31683</v>
      </c>
      <c r="AC301" s="24">
        <v>97275</v>
      </c>
      <c r="AD301" s="24">
        <v>95612</v>
      </c>
      <c r="AE301" s="24">
        <v>7974</v>
      </c>
      <c r="AF301" s="24">
        <v>7771</v>
      </c>
      <c r="AG301" s="17">
        <v>0</v>
      </c>
      <c r="AH301" s="16" t="s">
        <v>58</v>
      </c>
      <c r="AI301" s="16" t="s">
        <v>49</v>
      </c>
      <c r="AJ301" s="16" t="s">
        <v>50</v>
      </c>
      <c r="AK301" s="16" t="s">
        <v>51</v>
      </c>
      <c r="AL301" s="25">
        <v>232000</v>
      </c>
      <c r="AM301" s="43">
        <f t="shared" si="19"/>
        <v>55.957894736842107</v>
      </c>
      <c r="AN301" s="16" t="s">
        <v>424</v>
      </c>
      <c r="AO301" s="16" t="s">
        <v>53</v>
      </c>
    </row>
    <row r="302" spans="1:41" ht="14.5" x14ac:dyDescent="0.35">
      <c r="A302" s="27" t="s">
        <v>1049</v>
      </c>
      <c r="B302" s="16" t="s">
        <v>55</v>
      </c>
      <c r="C302" s="16" t="s">
        <v>43</v>
      </c>
      <c r="D302" s="16" t="s">
        <v>44</v>
      </c>
      <c r="E302" s="16" t="s">
        <v>1050</v>
      </c>
      <c r="F302" s="16">
        <v>3</v>
      </c>
      <c r="G302" s="30" t="s">
        <v>1051</v>
      </c>
      <c r="H302" s="16">
        <v>0</v>
      </c>
      <c r="I302" s="16" t="s">
        <v>47</v>
      </c>
      <c r="J302" s="16">
        <v>119.94</v>
      </c>
      <c r="K302" s="16">
        <v>601</v>
      </c>
      <c r="L302" s="16">
        <v>3274</v>
      </c>
      <c r="M302" s="8">
        <v>58</v>
      </c>
      <c r="N302" s="21">
        <v>45462</v>
      </c>
      <c r="O302" s="7">
        <f t="shared" si="16"/>
        <v>19</v>
      </c>
      <c r="P302" s="22">
        <f t="shared" si="17"/>
        <v>12</v>
      </c>
      <c r="Q302" s="22">
        <f t="shared" si="18"/>
        <v>30</v>
      </c>
      <c r="R302" s="16">
        <v>27</v>
      </c>
      <c r="S302">
        <v>4.6488339021877598</v>
      </c>
      <c r="T302">
        <v>-74.119762215307603</v>
      </c>
      <c r="U302" s="22">
        <v>25056</v>
      </c>
      <c r="V302" s="22">
        <v>23283.5</v>
      </c>
      <c r="W302" s="25">
        <v>13419</v>
      </c>
      <c r="X302" s="24">
        <v>13436</v>
      </c>
      <c r="Y302" s="24">
        <v>336213</v>
      </c>
      <c r="Z302" s="24">
        <v>312840</v>
      </c>
      <c r="AA302" s="24">
        <v>54364</v>
      </c>
      <c r="AB302" s="24">
        <v>43362</v>
      </c>
      <c r="AC302" s="24">
        <v>119924</v>
      </c>
      <c r="AD302" s="24">
        <v>108260</v>
      </c>
      <c r="AE302" s="24">
        <v>7740</v>
      </c>
      <c r="AF302" s="24">
        <v>7656</v>
      </c>
      <c r="AG302" s="17">
        <v>0</v>
      </c>
      <c r="AH302" s="16" t="s">
        <v>136</v>
      </c>
      <c r="AI302" s="16" t="s">
        <v>49</v>
      </c>
      <c r="AJ302" s="16" t="s">
        <v>76</v>
      </c>
      <c r="AK302" s="16" t="s">
        <v>51</v>
      </c>
      <c r="AL302" s="25">
        <v>241405</v>
      </c>
      <c r="AM302" s="43">
        <f t="shared" si="19"/>
        <v>64.532266133066528</v>
      </c>
      <c r="AN302" s="16" t="s">
        <v>1052</v>
      </c>
      <c r="AO302" s="16" t="s">
        <v>98</v>
      </c>
    </row>
    <row r="303" spans="1:41" ht="14.5" x14ac:dyDescent="0.35">
      <c r="A303" s="27" t="s">
        <v>1053</v>
      </c>
      <c r="B303" s="16" t="s">
        <v>55</v>
      </c>
      <c r="C303" s="16" t="s">
        <v>43</v>
      </c>
      <c r="D303" s="16" t="s">
        <v>44</v>
      </c>
      <c r="E303" s="16" t="s">
        <v>1054</v>
      </c>
      <c r="F303" s="16">
        <v>3</v>
      </c>
      <c r="G303" s="30" t="s">
        <v>1055</v>
      </c>
      <c r="H303" s="16">
        <v>0</v>
      </c>
      <c r="I303" s="16" t="s">
        <v>47</v>
      </c>
      <c r="J303" s="16">
        <v>114</v>
      </c>
      <c r="K303" s="16">
        <v>342</v>
      </c>
      <c r="L303" s="16">
        <v>415</v>
      </c>
      <c r="M303" s="8">
        <v>85</v>
      </c>
      <c r="N303" s="21">
        <v>44496</v>
      </c>
      <c r="O303" s="7">
        <f t="shared" si="16"/>
        <v>27</v>
      </c>
      <c r="P303" s="22">
        <f t="shared" si="17"/>
        <v>5</v>
      </c>
      <c r="Q303" s="22">
        <f t="shared" si="18"/>
        <v>31</v>
      </c>
      <c r="R303" s="16">
        <v>59</v>
      </c>
      <c r="S303">
        <v>4.6557015115597</v>
      </c>
      <c r="T303">
        <v>-74.101311647415798</v>
      </c>
      <c r="U303" s="22">
        <v>21490</v>
      </c>
      <c r="V303" s="22">
        <v>19309.833330000001</v>
      </c>
      <c r="W303" s="25">
        <v>10858</v>
      </c>
      <c r="X303" s="24">
        <v>10669</v>
      </c>
      <c r="Y303" s="24">
        <v>233343</v>
      </c>
      <c r="Z303" s="24">
        <v>206006</v>
      </c>
      <c r="AA303" s="24">
        <v>37425</v>
      </c>
      <c r="AB303" s="24">
        <v>22587</v>
      </c>
      <c r="AC303" s="24">
        <v>85000</v>
      </c>
      <c r="AD303" s="24">
        <v>72561</v>
      </c>
      <c r="AE303" s="24">
        <v>8928</v>
      </c>
      <c r="AF303" s="24">
        <v>9022</v>
      </c>
      <c r="AG303" s="17">
        <v>0</v>
      </c>
      <c r="AH303" s="16" t="s">
        <v>217</v>
      </c>
      <c r="AI303" s="16" t="s">
        <v>49</v>
      </c>
      <c r="AJ303" s="16" t="s">
        <v>124</v>
      </c>
      <c r="AK303" s="16" t="s">
        <v>51</v>
      </c>
      <c r="AL303" s="25">
        <v>204160</v>
      </c>
      <c r="AM303" s="43">
        <f t="shared" si="19"/>
        <v>78.315789473684205</v>
      </c>
      <c r="AN303" s="16">
        <v>0</v>
      </c>
      <c r="AO303" s="16" t="s">
        <v>53</v>
      </c>
    </row>
    <row r="304" spans="1:41" ht="14.5" x14ac:dyDescent="0.35">
      <c r="A304" s="27" t="s">
        <v>1056</v>
      </c>
      <c r="B304" s="16" t="s">
        <v>55</v>
      </c>
      <c r="C304" s="16" t="s">
        <v>93</v>
      </c>
      <c r="D304" s="16" t="s">
        <v>846</v>
      </c>
      <c r="E304" s="16" t="s">
        <v>847</v>
      </c>
      <c r="F304" s="16">
        <v>3</v>
      </c>
      <c r="G304" s="30" t="s">
        <v>1057</v>
      </c>
      <c r="H304" s="16">
        <v>0</v>
      </c>
      <c r="I304" s="16" t="s">
        <v>47</v>
      </c>
      <c r="J304" s="16">
        <v>79.42</v>
      </c>
      <c r="K304" s="16">
        <v>4563</v>
      </c>
      <c r="L304" s="16">
        <v>490</v>
      </c>
      <c r="M304" s="8">
        <v>167</v>
      </c>
      <c r="N304" s="21">
        <v>45223</v>
      </c>
      <c r="O304" s="7">
        <f t="shared" si="16"/>
        <v>24</v>
      </c>
      <c r="P304" s="22">
        <f t="shared" si="17"/>
        <v>8</v>
      </c>
      <c r="Q304" s="22">
        <f t="shared" si="18"/>
        <v>31</v>
      </c>
      <c r="R304" s="16">
        <v>35</v>
      </c>
      <c r="S304">
        <v>4.7030987553514798</v>
      </c>
      <c r="T304">
        <v>-74.215932098698303</v>
      </c>
      <c r="U304" s="22">
        <v>13525</v>
      </c>
      <c r="V304" s="22">
        <v>12927.333329999999</v>
      </c>
      <c r="W304" s="25">
        <v>11043</v>
      </c>
      <c r="X304" s="24">
        <v>11788</v>
      </c>
      <c r="Y304" s="24">
        <v>149350</v>
      </c>
      <c r="Z304" s="24">
        <v>152384</v>
      </c>
      <c r="AA304" s="42">
        <v>-957</v>
      </c>
      <c r="AB304" s="42">
        <v>14623</v>
      </c>
      <c r="AC304" s="24">
        <v>48636</v>
      </c>
      <c r="AD304" s="24">
        <v>62179</v>
      </c>
      <c r="AE304" s="24">
        <v>6553</v>
      </c>
      <c r="AF304" s="24">
        <v>6627</v>
      </c>
      <c r="AG304" s="17">
        <v>0</v>
      </c>
      <c r="AH304" s="16" t="s">
        <v>64</v>
      </c>
      <c r="AI304" s="16" t="s">
        <v>49</v>
      </c>
      <c r="AJ304" s="16" t="s">
        <v>50</v>
      </c>
      <c r="AK304" s="16" t="s">
        <v>51</v>
      </c>
      <c r="AL304" s="25">
        <v>232000</v>
      </c>
      <c r="AM304" s="43">
        <f t="shared" si="19"/>
        <v>82.510702593805078</v>
      </c>
      <c r="AN304" s="16" t="s">
        <v>1058</v>
      </c>
      <c r="AO304" s="16" t="s">
        <v>60</v>
      </c>
    </row>
    <row r="305" spans="1:41" ht="14.5" x14ac:dyDescent="0.35">
      <c r="A305" s="27" t="s">
        <v>1059</v>
      </c>
      <c r="B305" s="16" t="s">
        <v>55</v>
      </c>
      <c r="C305" s="16" t="s">
        <v>43</v>
      </c>
      <c r="D305" s="16" t="s">
        <v>44</v>
      </c>
      <c r="E305" s="16" t="s">
        <v>444</v>
      </c>
      <c r="F305" s="16">
        <v>3</v>
      </c>
      <c r="G305" s="30" t="s">
        <v>1060</v>
      </c>
      <c r="H305" s="16">
        <v>0</v>
      </c>
      <c r="I305" s="16" t="s">
        <v>47</v>
      </c>
      <c r="J305" s="16">
        <v>95.95</v>
      </c>
      <c r="K305" s="16">
        <v>412</v>
      </c>
      <c r="L305" s="16">
        <v>962</v>
      </c>
      <c r="M305" s="8">
        <v>0</v>
      </c>
      <c r="N305" s="21">
        <v>44688</v>
      </c>
      <c r="O305" s="7">
        <f t="shared" si="16"/>
        <v>7</v>
      </c>
      <c r="P305" s="22">
        <f t="shared" si="17"/>
        <v>25</v>
      </c>
      <c r="Q305" s="22">
        <f t="shared" si="18"/>
        <v>31</v>
      </c>
      <c r="R305" s="16">
        <v>52</v>
      </c>
      <c r="S305">
        <v>4.6047268935631198</v>
      </c>
      <c r="T305">
        <v>-74.095052048267505</v>
      </c>
      <c r="U305" s="22">
        <v>18252</v>
      </c>
      <c r="V305" s="22">
        <v>18017.166669999999</v>
      </c>
      <c r="W305" s="25">
        <v>10738</v>
      </c>
      <c r="X305" s="24">
        <v>11555</v>
      </c>
      <c r="Y305" s="24">
        <v>195993</v>
      </c>
      <c r="Z305" s="24">
        <v>208189</v>
      </c>
      <c r="AA305" s="24">
        <v>15168</v>
      </c>
      <c r="AB305" s="24">
        <v>14093</v>
      </c>
      <c r="AC305" s="24">
        <v>65288</v>
      </c>
      <c r="AD305" s="24">
        <v>68529</v>
      </c>
      <c r="AE305" s="24">
        <v>11696</v>
      </c>
      <c r="AF305" s="24">
        <v>11746</v>
      </c>
      <c r="AG305" s="17">
        <v>0</v>
      </c>
      <c r="AH305" s="16" t="s">
        <v>217</v>
      </c>
      <c r="AI305" s="16" t="s">
        <v>49</v>
      </c>
      <c r="AJ305" s="16" t="s">
        <v>76</v>
      </c>
      <c r="AK305" s="16" t="s">
        <v>51</v>
      </c>
      <c r="AL305" s="25">
        <v>241405</v>
      </c>
      <c r="AM305" s="43">
        <f t="shared" si="19"/>
        <v>121.89682126107347</v>
      </c>
      <c r="AN305" s="16">
        <v>0</v>
      </c>
      <c r="AO305" s="16" t="s">
        <v>60</v>
      </c>
    </row>
    <row r="306" spans="1:41" ht="14.5" x14ac:dyDescent="0.35">
      <c r="A306" s="27" t="s">
        <v>1061</v>
      </c>
      <c r="B306" s="16" t="s">
        <v>42</v>
      </c>
      <c r="C306" s="16" t="s">
        <v>93</v>
      </c>
      <c r="D306" s="16" t="s">
        <v>744</v>
      </c>
      <c r="E306" s="16" t="s">
        <v>745</v>
      </c>
      <c r="F306" s="16">
        <v>4</v>
      </c>
      <c r="G306" s="30" t="s">
        <v>1062</v>
      </c>
      <c r="H306" s="16">
        <v>0</v>
      </c>
      <c r="I306" s="16" t="s">
        <v>47</v>
      </c>
      <c r="J306" s="16">
        <v>84.6</v>
      </c>
      <c r="K306" s="16">
        <v>2142</v>
      </c>
      <c r="L306" s="16">
        <v>620</v>
      </c>
      <c r="M306" s="8">
        <v>64</v>
      </c>
      <c r="N306" s="21">
        <v>45412</v>
      </c>
      <c r="O306" s="7">
        <f t="shared" si="16"/>
        <v>30</v>
      </c>
      <c r="P306" s="22">
        <f t="shared" si="17"/>
        <v>1</v>
      </c>
      <c r="Q306" s="22">
        <f t="shared" si="18"/>
        <v>30</v>
      </c>
      <c r="R306" s="16">
        <v>29</v>
      </c>
      <c r="S306">
        <v>5.0235756003471197</v>
      </c>
      <c r="T306">
        <v>-73.994977373283206</v>
      </c>
      <c r="U306" s="22">
        <v>17764</v>
      </c>
      <c r="V306" s="22">
        <v>18049.333330000001</v>
      </c>
      <c r="W306" s="25">
        <v>11613</v>
      </c>
      <c r="X306" s="24">
        <v>11743</v>
      </c>
      <c r="Y306" s="24">
        <v>206285</v>
      </c>
      <c r="Z306" s="24">
        <v>211945</v>
      </c>
      <c r="AA306" s="24">
        <v>25534</v>
      </c>
      <c r="AB306" s="24">
        <v>27204</v>
      </c>
      <c r="AC306" s="24">
        <v>84192</v>
      </c>
      <c r="AD306" s="24">
        <v>84417</v>
      </c>
      <c r="AE306" s="24">
        <v>7850</v>
      </c>
      <c r="AF306" s="24">
        <v>7868</v>
      </c>
      <c r="AG306" s="17">
        <v>0</v>
      </c>
      <c r="AH306" s="16" t="s">
        <v>64</v>
      </c>
      <c r="AI306" s="16" t="s">
        <v>49</v>
      </c>
      <c r="AJ306" s="16" t="s">
        <v>50</v>
      </c>
      <c r="AK306" s="16" t="s">
        <v>51</v>
      </c>
      <c r="AL306" s="25">
        <v>232000</v>
      </c>
      <c r="AM306" s="43">
        <f t="shared" si="19"/>
        <v>92.789598108747057</v>
      </c>
      <c r="AN306" s="16">
        <v>0</v>
      </c>
      <c r="AO306" s="16" t="s">
        <v>60</v>
      </c>
    </row>
    <row r="307" spans="1:41" ht="14.5" x14ac:dyDescent="0.35">
      <c r="A307" s="27" t="s">
        <v>1063</v>
      </c>
      <c r="B307" s="16" t="s">
        <v>42</v>
      </c>
      <c r="C307" s="16" t="s">
        <v>43</v>
      </c>
      <c r="D307" s="16" t="s">
        <v>44</v>
      </c>
      <c r="E307" s="16" t="s">
        <v>68</v>
      </c>
      <c r="F307" s="16">
        <v>5</v>
      </c>
      <c r="G307" s="30" t="s">
        <v>1064</v>
      </c>
      <c r="H307" s="16">
        <v>0</v>
      </c>
      <c r="I307" s="16" t="s">
        <v>718</v>
      </c>
      <c r="J307" s="16">
        <v>159.4</v>
      </c>
      <c r="K307" s="16">
        <v>19</v>
      </c>
      <c r="L307" s="16">
        <v>2252</v>
      </c>
      <c r="M307" s="8">
        <v>0</v>
      </c>
      <c r="N307" s="21">
        <v>40525</v>
      </c>
      <c r="O307" s="7">
        <f t="shared" si="16"/>
        <v>13</v>
      </c>
      <c r="P307" s="22">
        <f t="shared" si="17"/>
        <v>19</v>
      </c>
      <c r="Q307" s="22">
        <f t="shared" si="18"/>
        <v>31</v>
      </c>
      <c r="R307" s="16">
        <v>116</v>
      </c>
      <c r="S307">
        <v>4.6647092853104297</v>
      </c>
      <c r="T307">
        <v>-74.060630200296998</v>
      </c>
      <c r="U307" s="22">
        <v>13709</v>
      </c>
      <c r="V307" s="22">
        <v>14904.166670000001</v>
      </c>
      <c r="W307" s="25">
        <v>9824</v>
      </c>
      <c r="X307" s="24">
        <v>9942</v>
      </c>
      <c r="Y307" s="24">
        <v>134675</v>
      </c>
      <c r="Z307" s="24">
        <v>148173</v>
      </c>
      <c r="AA307" s="24">
        <v>5070</v>
      </c>
      <c r="AB307" s="24">
        <v>4657</v>
      </c>
      <c r="AC307" s="24">
        <v>49425</v>
      </c>
      <c r="AD307" s="24">
        <v>52148</v>
      </c>
      <c r="AE307" s="24">
        <v>11809</v>
      </c>
      <c r="AF307" s="24">
        <v>11664</v>
      </c>
      <c r="AG307" s="17">
        <v>0</v>
      </c>
      <c r="AH307" s="16" t="s">
        <v>217</v>
      </c>
      <c r="AI307" s="16" t="s">
        <v>49</v>
      </c>
      <c r="AJ307" s="16" t="s">
        <v>50</v>
      </c>
      <c r="AK307" s="16" t="s">
        <v>51</v>
      </c>
      <c r="AL307" s="25">
        <v>232000</v>
      </c>
      <c r="AM307" s="43">
        <f t="shared" si="19"/>
        <v>74.084065244667499</v>
      </c>
      <c r="AN307" s="16">
        <v>0</v>
      </c>
      <c r="AO307" s="16" t="s">
        <v>60</v>
      </c>
    </row>
    <row r="308" spans="1:41" ht="14.5" x14ac:dyDescent="0.35">
      <c r="A308" s="27" t="s">
        <v>1065</v>
      </c>
      <c r="B308" s="16" t="s">
        <v>55</v>
      </c>
      <c r="C308" s="16" t="s">
        <v>43</v>
      </c>
      <c r="D308" s="16" t="s">
        <v>44</v>
      </c>
      <c r="E308" s="16" t="s">
        <v>201</v>
      </c>
      <c r="F308" s="16">
        <v>3</v>
      </c>
      <c r="G308" s="30" t="s">
        <v>1066</v>
      </c>
      <c r="H308" s="16">
        <v>0</v>
      </c>
      <c r="I308" s="16" t="s">
        <v>47</v>
      </c>
      <c r="J308" s="16">
        <v>100.14</v>
      </c>
      <c r="K308" s="16">
        <v>3161</v>
      </c>
      <c r="L308" s="16">
        <v>470</v>
      </c>
      <c r="M308" s="8">
        <v>52</v>
      </c>
      <c r="N308" s="21">
        <v>44355</v>
      </c>
      <c r="O308" s="7">
        <f t="shared" si="16"/>
        <v>8</v>
      </c>
      <c r="P308" s="22">
        <f t="shared" si="17"/>
        <v>23</v>
      </c>
      <c r="Q308" s="22">
        <f t="shared" si="18"/>
        <v>30</v>
      </c>
      <c r="R308" s="16">
        <v>63</v>
      </c>
      <c r="S308">
        <v>4.6180763117362504</v>
      </c>
      <c r="T308">
        <v>-74.129541782440299</v>
      </c>
      <c r="U308" s="22">
        <v>14651</v>
      </c>
      <c r="V308" s="22">
        <v>14790.666670000001</v>
      </c>
      <c r="W308" s="25">
        <v>14328</v>
      </c>
      <c r="X308" s="24">
        <v>13825</v>
      </c>
      <c r="Y308" s="24">
        <v>209916</v>
      </c>
      <c r="Z308" s="24">
        <v>204477</v>
      </c>
      <c r="AA308" s="24">
        <v>13448</v>
      </c>
      <c r="AB308" s="24">
        <v>13095</v>
      </c>
      <c r="AC308" s="24">
        <v>68224</v>
      </c>
      <c r="AD308" s="24">
        <v>65000</v>
      </c>
      <c r="AE308" s="24">
        <v>6496</v>
      </c>
      <c r="AF308" s="24">
        <v>6491</v>
      </c>
      <c r="AG308" s="17">
        <v>0</v>
      </c>
      <c r="AH308" s="16" t="s">
        <v>48</v>
      </c>
      <c r="AI308" s="16" t="s">
        <v>49</v>
      </c>
      <c r="AJ308" s="16" t="s">
        <v>50</v>
      </c>
      <c r="AK308" s="16" t="s">
        <v>51</v>
      </c>
      <c r="AL308" s="25">
        <v>232000</v>
      </c>
      <c r="AM308" s="43">
        <f t="shared" si="19"/>
        <v>64.86918314359896</v>
      </c>
      <c r="AN308" s="16" t="s">
        <v>91</v>
      </c>
      <c r="AO308" s="16" t="s">
        <v>60</v>
      </c>
    </row>
    <row r="309" spans="1:41" ht="14.5" x14ac:dyDescent="0.35">
      <c r="A309" s="27" t="s">
        <v>1067</v>
      </c>
      <c r="B309" s="16" t="s">
        <v>55</v>
      </c>
      <c r="C309" s="16" t="s">
        <v>43</v>
      </c>
      <c r="D309" s="16" t="s">
        <v>44</v>
      </c>
      <c r="E309" s="16" t="s">
        <v>473</v>
      </c>
      <c r="F309" s="16">
        <v>5</v>
      </c>
      <c r="G309" s="30" t="s">
        <v>1068</v>
      </c>
      <c r="H309" s="16">
        <v>0</v>
      </c>
      <c r="I309" s="16" t="s">
        <v>47</v>
      </c>
      <c r="J309" s="16">
        <v>146.38</v>
      </c>
      <c r="K309" s="16">
        <v>2997</v>
      </c>
      <c r="L309" s="16">
        <v>880</v>
      </c>
      <c r="M309" s="8">
        <v>42</v>
      </c>
      <c r="N309" s="21">
        <v>45161</v>
      </c>
      <c r="O309" s="7">
        <f t="shared" si="16"/>
        <v>23</v>
      </c>
      <c r="P309" s="22">
        <f t="shared" si="17"/>
        <v>9</v>
      </c>
      <c r="Q309" s="22">
        <f t="shared" si="18"/>
        <v>31</v>
      </c>
      <c r="R309" s="16">
        <v>37</v>
      </c>
      <c r="S309">
        <v>4.6446972622377398</v>
      </c>
      <c r="T309">
        <v>-74.062099520729504</v>
      </c>
      <c r="U309" s="22">
        <v>27915</v>
      </c>
      <c r="V309" s="22">
        <v>26855.5</v>
      </c>
      <c r="W309" s="25">
        <v>13912</v>
      </c>
      <c r="X309" s="24">
        <v>13171</v>
      </c>
      <c r="Y309" s="24">
        <v>388348</v>
      </c>
      <c r="Z309" s="24">
        <v>353706</v>
      </c>
      <c r="AA309" s="24">
        <v>59870</v>
      </c>
      <c r="AB309" s="24">
        <v>50031</v>
      </c>
      <c r="AC309" s="24">
        <v>138730</v>
      </c>
      <c r="AD309" s="24">
        <v>122787</v>
      </c>
      <c r="AE309" s="24">
        <v>11418</v>
      </c>
      <c r="AF309" s="24">
        <v>11143</v>
      </c>
      <c r="AG309" s="17">
        <v>0</v>
      </c>
      <c r="AH309" s="16" t="s">
        <v>217</v>
      </c>
      <c r="AI309" s="16" t="s">
        <v>49</v>
      </c>
      <c r="AJ309" s="16" t="s">
        <v>50</v>
      </c>
      <c r="AK309" s="16" t="s">
        <v>51</v>
      </c>
      <c r="AL309" s="25">
        <v>232000</v>
      </c>
      <c r="AM309" s="43">
        <f t="shared" si="19"/>
        <v>78.002459352370551</v>
      </c>
      <c r="AN309" s="16">
        <v>0</v>
      </c>
      <c r="AO309" s="16" t="s">
        <v>60</v>
      </c>
    </row>
    <row r="310" spans="1:41" ht="14.5" x14ac:dyDescent="0.35">
      <c r="A310" s="27" t="s">
        <v>1069</v>
      </c>
      <c r="B310" s="16" t="s">
        <v>105</v>
      </c>
      <c r="C310" s="16" t="s">
        <v>112</v>
      </c>
      <c r="D310" s="16" t="s">
        <v>113</v>
      </c>
      <c r="E310" s="16" t="s">
        <v>1070</v>
      </c>
      <c r="F310" s="16">
        <v>6</v>
      </c>
      <c r="G310" s="30" t="s">
        <v>1071</v>
      </c>
      <c r="H310" s="16" t="s">
        <v>1072</v>
      </c>
      <c r="I310" s="16" t="s">
        <v>102</v>
      </c>
      <c r="J310" s="16">
        <v>107.95</v>
      </c>
      <c r="K310" s="16">
        <v>2798</v>
      </c>
      <c r="L310" s="16">
        <v>4280</v>
      </c>
      <c r="M310" s="8">
        <v>57</v>
      </c>
      <c r="N310" s="21">
        <v>45560</v>
      </c>
      <c r="O310" s="7">
        <f t="shared" si="16"/>
        <v>25</v>
      </c>
      <c r="P310" s="22">
        <f t="shared" si="17"/>
        <v>6</v>
      </c>
      <c r="Q310" s="22">
        <f t="shared" si="18"/>
        <v>30</v>
      </c>
      <c r="R310" s="16">
        <v>24</v>
      </c>
      <c r="S310">
        <v>3.3711407475758302</v>
      </c>
      <c r="T310">
        <v>-76.539688753953996</v>
      </c>
      <c r="U310" s="22">
        <v>13064</v>
      </c>
      <c r="V310" s="22">
        <v>12788</v>
      </c>
      <c r="W310" s="25">
        <v>13685</v>
      </c>
      <c r="X310" s="24">
        <v>13466</v>
      </c>
      <c r="Y310" s="24">
        <v>178776</v>
      </c>
      <c r="Z310" s="24">
        <v>172209</v>
      </c>
      <c r="AA310" s="24">
        <v>-5381</v>
      </c>
      <c r="AB310" s="24">
        <v>4665</v>
      </c>
      <c r="AC310" s="24">
        <v>69197</v>
      </c>
      <c r="AD310" s="24">
        <v>65386</v>
      </c>
      <c r="AE310" s="24">
        <v>11648</v>
      </c>
      <c r="AF310" s="24">
        <v>11787</v>
      </c>
      <c r="AG310" s="17">
        <v>0</v>
      </c>
      <c r="AH310" s="16" t="s">
        <v>58</v>
      </c>
      <c r="AI310" s="16" t="s">
        <v>49</v>
      </c>
      <c r="AJ310" s="16" t="s">
        <v>124</v>
      </c>
      <c r="AK310" s="16" t="s">
        <v>51</v>
      </c>
      <c r="AL310" s="25">
        <v>204160</v>
      </c>
      <c r="AM310" s="43">
        <f t="shared" si="19"/>
        <v>107.90180639184807</v>
      </c>
      <c r="AN310" s="16" t="s">
        <v>1073</v>
      </c>
      <c r="AO310" s="16" t="s">
        <v>60</v>
      </c>
    </row>
    <row r="311" spans="1:41" ht="14.5" x14ac:dyDescent="0.35">
      <c r="A311" s="27" t="s">
        <v>1074</v>
      </c>
      <c r="B311" s="16" t="s">
        <v>42</v>
      </c>
      <c r="C311" s="16" t="s">
        <v>93</v>
      </c>
      <c r="D311" s="16" t="s">
        <v>744</v>
      </c>
      <c r="E311" s="16" t="s">
        <v>745</v>
      </c>
      <c r="F311" s="16">
        <v>3</v>
      </c>
      <c r="G311" s="30" t="s">
        <v>1075</v>
      </c>
      <c r="H311" s="16" t="s">
        <v>1076</v>
      </c>
      <c r="I311" s="16" t="s">
        <v>102</v>
      </c>
      <c r="J311" s="16">
        <v>96.49</v>
      </c>
      <c r="K311" s="16">
        <v>610</v>
      </c>
      <c r="L311" s="16">
        <v>2535</v>
      </c>
      <c r="M311" s="8">
        <v>94</v>
      </c>
      <c r="N311" s="21">
        <v>45593</v>
      </c>
      <c r="O311" s="7">
        <f t="shared" si="16"/>
        <v>28</v>
      </c>
      <c r="P311" s="22">
        <f t="shared" si="17"/>
        <v>4</v>
      </c>
      <c r="Q311" s="22">
        <f t="shared" si="18"/>
        <v>31</v>
      </c>
      <c r="R311" s="16">
        <v>23</v>
      </c>
      <c r="S311">
        <v>5.0153473583156503</v>
      </c>
      <c r="T311">
        <v>-74.002337899340304</v>
      </c>
      <c r="U311" s="22">
        <v>13794</v>
      </c>
      <c r="V311" s="22">
        <v>13364.833329999999</v>
      </c>
      <c r="W311" s="25">
        <v>12511</v>
      </c>
      <c r="X311" s="24">
        <v>12916</v>
      </c>
      <c r="Y311" s="24">
        <v>172575</v>
      </c>
      <c r="Z311" s="24">
        <v>172622</v>
      </c>
      <c r="AA311" s="24">
        <v>19549</v>
      </c>
      <c r="AB311" s="24">
        <v>21283</v>
      </c>
      <c r="AC311" s="24">
        <v>72046</v>
      </c>
      <c r="AD311" s="24">
        <v>71103</v>
      </c>
      <c r="AE311" s="24">
        <v>7574</v>
      </c>
      <c r="AF311" s="24">
        <v>7657</v>
      </c>
      <c r="AG311" s="17">
        <v>0</v>
      </c>
      <c r="AH311" s="16" t="s">
        <v>82</v>
      </c>
      <c r="AI311" s="16" t="s">
        <v>49</v>
      </c>
      <c r="AJ311" s="16" t="s">
        <v>50</v>
      </c>
      <c r="AK311" s="16" t="s">
        <v>51</v>
      </c>
      <c r="AL311" s="25">
        <v>232000</v>
      </c>
      <c r="AM311" s="43">
        <f t="shared" si="19"/>
        <v>78.495180847756245</v>
      </c>
      <c r="AN311" s="16" t="s">
        <v>1077</v>
      </c>
      <c r="AO311" s="16" t="s">
        <v>60</v>
      </c>
    </row>
    <row r="312" spans="1:41" ht="14.5" x14ac:dyDescent="0.35">
      <c r="A312" s="27" t="s">
        <v>1078</v>
      </c>
      <c r="B312" s="16" t="s">
        <v>42</v>
      </c>
      <c r="C312" s="16" t="s">
        <v>43</v>
      </c>
      <c r="D312" s="16" t="s">
        <v>44</v>
      </c>
      <c r="E312" s="16" t="s">
        <v>865</v>
      </c>
      <c r="F312" s="16">
        <v>4</v>
      </c>
      <c r="G312" s="30" t="s">
        <v>1079</v>
      </c>
      <c r="H312" s="16">
        <v>0</v>
      </c>
      <c r="I312" s="16" t="s">
        <v>47</v>
      </c>
      <c r="J312" s="16">
        <v>166.68</v>
      </c>
      <c r="K312" s="16">
        <v>1884</v>
      </c>
      <c r="L312" s="16">
        <v>600</v>
      </c>
      <c r="M312" s="8">
        <v>140</v>
      </c>
      <c r="N312" s="21">
        <v>45286</v>
      </c>
      <c r="O312" s="7">
        <f t="shared" si="16"/>
        <v>26</v>
      </c>
      <c r="P312" s="22">
        <f t="shared" si="17"/>
        <v>6</v>
      </c>
      <c r="Q312" s="22">
        <f t="shared" si="18"/>
        <v>31</v>
      </c>
      <c r="R312" s="16">
        <v>33</v>
      </c>
      <c r="S312">
        <v>4.7519460756156704</v>
      </c>
      <c r="T312">
        <v>-74.093131392210296</v>
      </c>
      <c r="U312" s="22">
        <v>20250</v>
      </c>
      <c r="V312" s="22">
        <v>20197.666669999999</v>
      </c>
      <c r="W312" s="25">
        <v>13339</v>
      </c>
      <c r="X312" s="24">
        <v>13568</v>
      </c>
      <c r="Y312" s="24">
        <v>270113</v>
      </c>
      <c r="Z312" s="24">
        <v>274045</v>
      </c>
      <c r="AA312" s="24">
        <v>31844</v>
      </c>
      <c r="AB312" s="24">
        <v>24679</v>
      </c>
      <c r="AC312" s="24">
        <v>91486</v>
      </c>
      <c r="AD312" s="24">
        <v>89661</v>
      </c>
      <c r="AE312" s="24">
        <v>12189</v>
      </c>
      <c r="AF312" s="24">
        <v>12303</v>
      </c>
      <c r="AG312" s="17">
        <v>0</v>
      </c>
      <c r="AH312" s="16" t="s">
        <v>48</v>
      </c>
      <c r="AI312" s="16" t="s">
        <v>49</v>
      </c>
      <c r="AJ312" s="16" t="s">
        <v>50</v>
      </c>
      <c r="AK312" s="16" t="s">
        <v>51</v>
      </c>
      <c r="AL312" s="25">
        <v>232000</v>
      </c>
      <c r="AM312" s="43">
        <f t="shared" si="19"/>
        <v>73.128149748020149</v>
      </c>
      <c r="AN312" s="16" t="s">
        <v>507</v>
      </c>
      <c r="AO312" s="16" t="s">
        <v>60</v>
      </c>
    </row>
    <row r="313" spans="1:41" ht="14.5" x14ac:dyDescent="0.35">
      <c r="A313" s="27" t="s">
        <v>1080</v>
      </c>
      <c r="B313" s="16" t="s">
        <v>42</v>
      </c>
      <c r="C313" s="16" t="s">
        <v>43</v>
      </c>
      <c r="D313" s="16" t="s">
        <v>44</v>
      </c>
      <c r="E313" s="16" t="s">
        <v>68</v>
      </c>
      <c r="F313" s="16">
        <v>5</v>
      </c>
      <c r="G313" s="30" t="s">
        <v>1081</v>
      </c>
      <c r="H313" s="16" t="s">
        <v>1082</v>
      </c>
      <c r="I313" s="16" t="s">
        <v>102</v>
      </c>
      <c r="J313" s="16">
        <v>120.15</v>
      </c>
      <c r="K313" s="16">
        <v>112</v>
      </c>
      <c r="L313" s="16">
        <v>3331</v>
      </c>
      <c r="M313" s="8">
        <v>170</v>
      </c>
      <c r="N313" s="21">
        <v>46260</v>
      </c>
      <c r="O313" s="7">
        <f t="shared" si="16"/>
        <v>26</v>
      </c>
      <c r="P313" s="22">
        <f t="shared" si="17"/>
        <v>6</v>
      </c>
      <c r="Q313" s="22">
        <f t="shared" si="18"/>
        <v>31</v>
      </c>
      <c r="R313" s="16">
        <v>0</v>
      </c>
      <c r="S313" s="29">
        <v>4.6675589999999998</v>
      </c>
      <c r="T313" s="29">
        <v>-74.056286999999998</v>
      </c>
      <c r="U313" s="22">
        <v>2499</v>
      </c>
      <c r="V313" s="22">
        <v>2499</v>
      </c>
      <c r="W313" s="25">
        <v>10242</v>
      </c>
      <c r="X313" s="24">
        <v>10242</v>
      </c>
      <c r="Y313" s="24">
        <v>25596</v>
      </c>
      <c r="Z313" s="24">
        <v>25596</v>
      </c>
      <c r="AA313" s="24">
        <v>-6436</v>
      </c>
      <c r="AB313" s="24">
        <v>-6436</v>
      </c>
      <c r="AC313" s="24">
        <v>14255</v>
      </c>
      <c r="AD313" s="24">
        <v>14255</v>
      </c>
      <c r="AE313" s="24">
        <v>0</v>
      </c>
      <c r="AF313" s="24">
        <v>0</v>
      </c>
      <c r="AG313" s="17">
        <v>0</v>
      </c>
      <c r="AH313" s="16" t="s">
        <v>64</v>
      </c>
      <c r="AI313" s="16" t="s">
        <v>49</v>
      </c>
      <c r="AJ313" s="16" t="s">
        <v>124</v>
      </c>
      <c r="AK313" s="16" t="s">
        <v>65</v>
      </c>
      <c r="AL313" s="25">
        <v>204160</v>
      </c>
      <c r="AM313" s="43">
        <f t="shared" si="19"/>
        <v>0</v>
      </c>
      <c r="AN313" s="16" t="s">
        <v>1083</v>
      </c>
      <c r="AO313" s="16" t="s">
        <v>53</v>
      </c>
    </row>
    <row r="314" spans="1:41" ht="14.5" x14ac:dyDescent="0.35">
      <c r="A314" s="27" t="s">
        <v>1084</v>
      </c>
      <c r="B314" s="16" t="s">
        <v>55</v>
      </c>
      <c r="C314" s="16" t="s">
        <v>43</v>
      </c>
      <c r="D314" s="16" t="s">
        <v>44</v>
      </c>
      <c r="E314" s="16" t="s">
        <v>1050</v>
      </c>
      <c r="F314" s="16">
        <v>3</v>
      </c>
      <c r="G314" s="30" t="s">
        <v>1085</v>
      </c>
      <c r="H314" s="16">
        <v>0</v>
      </c>
      <c r="I314" s="16" t="s">
        <v>102</v>
      </c>
      <c r="J314" s="16">
        <v>145.66999999999999</v>
      </c>
      <c r="K314" s="16">
        <v>40</v>
      </c>
      <c r="L314" s="16">
        <v>5919</v>
      </c>
      <c r="M314" s="8">
        <v>69</v>
      </c>
      <c r="N314" s="21">
        <v>46139</v>
      </c>
      <c r="O314" s="7">
        <f t="shared" si="16"/>
        <v>27</v>
      </c>
      <c r="P314" s="22">
        <f t="shared" si="17"/>
        <v>4</v>
      </c>
      <c r="Q314" s="22">
        <f t="shared" si="18"/>
        <v>30</v>
      </c>
      <c r="R314" s="16">
        <v>5</v>
      </c>
      <c r="S314">
        <v>4.64394739191534</v>
      </c>
      <c r="T314">
        <v>-74.111977313519105</v>
      </c>
      <c r="U314" s="22">
        <v>13899</v>
      </c>
      <c r="V314" s="22">
        <v>10534.4</v>
      </c>
      <c r="W314" s="25">
        <v>10754</v>
      </c>
      <c r="X314" s="24">
        <v>11035</v>
      </c>
      <c r="Y314" s="24">
        <v>149471</v>
      </c>
      <c r="Z314" s="24">
        <v>116249</v>
      </c>
      <c r="AA314" s="24">
        <v>9498</v>
      </c>
      <c r="AB314" s="42">
        <v>4655</v>
      </c>
      <c r="AC314" s="24">
        <v>62303</v>
      </c>
      <c r="AD314" s="24">
        <v>49268</v>
      </c>
      <c r="AE314" s="24">
        <v>8390</v>
      </c>
      <c r="AF314" s="24">
        <v>6815</v>
      </c>
      <c r="AG314" s="17">
        <v>1.292</v>
      </c>
      <c r="AH314" s="16" t="s">
        <v>136</v>
      </c>
      <c r="AI314" s="16" t="s">
        <v>49</v>
      </c>
      <c r="AJ314" s="16" t="s">
        <v>124</v>
      </c>
      <c r="AK314" s="16" t="s">
        <v>65</v>
      </c>
      <c r="AL314" s="25">
        <v>241405</v>
      </c>
      <c r="AM314" s="43">
        <f t="shared" si="19"/>
        <v>57.595936019770718</v>
      </c>
      <c r="AN314" s="16" t="s">
        <v>1086</v>
      </c>
      <c r="AO314" s="16" t="s">
        <v>98</v>
      </c>
    </row>
    <row r="315" spans="1:41" ht="14.5" x14ac:dyDescent="0.35">
      <c r="A315" s="27" t="s">
        <v>1087</v>
      </c>
      <c r="B315" s="16" t="s">
        <v>55</v>
      </c>
      <c r="C315" s="16" t="s">
        <v>43</v>
      </c>
      <c r="D315" s="16" t="s">
        <v>44</v>
      </c>
      <c r="E315" s="16" t="s">
        <v>473</v>
      </c>
      <c r="F315" s="16">
        <v>3</v>
      </c>
      <c r="G315" s="30" t="s">
        <v>1088</v>
      </c>
      <c r="H315" s="16">
        <v>0</v>
      </c>
      <c r="I315" s="16" t="s">
        <v>47</v>
      </c>
      <c r="J315" s="16">
        <v>115.4</v>
      </c>
      <c r="K315" s="16">
        <v>845</v>
      </c>
      <c r="L315" s="16">
        <v>600</v>
      </c>
      <c r="M315" s="8">
        <v>61</v>
      </c>
      <c r="N315" s="21">
        <v>44860</v>
      </c>
      <c r="O315" s="7">
        <f t="shared" si="16"/>
        <v>26</v>
      </c>
      <c r="P315" s="22">
        <f t="shared" si="17"/>
        <v>6</v>
      </c>
      <c r="Q315" s="22">
        <f t="shared" si="18"/>
        <v>31</v>
      </c>
      <c r="R315" s="16">
        <v>47</v>
      </c>
      <c r="S315">
        <v>4.6455030727818603</v>
      </c>
      <c r="T315">
        <v>-74.065204962905895</v>
      </c>
      <c r="U315" s="22">
        <v>16600</v>
      </c>
      <c r="V315" s="22">
        <v>16620.5</v>
      </c>
      <c r="W315" s="25">
        <v>12032</v>
      </c>
      <c r="X315" s="24">
        <v>12128</v>
      </c>
      <c r="Y315" s="24">
        <v>199728</v>
      </c>
      <c r="Z315" s="24">
        <v>201568</v>
      </c>
      <c r="AA315" s="24">
        <v>19890</v>
      </c>
      <c r="AB315" s="24">
        <v>20449</v>
      </c>
      <c r="AC315" s="24">
        <v>72117</v>
      </c>
      <c r="AD315" s="24">
        <v>73003</v>
      </c>
      <c r="AE315" s="24">
        <v>10140</v>
      </c>
      <c r="AF315" s="24">
        <v>10335</v>
      </c>
      <c r="AG315" s="17">
        <v>0</v>
      </c>
      <c r="AH315" s="16" t="s">
        <v>136</v>
      </c>
      <c r="AI315" s="16" t="s">
        <v>49</v>
      </c>
      <c r="AJ315" s="16" t="s">
        <v>50</v>
      </c>
      <c r="AK315" s="16" t="s">
        <v>51</v>
      </c>
      <c r="AL315" s="25">
        <v>232000</v>
      </c>
      <c r="AM315" s="43">
        <f t="shared" si="19"/>
        <v>87.868284228769497</v>
      </c>
      <c r="AN315" s="16" t="s">
        <v>477</v>
      </c>
      <c r="AO315" s="16" t="s">
        <v>53</v>
      </c>
    </row>
    <row r="316" spans="1:41" ht="14.5" x14ac:dyDescent="0.35">
      <c r="A316" s="27" t="s">
        <v>1089</v>
      </c>
      <c r="B316" s="16" t="s">
        <v>105</v>
      </c>
      <c r="C316" s="16" t="s">
        <v>106</v>
      </c>
      <c r="D316" s="16" t="s">
        <v>298</v>
      </c>
      <c r="E316" s="16" t="s">
        <v>619</v>
      </c>
      <c r="F316" s="16">
        <v>6</v>
      </c>
      <c r="G316" s="30" t="s">
        <v>1090</v>
      </c>
      <c r="H316" s="16">
        <v>0</v>
      </c>
      <c r="I316" s="16" t="s">
        <v>47</v>
      </c>
      <c r="J316" s="16">
        <v>159.30000000000001</v>
      </c>
      <c r="K316" s="16">
        <v>667</v>
      </c>
      <c r="L316" s="16">
        <v>1200</v>
      </c>
      <c r="M316" s="8">
        <v>52</v>
      </c>
      <c r="N316" s="21">
        <v>45169</v>
      </c>
      <c r="O316" s="7">
        <f t="shared" si="16"/>
        <v>31</v>
      </c>
      <c r="P316" s="22">
        <f t="shared" si="17"/>
        <v>1</v>
      </c>
      <c r="Q316" s="22">
        <f t="shared" si="18"/>
        <v>31</v>
      </c>
      <c r="R316" s="16">
        <v>37</v>
      </c>
      <c r="S316">
        <v>4.8075789520804397</v>
      </c>
      <c r="T316">
        <v>-75.690667274667106</v>
      </c>
      <c r="U316" s="22">
        <v>4680</v>
      </c>
      <c r="V316" s="22">
        <v>14710.333329999999</v>
      </c>
      <c r="W316" s="25">
        <v>13361</v>
      </c>
      <c r="X316" s="24">
        <v>12252</v>
      </c>
      <c r="Y316" s="24">
        <v>62531</v>
      </c>
      <c r="Z316" s="24">
        <v>180229</v>
      </c>
      <c r="AA316" s="24">
        <v>-172751</v>
      </c>
      <c r="AB316" s="24">
        <v>-12840</v>
      </c>
      <c r="AC316" s="24">
        <v>-103911</v>
      </c>
      <c r="AD316" s="24">
        <v>47076</v>
      </c>
      <c r="AE316" s="24">
        <v>9062</v>
      </c>
      <c r="AF316" s="24">
        <v>8797</v>
      </c>
      <c r="AG316" s="17">
        <v>0</v>
      </c>
      <c r="AH316" s="16" t="s">
        <v>130</v>
      </c>
      <c r="AI316" s="16" t="s">
        <v>49</v>
      </c>
      <c r="AJ316" s="16" t="s">
        <v>124</v>
      </c>
      <c r="AK316" s="16" t="s">
        <v>51</v>
      </c>
      <c r="AL316" s="25">
        <v>204160</v>
      </c>
      <c r="AM316" s="43">
        <f t="shared" si="19"/>
        <v>56.886377903327052</v>
      </c>
      <c r="AN316" s="16">
        <v>0</v>
      </c>
      <c r="AO316" s="16" t="s">
        <v>53</v>
      </c>
    </row>
    <row r="317" spans="1:41" ht="14.5" x14ac:dyDescent="0.35">
      <c r="A317" s="27" t="s">
        <v>1091</v>
      </c>
      <c r="B317" s="16" t="s">
        <v>55</v>
      </c>
      <c r="C317" s="16" t="s">
        <v>43</v>
      </c>
      <c r="D317" s="16" t="s">
        <v>44</v>
      </c>
      <c r="E317" s="16" t="s">
        <v>874</v>
      </c>
      <c r="F317" s="16">
        <v>3</v>
      </c>
      <c r="G317" s="30" t="s">
        <v>1092</v>
      </c>
      <c r="H317" s="16">
        <v>0</v>
      </c>
      <c r="I317" s="16" t="s">
        <v>47</v>
      </c>
      <c r="J317" s="16">
        <v>133.43</v>
      </c>
      <c r="K317" s="16">
        <v>1770</v>
      </c>
      <c r="L317" s="16">
        <v>305</v>
      </c>
      <c r="M317" s="8">
        <v>30</v>
      </c>
      <c r="N317" s="21">
        <v>45456</v>
      </c>
      <c r="O317" s="7">
        <f t="shared" si="16"/>
        <v>13</v>
      </c>
      <c r="P317" s="22">
        <f t="shared" si="17"/>
        <v>18</v>
      </c>
      <c r="Q317" s="22">
        <f t="shared" si="18"/>
        <v>30</v>
      </c>
      <c r="R317" s="16">
        <v>27</v>
      </c>
      <c r="S317">
        <v>4.5974386618659002</v>
      </c>
      <c r="T317">
        <v>-74.102780760403704</v>
      </c>
      <c r="U317" s="22">
        <v>13904</v>
      </c>
      <c r="V317" s="22">
        <v>14270.5</v>
      </c>
      <c r="W317" s="25">
        <v>13111</v>
      </c>
      <c r="X317" s="24">
        <v>13494</v>
      </c>
      <c r="Y317" s="24">
        <v>182296</v>
      </c>
      <c r="Z317" s="24">
        <v>192562</v>
      </c>
      <c r="AA317" s="24">
        <v>6196</v>
      </c>
      <c r="AB317" s="24">
        <v>9017</v>
      </c>
      <c r="AC317" s="24">
        <v>63081</v>
      </c>
      <c r="AD317" s="24">
        <v>64900</v>
      </c>
      <c r="AE317" s="24">
        <v>7740</v>
      </c>
      <c r="AF317" s="24">
        <v>7679</v>
      </c>
      <c r="AG317" s="17">
        <v>0</v>
      </c>
      <c r="AH317" s="16" t="s">
        <v>58</v>
      </c>
      <c r="AI317" s="16" t="s">
        <v>49</v>
      </c>
      <c r="AJ317" s="16" t="s">
        <v>50</v>
      </c>
      <c r="AK317" s="16" t="s">
        <v>51</v>
      </c>
      <c r="AL317" s="25">
        <v>232000</v>
      </c>
      <c r="AM317" s="43">
        <f t="shared" si="19"/>
        <v>58.007944240425687</v>
      </c>
      <c r="AN317" s="16">
        <v>0</v>
      </c>
      <c r="AO317" s="16" t="s">
        <v>98</v>
      </c>
    </row>
    <row r="318" spans="1:41" ht="14.5" x14ac:dyDescent="0.35">
      <c r="A318" s="27" t="s">
        <v>1093</v>
      </c>
      <c r="B318" s="16" t="s">
        <v>55</v>
      </c>
      <c r="C318" s="16" t="s">
        <v>93</v>
      </c>
      <c r="D318" s="16" t="s">
        <v>553</v>
      </c>
      <c r="E318" s="16" t="s">
        <v>554</v>
      </c>
      <c r="F318" s="16">
        <v>3</v>
      </c>
      <c r="G318" s="30" t="s">
        <v>1094</v>
      </c>
      <c r="H318" s="16">
        <v>0</v>
      </c>
      <c r="I318" s="16" t="s">
        <v>718</v>
      </c>
      <c r="J318" s="16">
        <v>127</v>
      </c>
      <c r="K318" s="16">
        <v>970</v>
      </c>
      <c r="L318" s="16">
        <v>215</v>
      </c>
      <c r="M318" s="8">
        <v>73</v>
      </c>
      <c r="N318" s="21">
        <v>44956</v>
      </c>
      <c r="O318" s="7">
        <f t="shared" si="16"/>
        <v>30</v>
      </c>
      <c r="P318" s="22">
        <f t="shared" si="17"/>
        <v>2</v>
      </c>
      <c r="Q318" s="22">
        <f t="shared" si="18"/>
        <v>31</v>
      </c>
      <c r="R318" s="16">
        <v>44</v>
      </c>
      <c r="S318">
        <v>4.3317662599583402</v>
      </c>
      <c r="T318">
        <v>-74.375862826616398</v>
      </c>
      <c r="U318" s="22">
        <v>16793</v>
      </c>
      <c r="V318" s="22">
        <v>15874.333329999999</v>
      </c>
      <c r="W318" s="25">
        <v>17203</v>
      </c>
      <c r="X318" s="24">
        <v>17680</v>
      </c>
      <c r="Y318" s="24">
        <v>288897</v>
      </c>
      <c r="Z318" s="24">
        <v>280661</v>
      </c>
      <c r="AA318" s="24">
        <v>43035</v>
      </c>
      <c r="AB318" s="24">
        <v>35217</v>
      </c>
      <c r="AC318" s="24">
        <v>100694</v>
      </c>
      <c r="AD318" s="24">
        <v>95807</v>
      </c>
      <c r="AE318" s="24">
        <v>7153</v>
      </c>
      <c r="AF318" s="24">
        <v>7232</v>
      </c>
      <c r="AG318" s="17">
        <v>0</v>
      </c>
      <c r="AH318" s="16" t="s">
        <v>136</v>
      </c>
      <c r="AI318" s="16" t="s">
        <v>49</v>
      </c>
      <c r="AJ318" s="16" t="s">
        <v>76</v>
      </c>
      <c r="AK318" s="16" t="s">
        <v>51</v>
      </c>
      <c r="AL318" s="25">
        <v>241405</v>
      </c>
      <c r="AM318" s="43">
        <f t="shared" si="19"/>
        <v>56.322834645669289</v>
      </c>
      <c r="AN318" s="16" t="s">
        <v>1095</v>
      </c>
      <c r="AO318" s="16" t="s">
        <v>98</v>
      </c>
    </row>
    <row r="319" spans="1:41" ht="14.5" x14ac:dyDescent="0.35">
      <c r="A319" s="27" t="s">
        <v>1096</v>
      </c>
      <c r="B319" s="16" t="s">
        <v>42</v>
      </c>
      <c r="C319" s="16" t="s">
        <v>43</v>
      </c>
      <c r="D319" s="16" t="s">
        <v>44</v>
      </c>
      <c r="E319" s="16" t="s">
        <v>458</v>
      </c>
      <c r="F319" s="16">
        <v>3</v>
      </c>
      <c r="G319" s="30" t="s">
        <v>1097</v>
      </c>
      <c r="H319" s="16">
        <v>0</v>
      </c>
      <c r="I319" s="16" t="s">
        <v>47</v>
      </c>
      <c r="J319" s="16">
        <v>112.28</v>
      </c>
      <c r="K319" s="16">
        <v>1892</v>
      </c>
      <c r="L319" s="16">
        <v>1007</v>
      </c>
      <c r="M319" s="8">
        <v>57</v>
      </c>
      <c r="N319" s="21">
        <v>45252</v>
      </c>
      <c r="O319" s="7">
        <f t="shared" si="16"/>
        <v>22</v>
      </c>
      <c r="P319" s="22">
        <f t="shared" si="17"/>
        <v>9</v>
      </c>
      <c r="Q319" s="22">
        <f t="shared" si="18"/>
        <v>30</v>
      </c>
      <c r="R319" s="16">
        <v>34</v>
      </c>
      <c r="S319">
        <v>4.7409312509949801</v>
      </c>
      <c r="T319">
        <v>-74.041062872097299</v>
      </c>
      <c r="U319" s="22">
        <v>16239</v>
      </c>
      <c r="V319" s="22">
        <v>16088</v>
      </c>
      <c r="W319" s="25">
        <v>12059</v>
      </c>
      <c r="X319" s="24">
        <v>11654</v>
      </c>
      <c r="Y319" s="24">
        <v>195825</v>
      </c>
      <c r="Z319" s="24">
        <v>187490</v>
      </c>
      <c r="AA319" s="42">
        <v>12390</v>
      </c>
      <c r="AB319" s="24">
        <v>11148</v>
      </c>
      <c r="AC319" s="24">
        <v>66801</v>
      </c>
      <c r="AD319" s="24">
        <v>62055</v>
      </c>
      <c r="AE319" s="24">
        <v>9196</v>
      </c>
      <c r="AF319" s="24">
        <v>9292</v>
      </c>
      <c r="AG319" s="17">
        <v>0</v>
      </c>
      <c r="AH319" s="16" t="s">
        <v>136</v>
      </c>
      <c r="AI319" s="16" t="s">
        <v>49</v>
      </c>
      <c r="AJ319" s="16" t="s">
        <v>50</v>
      </c>
      <c r="AK319" s="16" t="s">
        <v>51</v>
      </c>
      <c r="AL319" s="25">
        <v>232000</v>
      </c>
      <c r="AM319" s="43">
        <f t="shared" si="19"/>
        <v>81.902386889918063</v>
      </c>
      <c r="AN319" s="16" t="s">
        <v>488</v>
      </c>
      <c r="AO319" s="16" t="s">
        <v>60</v>
      </c>
    </row>
    <row r="320" spans="1:41" ht="14.5" x14ac:dyDescent="0.35">
      <c r="A320" s="27" t="s">
        <v>1098</v>
      </c>
      <c r="B320" s="16" t="s">
        <v>55</v>
      </c>
      <c r="C320" s="16" t="s">
        <v>43</v>
      </c>
      <c r="D320" s="16" t="s">
        <v>44</v>
      </c>
      <c r="E320" s="16" t="s">
        <v>473</v>
      </c>
      <c r="F320" s="16">
        <v>4</v>
      </c>
      <c r="G320" s="30" t="s">
        <v>1099</v>
      </c>
      <c r="H320" s="16">
        <v>0</v>
      </c>
      <c r="I320" s="16" t="s">
        <v>47</v>
      </c>
      <c r="J320" s="16">
        <v>103.15</v>
      </c>
      <c r="K320" s="16">
        <v>62</v>
      </c>
      <c r="L320" s="16">
        <v>8249</v>
      </c>
      <c r="M320" s="8">
        <v>0</v>
      </c>
      <c r="N320" s="21">
        <v>40784</v>
      </c>
      <c r="O320" s="7">
        <f t="shared" si="16"/>
        <v>29</v>
      </c>
      <c r="P320" s="22">
        <f t="shared" si="17"/>
        <v>3</v>
      </c>
      <c r="Q320" s="22">
        <f t="shared" si="18"/>
        <v>31</v>
      </c>
      <c r="R320" s="16">
        <v>116</v>
      </c>
      <c r="S320">
        <v>4.6287407656383701</v>
      </c>
      <c r="T320">
        <v>-74.065195311322796</v>
      </c>
      <c r="U320" s="22">
        <v>29511</v>
      </c>
      <c r="V320" s="22">
        <v>25536.5</v>
      </c>
      <c r="W320" s="25">
        <v>10227</v>
      </c>
      <c r="X320" s="24">
        <v>10446</v>
      </c>
      <c r="Y320" s="24">
        <v>301810</v>
      </c>
      <c r="Z320" s="24">
        <v>266744</v>
      </c>
      <c r="AA320" s="42">
        <v>33442</v>
      </c>
      <c r="AB320" s="24">
        <v>21193</v>
      </c>
      <c r="AC320" s="24">
        <v>117035</v>
      </c>
      <c r="AD320" s="24">
        <v>99696</v>
      </c>
      <c r="AE320" s="24">
        <v>20732</v>
      </c>
      <c r="AF320" s="24">
        <v>20925</v>
      </c>
      <c r="AG320" s="17">
        <v>0</v>
      </c>
      <c r="AH320" s="16" t="s">
        <v>82</v>
      </c>
      <c r="AI320" s="16" t="s">
        <v>49</v>
      </c>
      <c r="AJ320" s="16" t="s">
        <v>50</v>
      </c>
      <c r="AK320" s="16" t="s">
        <v>51</v>
      </c>
      <c r="AL320" s="25">
        <v>232000</v>
      </c>
      <c r="AM320" s="43">
        <f t="shared" si="19"/>
        <v>200.98885118759088</v>
      </c>
      <c r="AN320" s="16" t="s">
        <v>1058</v>
      </c>
      <c r="AO320" s="16" t="s">
        <v>60</v>
      </c>
    </row>
    <row r="321" spans="1:41" ht="14.5" x14ac:dyDescent="0.35">
      <c r="A321" s="27" t="s">
        <v>1100</v>
      </c>
      <c r="B321" s="16" t="s">
        <v>55</v>
      </c>
      <c r="C321" s="16" t="s">
        <v>43</v>
      </c>
      <c r="D321" s="16" t="s">
        <v>44</v>
      </c>
      <c r="E321" s="16" t="s">
        <v>524</v>
      </c>
      <c r="F321" s="16">
        <v>3</v>
      </c>
      <c r="G321" s="30" t="s">
        <v>1101</v>
      </c>
      <c r="H321" s="16">
        <v>0</v>
      </c>
      <c r="I321" s="16" t="s">
        <v>47</v>
      </c>
      <c r="J321" s="16">
        <v>97.78</v>
      </c>
      <c r="K321" s="16">
        <v>1834</v>
      </c>
      <c r="L321" s="16">
        <v>630</v>
      </c>
      <c r="M321" s="8">
        <v>38</v>
      </c>
      <c r="N321" s="21">
        <v>45286</v>
      </c>
      <c r="O321" s="7">
        <f t="shared" si="16"/>
        <v>26</v>
      </c>
      <c r="P321" s="22">
        <f t="shared" si="17"/>
        <v>6</v>
      </c>
      <c r="Q321" s="22">
        <f t="shared" si="18"/>
        <v>31</v>
      </c>
      <c r="R321" s="16">
        <v>33</v>
      </c>
      <c r="S321">
        <v>4.6081048947648497</v>
      </c>
      <c r="T321">
        <v>-74.118451914167807</v>
      </c>
      <c r="U321" s="22">
        <v>13408</v>
      </c>
      <c r="V321" s="22">
        <v>14034.5</v>
      </c>
      <c r="W321" s="25">
        <v>13922</v>
      </c>
      <c r="X321" s="24">
        <v>14136</v>
      </c>
      <c r="Y321" s="24">
        <v>186666</v>
      </c>
      <c r="Z321" s="24">
        <v>198397</v>
      </c>
      <c r="AA321" s="24">
        <v>3128</v>
      </c>
      <c r="AB321" s="24">
        <v>5803</v>
      </c>
      <c r="AC321" s="24">
        <v>61394</v>
      </c>
      <c r="AD321" s="24">
        <v>64003</v>
      </c>
      <c r="AE321" s="24">
        <v>8047</v>
      </c>
      <c r="AF321" s="24">
        <v>8134</v>
      </c>
      <c r="AG321" s="17">
        <v>0</v>
      </c>
      <c r="AH321" s="16" t="s">
        <v>90</v>
      </c>
      <c r="AI321" s="16" t="s">
        <v>49</v>
      </c>
      <c r="AJ321" s="16" t="s">
        <v>124</v>
      </c>
      <c r="AK321" s="16" t="s">
        <v>51</v>
      </c>
      <c r="AL321" s="25">
        <v>204160</v>
      </c>
      <c r="AM321" s="43">
        <f t="shared" si="19"/>
        <v>82.296993250153406</v>
      </c>
      <c r="AN321" s="16" t="s">
        <v>52</v>
      </c>
      <c r="AO321" s="16" t="s">
        <v>53</v>
      </c>
    </row>
    <row r="322" spans="1:41" ht="14.5" x14ac:dyDescent="0.35">
      <c r="A322" s="27" t="s">
        <v>1102</v>
      </c>
      <c r="B322" s="16" t="s">
        <v>55</v>
      </c>
      <c r="C322" s="16" t="s">
        <v>43</v>
      </c>
      <c r="D322" s="16" t="s">
        <v>44</v>
      </c>
      <c r="E322" s="16" t="s">
        <v>1103</v>
      </c>
      <c r="F322" s="16">
        <v>3</v>
      </c>
      <c r="G322" s="30" t="s">
        <v>1104</v>
      </c>
      <c r="H322" s="16">
        <v>0</v>
      </c>
      <c r="I322" s="16" t="s">
        <v>47</v>
      </c>
      <c r="J322" s="16">
        <v>244.76</v>
      </c>
      <c r="K322" s="16">
        <v>598</v>
      </c>
      <c r="L322" s="16">
        <v>1216</v>
      </c>
      <c r="M322" s="8">
        <v>152</v>
      </c>
      <c r="N322" s="21">
        <v>41117</v>
      </c>
      <c r="O322" s="7">
        <f t="shared" ref="O322:O385" si="20">DAY(N322)</f>
        <v>27</v>
      </c>
      <c r="P322" s="22">
        <f t="shared" ref="P322:P385" si="21">Q322-O322+1</f>
        <v>5</v>
      </c>
      <c r="Q322" s="22">
        <f t="shared" ref="Q322:Q385" si="22">DAY(EOMONTH(N322,0))</f>
        <v>31</v>
      </c>
      <c r="R322" s="16">
        <v>115</v>
      </c>
      <c r="S322">
        <v>4.6738352661501397</v>
      </c>
      <c r="T322">
        <v>-74.083532789894505</v>
      </c>
      <c r="U322" s="22">
        <v>24440</v>
      </c>
      <c r="V322" s="22">
        <v>24408</v>
      </c>
      <c r="W322" s="25">
        <v>13833</v>
      </c>
      <c r="X322" s="24">
        <v>13765</v>
      </c>
      <c r="Y322" s="24">
        <v>338066</v>
      </c>
      <c r="Z322" s="24">
        <v>335966</v>
      </c>
      <c r="AA322" s="24">
        <v>52412</v>
      </c>
      <c r="AB322" s="24">
        <v>43034</v>
      </c>
      <c r="AC322" s="24">
        <v>122897</v>
      </c>
      <c r="AD322" s="24">
        <v>119596</v>
      </c>
      <c r="AE322" s="24">
        <v>8712</v>
      </c>
      <c r="AF322" s="24">
        <v>8805</v>
      </c>
      <c r="AG322" s="17">
        <v>0</v>
      </c>
      <c r="AH322" s="16" t="s">
        <v>48</v>
      </c>
      <c r="AI322" s="16" t="s">
        <v>49</v>
      </c>
      <c r="AJ322" s="16" t="s">
        <v>50</v>
      </c>
      <c r="AK322" s="16" t="s">
        <v>51</v>
      </c>
      <c r="AL322" s="25">
        <v>232000</v>
      </c>
      <c r="AM322" s="43">
        <f t="shared" ref="AM322:AM385" si="23">AE322/J322</f>
        <v>35.59405131557444</v>
      </c>
      <c r="AN322" s="16" t="s">
        <v>274</v>
      </c>
      <c r="AO322" s="16" t="s">
        <v>60</v>
      </c>
    </row>
    <row r="323" spans="1:41" ht="14.5" x14ac:dyDescent="0.35">
      <c r="A323" s="27" t="s">
        <v>1105</v>
      </c>
      <c r="B323" s="16" t="s">
        <v>119</v>
      </c>
      <c r="C323" s="16" t="s">
        <v>120</v>
      </c>
      <c r="D323" s="16" t="s">
        <v>147</v>
      </c>
      <c r="E323" s="16" t="s">
        <v>148</v>
      </c>
      <c r="F323" s="16">
        <v>3</v>
      </c>
      <c r="G323" s="30" t="s">
        <v>1106</v>
      </c>
      <c r="H323" s="16">
        <v>0</v>
      </c>
      <c r="I323" s="16" t="s">
        <v>47</v>
      </c>
      <c r="J323" s="16">
        <v>114</v>
      </c>
      <c r="K323" s="16">
        <v>1632</v>
      </c>
      <c r="L323" s="16">
        <v>32</v>
      </c>
      <c r="M323" s="8">
        <v>55</v>
      </c>
      <c r="N323" s="21">
        <v>44975</v>
      </c>
      <c r="O323" s="7">
        <f t="shared" si="20"/>
        <v>18</v>
      </c>
      <c r="P323" s="22">
        <f t="shared" si="21"/>
        <v>11</v>
      </c>
      <c r="Q323" s="22">
        <f t="shared" si="22"/>
        <v>28</v>
      </c>
      <c r="R323" s="16">
        <v>43</v>
      </c>
      <c r="S323">
        <v>6.9998712579359097</v>
      </c>
      <c r="T323">
        <v>-73.057401986860199</v>
      </c>
      <c r="U323" s="22">
        <v>19791</v>
      </c>
      <c r="V323" s="22">
        <v>19073.333330000001</v>
      </c>
      <c r="W323" s="25">
        <v>12088</v>
      </c>
      <c r="X323" s="24">
        <v>12703</v>
      </c>
      <c r="Y323" s="24">
        <v>239231</v>
      </c>
      <c r="Z323" s="24">
        <v>242289</v>
      </c>
      <c r="AA323" s="24">
        <v>18299</v>
      </c>
      <c r="AB323" s="24">
        <v>21853</v>
      </c>
      <c r="AC323" s="24">
        <v>84538</v>
      </c>
      <c r="AD323" s="24">
        <v>82904</v>
      </c>
      <c r="AE323" s="24">
        <v>8453</v>
      </c>
      <c r="AF323" s="24">
        <v>8543</v>
      </c>
      <c r="AG323" s="17">
        <v>0</v>
      </c>
      <c r="AH323" s="16" t="s">
        <v>136</v>
      </c>
      <c r="AI323" s="16" t="s">
        <v>49</v>
      </c>
      <c r="AJ323" s="16" t="s">
        <v>76</v>
      </c>
      <c r="AK323" s="16" t="s">
        <v>51</v>
      </c>
      <c r="AL323" s="25">
        <v>241405</v>
      </c>
      <c r="AM323" s="43">
        <f t="shared" si="23"/>
        <v>74.149122807017548</v>
      </c>
      <c r="AN323" s="16">
        <v>0</v>
      </c>
      <c r="AO323" s="16" t="s">
        <v>60</v>
      </c>
    </row>
    <row r="324" spans="1:41" ht="14.5" x14ac:dyDescent="0.35">
      <c r="A324" s="27" t="s">
        <v>1107</v>
      </c>
      <c r="B324" s="16" t="s">
        <v>55</v>
      </c>
      <c r="C324" s="16" t="s">
        <v>93</v>
      </c>
      <c r="D324" s="16" t="s">
        <v>321</v>
      </c>
      <c r="E324" s="16" t="s">
        <v>322</v>
      </c>
      <c r="F324" s="16">
        <v>3</v>
      </c>
      <c r="G324" s="30" t="s">
        <v>1108</v>
      </c>
      <c r="H324" s="16">
        <v>0</v>
      </c>
      <c r="I324" s="16" t="s">
        <v>47</v>
      </c>
      <c r="J324" s="16">
        <v>156.44</v>
      </c>
      <c r="K324" s="16">
        <v>237</v>
      </c>
      <c r="L324" s="16">
        <v>1428</v>
      </c>
      <c r="M324" s="8">
        <v>137</v>
      </c>
      <c r="N324" s="21">
        <v>45042</v>
      </c>
      <c r="O324" s="7">
        <f t="shared" si="20"/>
        <v>26</v>
      </c>
      <c r="P324" s="22">
        <f t="shared" si="21"/>
        <v>5</v>
      </c>
      <c r="Q324" s="22">
        <f t="shared" si="22"/>
        <v>30</v>
      </c>
      <c r="R324" s="16">
        <v>41</v>
      </c>
      <c r="S324">
        <v>4.2041009342780997</v>
      </c>
      <c r="T324">
        <v>-74.644583357355302</v>
      </c>
      <c r="U324" s="22">
        <v>27742</v>
      </c>
      <c r="V324" s="22">
        <v>25700.5</v>
      </c>
      <c r="W324" s="25">
        <v>16119</v>
      </c>
      <c r="X324" s="24">
        <v>16630</v>
      </c>
      <c r="Y324" s="24">
        <v>447170</v>
      </c>
      <c r="Z324" s="24">
        <v>427401</v>
      </c>
      <c r="AA324" s="24">
        <v>61808</v>
      </c>
      <c r="AB324" s="24">
        <v>53167</v>
      </c>
      <c r="AC324" s="24">
        <v>149120</v>
      </c>
      <c r="AD324" s="24">
        <v>137773</v>
      </c>
      <c r="AE324" s="24">
        <v>7854</v>
      </c>
      <c r="AF324" s="24">
        <v>8072</v>
      </c>
      <c r="AG324" s="17">
        <v>0</v>
      </c>
      <c r="AH324" s="16" t="s">
        <v>58</v>
      </c>
      <c r="AI324" s="16" t="s">
        <v>49</v>
      </c>
      <c r="AJ324" s="16" t="s">
        <v>50</v>
      </c>
      <c r="AK324" s="16" t="s">
        <v>51</v>
      </c>
      <c r="AL324" s="25">
        <v>232000</v>
      </c>
      <c r="AM324" s="43">
        <f t="shared" si="23"/>
        <v>50.20455126566096</v>
      </c>
      <c r="AN324" s="16" t="s">
        <v>1109</v>
      </c>
      <c r="AO324" s="16" t="s">
        <v>60</v>
      </c>
    </row>
    <row r="325" spans="1:41" ht="14.5" x14ac:dyDescent="0.35">
      <c r="A325" s="27" t="s">
        <v>1110</v>
      </c>
      <c r="B325" s="16" t="s">
        <v>55</v>
      </c>
      <c r="C325" s="16" t="s">
        <v>43</v>
      </c>
      <c r="D325" s="16" t="s">
        <v>44</v>
      </c>
      <c r="E325" s="16" t="s">
        <v>159</v>
      </c>
      <c r="F325" s="16">
        <v>4</v>
      </c>
      <c r="G325" s="30" t="s">
        <v>1111</v>
      </c>
      <c r="H325" s="16" t="s">
        <v>1112</v>
      </c>
      <c r="I325" s="16" t="s">
        <v>47</v>
      </c>
      <c r="J325" s="16">
        <v>99.37</v>
      </c>
      <c r="K325" s="16">
        <v>32</v>
      </c>
      <c r="L325" s="16">
        <v>5802</v>
      </c>
      <c r="M325" s="8">
        <v>320</v>
      </c>
      <c r="N325" s="21">
        <v>46226</v>
      </c>
      <c r="O325" s="7">
        <f t="shared" si="20"/>
        <v>23</v>
      </c>
      <c r="P325" s="22">
        <f t="shared" si="21"/>
        <v>9</v>
      </c>
      <c r="Q325" s="22">
        <f t="shared" si="22"/>
        <v>31</v>
      </c>
      <c r="R325" s="16">
        <v>2</v>
      </c>
      <c r="S325">
        <v>4.6002699017065698</v>
      </c>
      <c r="T325">
        <v>-74.076447145612306</v>
      </c>
      <c r="U325" s="22">
        <v>15158</v>
      </c>
      <c r="V325" s="22">
        <v>9992.5</v>
      </c>
      <c r="W325" s="25">
        <v>9774</v>
      </c>
      <c r="X325" s="24">
        <v>10078</v>
      </c>
      <c r="Y325" s="24">
        <v>148148</v>
      </c>
      <c r="Z325" s="24">
        <v>100704</v>
      </c>
      <c r="AA325" s="24">
        <v>6651</v>
      </c>
      <c r="AB325" s="42">
        <v>3170</v>
      </c>
      <c r="AC325" s="24">
        <v>57454</v>
      </c>
      <c r="AD325" s="24">
        <v>40302</v>
      </c>
      <c r="AE325" s="24">
        <v>9967</v>
      </c>
      <c r="AF325" s="24">
        <v>5041</v>
      </c>
      <c r="AG325" s="17">
        <v>1.5490999999999999</v>
      </c>
      <c r="AH325" s="16" t="s">
        <v>58</v>
      </c>
      <c r="AI325" s="16" t="s">
        <v>49</v>
      </c>
      <c r="AJ325" s="16" t="s">
        <v>124</v>
      </c>
      <c r="AK325" s="16" t="s">
        <v>65</v>
      </c>
      <c r="AL325" s="25">
        <v>232000</v>
      </c>
      <c r="AM325" s="43">
        <f t="shared" si="23"/>
        <v>100.30190198248968</v>
      </c>
      <c r="AN325" s="16" t="s">
        <v>270</v>
      </c>
      <c r="AO325" s="16" t="s">
        <v>53</v>
      </c>
    </row>
    <row r="326" spans="1:41" ht="14.5" x14ac:dyDescent="0.35">
      <c r="A326" s="27" t="s">
        <v>1113</v>
      </c>
      <c r="B326" s="16" t="s">
        <v>55</v>
      </c>
      <c r="C326" s="16" t="s">
        <v>43</v>
      </c>
      <c r="D326" s="16" t="s">
        <v>44</v>
      </c>
      <c r="E326" s="16" t="s">
        <v>85</v>
      </c>
      <c r="F326" s="16">
        <v>3</v>
      </c>
      <c r="G326" s="30" t="s">
        <v>1114</v>
      </c>
      <c r="H326" s="16" t="s">
        <v>1115</v>
      </c>
      <c r="I326" s="16" t="s">
        <v>47</v>
      </c>
      <c r="J326" s="16">
        <v>107.29</v>
      </c>
      <c r="K326" s="16">
        <v>1730</v>
      </c>
      <c r="L326" s="16">
        <v>1108</v>
      </c>
      <c r="M326" s="8">
        <v>92</v>
      </c>
      <c r="N326" s="21">
        <v>45595</v>
      </c>
      <c r="O326" s="7">
        <f t="shared" si="20"/>
        <v>30</v>
      </c>
      <c r="P326" s="22">
        <f t="shared" si="21"/>
        <v>2</v>
      </c>
      <c r="Q326" s="22">
        <f t="shared" si="22"/>
        <v>31</v>
      </c>
      <c r="R326" s="16">
        <v>23</v>
      </c>
      <c r="S326">
        <v>4.6249359683778097</v>
      </c>
      <c r="T326">
        <v>-74.152693087435594</v>
      </c>
      <c r="U326" s="22">
        <v>21060</v>
      </c>
      <c r="V326" s="22">
        <v>19931.666669999999</v>
      </c>
      <c r="W326" s="25">
        <v>12129</v>
      </c>
      <c r="X326" s="24">
        <v>13129</v>
      </c>
      <c r="Y326" s="24">
        <v>255429</v>
      </c>
      <c r="Z326" s="24">
        <v>261678</v>
      </c>
      <c r="AA326" s="24">
        <v>23831</v>
      </c>
      <c r="AB326" s="24">
        <v>26068</v>
      </c>
      <c r="AC326" s="24">
        <v>84122</v>
      </c>
      <c r="AD326" s="24">
        <v>83641</v>
      </c>
      <c r="AE326" s="24">
        <v>8942</v>
      </c>
      <c r="AF326" s="24">
        <v>9036</v>
      </c>
      <c r="AG326" s="17">
        <v>0</v>
      </c>
      <c r="AH326" s="16" t="s">
        <v>48</v>
      </c>
      <c r="AI326" s="16" t="s">
        <v>49</v>
      </c>
      <c r="AJ326" s="16" t="s">
        <v>76</v>
      </c>
      <c r="AK326" s="16" t="s">
        <v>51</v>
      </c>
      <c r="AL326" s="25">
        <v>241405</v>
      </c>
      <c r="AM326" s="43">
        <f t="shared" si="23"/>
        <v>83.344207288656904</v>
      </c>
      <c r="AN326" s="16" t="s">
        <v>1116</v>
      </c>
      <c r="AO326" s="16" t="s">
        <v>60</v>
      </c>
    </row>
    <row r="327" spans="1:41" ht="14.5" x14ac:dyDescent="0.35">
      <c r="A327" s="27" t="s">
        <v>1117</v>
      </c>
      <c r="B327" s="16" t="s">
        <v>55</v>
      </c>
      <c r="C327" s="16" t="s">
        <v>43</v>
      </c>
      <c r="D327" s="16" t="s">
        <v>44</v>
      </c>
      <c r="E327" s="16" t="s">
        <v>85</v>
      </c>
      <c r="F327" s="16">
        <v>3</v>
      </c>
      <c r="G327" s="30" t="s">
        <v>85</v>
      </c>
      <c r="H327" s="16">
        <v>0</v>
      </c>
      <c r="I327" s="16" t="s">
        <v>47</v>
      </c>
      <c r="J327" s="16">
        <v>108.55</v>
      </c>
      <c r="K327" s="16">
        <v>1316</v>
      </c>
      <c r="L327" s="16">
        <v>0</v>
      </c>
      <c r="M327" s="8">
        <v>223</v>
      </c>
      <c r="N327" s="21">
        <v>43697</v>
      </c>
      <c r="O327" s="7">
        <f t="shared" si="20"/>
        <v>20</v>
      </c>
      <c r="P327" s="22">
        <f t="shared" si="21"/>
        <v>12</v>
      </c>
      <c r="Q327" s="22">
        <f t="shared" si="22"/>
        <v>31</v>
      </c>
      <c r="R327" s="16">
        <v>85</v>
      </c>
      <c r="S327">
        <v>4.6181051762628904</v>
      </c>
      <c r="T327">
        <v>-74.153097360932605</v>
      </c>
      <c r="U327" s="22">
        <v>20810</v>
      </c>
      <c r="V327" s="22">
        <v>19177.5</v>
      </c>
      <c r="W327" s="25">
        <v>12470</v>
      </c>
      <c r="X327" s="24">
        <v>13893</v>
      </c>
      <c r="Y327" s="24">
        <v>259504</v>
      </c>
      <c r="Z327" s="24">
        <v>266433</v>
      </c>
      <c r="AA327" s="24">
        <v>23466</v>
      </c>
      <c r="AB327" s="24">
        <v>21553</v>
      </c>
      <c r="AC327" s="24">
        <v>84138</v>
      </c>
      <c r="AD327" s="24">
        <v>83819</v>
      </c>
      <c r="AE327" s="24">
        <v>10657</v>
      </c>
      <c r="AF327" s="24">
        <v>10454</v>
      </c>
      <c r="AG327" s="17">
        <v>0</v>
      </c>
      <c r="AH327" s="16" t="s">
        <v>58</v>
      </c>
      <c r="AI327" s="16" t="s">
        <v>49</v>
      </c>
      <c r="AJ327" s="16" t="s">
        <v>50</v>
      </c>
      <c r="AK327" s="16" t="s">
        <v>51</v>
      </c>
      <c r="AL327" s="25">
        <v>232000</v>
      </c>
      <c r="AM327" s="43">
        <f t="shared" si="23"/>
        <v>98.175955780746207</v>
      </c>
      <c r="AN327" s="16" t="s">
        <v>804</v>
      </c>
      <c r="AO327" s="16" t="s">
        <v>60</v>
      </c>
    </row>
    <row r="328" spans="1:41" ht="14.5" x14ac:dyDescent="0.35">
      <c r="A328" s="27" t="s">
        <v>1118</v>
      </c>
      <c r="B328" s="16" t="s">
        <v>55</v>
      </c>
      <c r="C328" s="16" t="s">
        <v>43</v>
      </c>
      <c r="D328" s="16" t="s">
        <v>44</v>
      </c>
      <c r="E328" s="16" t="s">
        <v>85</v>
      </c>
      <c r="F328" s="16">
        <v>3</v>
      </c>
      <c r="G328" s="30" t="s">
        <v>1119</v>
      </c>
      <c r="H328" s="16">
        <v>0</v>
      </c>
      <c r="I328" s="16" t="s">
        <v>47</v>
      </c>
      <c r="J328" s="16">
        <v>113.98</v>
      </c>
      <c r="K328" s="16">
        <v>1160</v>
      </c>
      <c r="L328" s="16">
        <v>566</v>
      </c>
      <c r="M328" s="8">
        <v>136</v>
      </c>
      <c r="N328" s="21">
        <v>44396</v>
      </c>
      <c r="O328" s="7">
        <f t="shared" si="20"/>
        <v>19</v>
      </c>
      <c r="P328" s="22">
        <f t="shared" si="21"/>
        <v>13</v>
      </c>
      <c r="Q328" s="22">
        <f t="shared" si="22"/>
        <v>31</v>
      </c>
      <c r="R328" s="16">
        <v>62</v>
      </c>
      <c r="S328">
        <v>4.6246222289711296</v>
      </c>
      <c r="T328">
        <v>-74.147254135376897</v>
      </c>
      <c r="U328" s="22">
        <v>23578</v>
      </c>
      <c r="V328" s="22">
        <v>23940.166669999999</v>
      </c>
      <c r="W328" s="25">
        <v>11935</v>
      </c>
      <c r="X328" s="24">
        <v>11819</v>
      </c>
      <c r="Y328" s="24">
        <v>281392</v>
      </c>
      <c r="Z328" s="24">
        <v>282950</v>
      </c>
      <c r="AA328" s="24">
        <v>27863</v>
      </c>
      <c r="AB328" s="24">
        <v>28960</v>
      </c>
      <c r="AC328" s="24">
        <v>92344</v>
      </c>
      <c r="AD328" s="24">
        <v>91767</v>
      </c>
      <c r="AE328" s="24">
        <v>10251</v>
      </c>
      <c r="AF328" s="24">
        <v>10356</v>
      </c>
      <c r="AG328" s="17">
        <v>0</v>
      </c>
      <c r="AH328" s="16" t="s">
        <v>48</v>
      </c>
      <c r="AI328" s="16" t="s">
        <v>49</v>
      </c>
      <c r="AJ328" s="16" t="s">
        <v>50</v>
      </c>
      <c r="AK328" s="16" t="s">
        <v>51</v>
      </c>
      <c r="AL328" s="25">
        <v>241405</v>
      </c>
      <c r="AM328" s="43">
        <f t="shared" si="23"/>
        <v>89.936831022986482</v>
      </c>
      <c r="AN328" s="16" t="s">
        <v>1120</v>
      </c>
      <c r="AO328" s="16" t="s">
        <v>60</v>
      </c>
    </row>
    <row r="329" spans="1:41" ht="14.5" x14ac:dyDescent="0.35">
      <c r="A329" s="27" t="s">
        <v>1121</v>
      </c>
      <c r="B329" s="16" t="s">
        <v>55</v>
      </c>
      <c r="C329" s="16" t="s">
        <v>43</v>
      </c>
      <c r="D329" s="16" t="s">
        <v>44</v>
      </c>
      <c r="E329" s="16" t="s">
        <v>85</v>
      </c>
      <c r="F329" s="16">
        <v>3</v>
      </c>
      <c r="G329" s="30" t="s">
        <v>1122</v>
      </c>
      <c r="H329" s="16">
        <v>0</v>
      </c>
      <c r="I329" s="16" t="s">
        <v>47</v>
      </c>
      <c r="J329" s="16">
        <v>149.63</v>
      </c>
      <c r="K329" s="16">
        <v>1254</v>
      </c>
      <c r="L329" s="16">
        <v>776</v>
      </c>
      <c r="M329" s="8">
        <v>63</v>
      </c>
      <c r="N329" s="21">
        <v>45014</v>
      </c>
      <c r="O329" s="7">
        <f t="shared" si="20"/>
        <v>29</v>
      </c>
      <c r="P329" s="22">
        <f t="shared" si="21"/>
        <v>3</v>
      </c>
      <c r="Q329" s="22">
        <f t="shared" si="22"/>
        <v>31</v>
      </c>
      <c r="R329" s="16">
        <v>42</v>
      </c>
      <c r="S329">
        <v>4.61781475507102</v>
      </c>
      <c r="T329">
        <v>-74.163911865753704</v>
      </c>
      <c r="U329" s="22">
        <v>16826</v>
      </c>
      <c r="V329" s="22">
        <v>16204.666670000001</v>
      </c>
      <c r="W329" s="25">
        <v>13982</v>
      </c>
      <c r="X329" s="24">
        <v>14173</v>
      </c>
      <c r="Y329" s="24">
        <v>235265</v>
      </c>
      <c r="Z329" s="24">
        <v>229664</v>
      </c>
      <c r="AA329" s="24">
        <v>13772</v>
      </c>
      <c r="AB329" s="24">
        <v>14506</v>
      </c>
      <c r="AC329" s="24">
        <v>72514</v>
      </c>
      <c r="AD329" s="24">
        <v>71992</v>
      </c>
      <c r="AE329" s="24">
        <v>6645</v>
      </c>
      <c r="AF329" s="24">
        <v>6720</v>
      </c>
      <c r="AG329" s="17">
        <v>0</v>
      </c>
      <c r="AH329" s="16" t="s">
        <v>82</v>
      </c>
      <c r="AI329" s="16" t="s">
        <v>49</v>
      </c>
      <c r="AJ329" s="16" t="s">
        <v>124</v>
      </c>
      <c r="AK329" s="16" t="s">
        <v>51</v>
      </c>
      <c r="AL329" s="25">
        <v>204160</v>
      </c>
      <c r="AM329" s="43">
        <f t="shared" si="23"/>
        <v>44.409543540733814</v>
      </c>
      <c r="AN329" s="16">
        <v>0</v>
      </c>
      <c r="AO329" s="16" t="s">
        <v>53</v>
      </c>
    </row>
    <row r="330" spans="1:41" ht="14.5" x14ac:dyDescent="0.35">
      <c r="A330" s="32" t="s">
        <v>1123</v>
      </c>
      <c r="B330" s="32" t="s">
        <v>55</v>
      </c>
      <c r="C330" s="32" t="s">
        <v>43</v>
      </c>
      <c r="D330" s="32" t="s">
        <v>44</v>
      </c>
      <c r="E330" s="32" t="s">
        <v>473</v>
      </c>
      <c r="F330" s="33">
        <v>4</v>
      </c>
      <c r="G330" s="30" t="s">
        <v>1124</v>
      </c>
      <c r="H330" s="32" t="s">
        <v>64</v>
      </c>
      <c r="I330" s="32" t="s">
        <v>102</v>
      </c>
      <c r="J330" s="34">
        <v>146.56</v>
      </c>
      <c r="K330" s="33">
        <v>811</v>
      </c>
      <c r="L330" s="33">
        <v>3080</v>
      </c>
      <c r="M330" s="8">
        <v>165</v>
      </c>
      <c r="N330" s="35">
        <v>46293</v>
      </c>
      <c r="O330" s="7">
        <f t="shared" si="20"/>
        <v>28</v>
      </c>
      <c r="P330" s="22">
        <f t="shared" si="21"/>
        <v>3</v>
      </c>
      <c r="Q330" s="22">
        <f t="shared" si="22"/>
        <v>30</v>
      </c>
      <c r="R330" s="16">
        <v>0</v>
      </c>
      <c r="S330" s="36">
        <v>4.6368450000000001</v>
      </c>
      <c r="T330" s="36">
        <v>-74.065470000000005</v>
      </c>
      <c r="U330" s="22">
        <v>0</v>
      </c>
      <c r="V330" s="22">
        <v>0</v>
      </c>
      <c r="W330" s="25">
        <v>0</v>
      </c>
      <c r="X330" s="24">
        <v>0</v>
      </c>
      <c r="Y330" s="24">
        <v>0</v>
      </c>
      <c r="Z330" s="24">
        <v>0</v>
      </c>
      <c r="AA330" s="24">
        <v>0</v>
      </c>
      <c r="AB330" s="24">
        <v>0</v>
      </c>
      <c r="AC330" s="24">
        <v>0</v>
      </c>
      <c r="AD330" s="24">
        <v>0</v>
      </c>
      <c r="AE330" s="24">
        <v>0</v>
      </c>
      <c r="AF330" s="24">
        <v>0</v>
      </c>
      <c r="AG330" s="16">
        <v>0</v>
      </c>
      <c r="AH330" s="16" t="s">
        <v>64</v>
      </c>
      <c r="AI330" s="31" t="s">
        <v>49</v>
      </c>
      <c r="AJ330" s="31" t="s">
        <v>50</v>
      </c>
      <c r="AK330" s="16" t="s">
        <v>65</v>
      </c>
      <c r="AL330" s="37">
        <v>232000</v>
      </c>
      <c r="AM330" s="43">
        <f t="shared" si="23"/>
        <v>0</v>
      </c>
      <c r="AN330" s="16" t="s">
        <v>1125</v>
      </c>
      <c r="AO330" s="16" t="s">
        <v>60</v>
      </c>
    </row>
    <row r="331" spans="1:41" ht="14.5" x14ac:dyDescent="0.35">
      <c r="A331" s="27" t="s">
        <v>1126</v>
      </c>
      <c r="B331" s="16" t="s">
        <v>183</v>
      </c>
      <c r="C331" s="16" t="s">
        <v>184</v>
      </c>
      <c r="D331" s="16" t="s">
        <v>185</v>
      </c>
      <c r="E331" s="16" t="s">
        <v>1009</v>
      </c>
      <c r="F331" s="16">
        <v>3</v>
      </c>
      <c r="G331" s="30" t="s">
        <v>1127</v>
      </c>
      <c r="H331" s="16">
        <v>0</v>
      </c>
      <c r="I331" s="16" t="s">
        <v>47</v>
      </c>
      <c r="J331" s="16">
        <v>191.87</v>
      </c>
      <c r="K331" s="16">
        <v>1258</v>
      </c>
      <c r="L331" s="16">
        <v>330</v>
      </c>
      <c r="M331" s="8">
        <v>48</v>
      </c>
      <c r="N331" s="21">
        <v>45462</v>
      </c>
      <c r="O331" s="7">
        <f t="shared" si="20"/>
        <v>19</v>
      </c>
      <c r="P331" s="22">
        <f t="shared" si="21"/>
        <v>12</v>
      </c>
      <c r="Q331" s="22">
        <f t="shared" si="22"/>
        <v>30</v>
      </c>
      <c r="R331" s="16">
        <v>27</v>
      </c>
      <c r="S331">
        <v>10.968718632550001</v>
      </c>
      <c r="T331">
        <v>-74.804845479839699</v>
      </c>
      <c r="U331" s="22">
        <v>20201</v>
      </c>
      <c r="V331" s="22">
        <v>19192.166669999999</v>
      </c>
      <c r="W331" s="25">
        <v>15462</v>
      </c>
      <c r="X331" s="24">
        <v>15316</v>
      </c>
      <c r="Y331" s="24">
        <v>312346</v>
      </c>
      <c r="Z331" s="24">
        <v>293945</v>
      </c>
      <c r="AA331" s="24">
        <v>33324</v>
      </c>
      <c r="AB331" s="24">
        <v>26316</v>
      </c>
      <c r="AC331" s="24">
        <v>112213</v>
      </c>
      <c r="AD331" s="24">
        <v>103227</v>
      </c>
      <c r="AE331" s="24">
        <v>8292</v>
      </c>
      <c r="AF331" s="24">
        <v>8228</v>
      </c>
      <c r="AG331" s="17">
        <v>0</v>
      </c>
      <c r="AH331" s="16" t="s">
        <v>48</v>
      </c>
      <c r="AI331" s="16" t="s">
        <v>49</v>
      </c>
      <c r="AJ331" s="16" t="s">
        <v>76</v>
      </c>
      <c r="AK331" s="16" t="s">
        <v>51</v>
      </c>
      <c r="AL331" s="25">
        <v>241405</v>
      </c>
      <c r="AM331" s="43">
        <f t="shared" si="23"/>
        <v>43.216761348829934</v>
      </c>
      <c r="AN331" s="16" t="s">
        <v>1003</v>
      </c>
      <c r="AO331" s="16" t="s">
        <v>60</v>
      </c>
    </row>
    <row r="332" spans="1:41" ht="14.5" x14ac:dyDescent="0.35">
      <c r="A332" s="27" t="s">
        <v>1128</v>
      </c>
      <c r="B332" s="16" t="s">
        <v>119</v>
      </c>
      <c r="C332" s="16" t="s">
        <v>120</v>
      </c>
      <c r="D332" s="16" t="s">
        <v>121</v>
      </c>
      <c r="E332" s="16" t="s">
        <v>122</v>
      </c>
      <c r="F332" s="16">
        <v>4</v>
      </c>
      <c r="G332" s="30" t="s">
        <v>1129</v>
      </c>
      <c r="H332" s="16">
        <v>0</v>
      </c>
      <c r="I332" s="16" t="s">
        <v>47</v>
      </c>
      <c r="J332" s="16">
        <v>65.7</v>
      </c>
      <c r="K332" s="16">
        <v>1054</v>
      </c>
      <c r="L332" s="16">
        <v>235</v>
      </c>
      <c r="M332" s="8">
        <v>74</v>
      </c>
      <c r="N332" s="21">
        <v>45377</v>
      </c>
      <c r="O332" s="7">
        <f t="shared" si="20"/>
        <v>26</v>
      </c>
      <c r="P332" s="22">
        <f t="shared" si="21"/>
        <v>6</v>
      </c>
      <c r="Q332" s="22">
        <f t="shared" si="22"/>
        <v>31</v>
      </c>
      <c r="R332" s="16">
        <v>30</v>
      </c>
      <c r="S332">
        <v>7.1240320699955904</v>
      </c>
      <c r="T332">
        <v>-73.111741466963196</v>
      </c>
      <c r="U332" s="22">
        <v>16155</v>
      </c>
      <c r="V332" s="22">
        <v>15414.833329999999</v>
      </c>
      <c r="W332" s="25">
        <v>9553</v>
      </c>
      <c r="X332" s="24">
        <v>9652</v>
      </c>
      <c r="Y332" s="24">
        <v>154328</v>
      </c>
      <c r="Z332" s="24">
        <v>148779</v>
      </c>
      <c r="AA332" s="24">
        <v>1412</v>
      </c>
      <c r="AB332" s="24">
        <v>4181</v>
      </c>
      <c r="AC332" s="24">
        <v>59551</v>
      </c>
      <c r="AD332" s="24">
        <v>56975</v>
      </c>
      <c r="AE332" s="24">
        <v>8845</v>
      </c>
      <c r="AF332" s="24">
        <v>8939</v>
      </c>
      <c r="AG332" s="17">
        <v>0</v>
      </c>
      <c r="AH332" s="16" t="s">
        <v>58</v>
      </c>
      <c r="AI332" s="16" t="s">
        <v>49</v>
      </c>
      <c r="AJ332" s="16" t="s">
        <v>124</v>
      </c>
      <c r="AK332" s="16" t="s">
        <v>51</v>
      </c>
      <c r="AL332" s="25">
        <v>204160</v>
      </c>
      <c r="AM332" s="43">
        <f t="shared" si="23"/>
        <v>134.62709284627093</v>
      </c>
      <c r="AN332" s="16">
        <v>0</v>
      </c>
      <c r="AO332" s="16" t="s">
        <v>60</v>
      </c>
    </row>
    <row r="333" spans="1:41" ht="14.5" x14ac:dyDescent="0.35">
      <c r="A333" s="27" t="s">
        <v>1130</v>
      </c>
      <c r="B333" s="16" t="s">
        <v>105</v>
      </c>
      <c r="C333" s="16" t="s">
        <v>112</v>
      </c>
      <c r="D333" s="16" t="s">
        <v>113</v>
      </c>
      <c r="E333" s="16" t="s">
        <v>1131</v>
      </c>
      <c r="F333" s="16">
        <v>4</v>
      </c>
      <c r="G333" s="30" t="s">
        <v>1132</v>
      </c>
      <c r="H333" s="16">
        <v>0</v>
      </c>
      <c r="I333" s="16" t="s">
        <v>47</v>
      </c>
      <c r="J333" s="16">
        <v>111.6</v>
      </c>
      <c r="K333" s="16">
        <v>860</v>
      </c>
      <c r="L333" s="16">
        <v>600</v>
      </c>
      <c r="M333" s="8">
        <v>64</v>
      </c>
      <c r="N333" s="21">
        <v>45198</v>
      </c>
      <c r="O333" s="7">
        <f t="shared" si="20"/>
        <v>29</v>
      </c>
      <c r="P333" s="22">
        <f t="shared" si="21"/>
        <v>2</v>
      </c>
      <c r="Q333" s="22">
        <f t="shared" si="22"/>
        <v>30</v>
      </c>
      <c r="R333" s="16">
        <v>36</v>
      </c>
      <c r="S333">
        <v>3.4795538763057898</v>
      </c>
      <c r="T333">
        <v>-76.519962483397805</v>
      </c>
      <c r="U333" s="22">
        <v>8599</v>
      </c>
      <c r="V333" s="22">
        <v>14902.666670000001</v>
      </c>
      <c r="W333" s="25">
        <v>13356</v>
      </c>
      <c r="X333" s="24">
        <v>12994</v>
      </c>
      <c r="Y333" s="24">
        <v>114844</v>
      </c>
      <c r="Z333" s="24">
        <v>193648</v>
      </c>
      <c r="AA333" s="24">
        <v>-39707</v>
      </c>
      <c r="AB333" s="24">
        <v>2826</v>
      </c>
      <c r="AC333" s="24">
        <v>40662</v>
      </c>
      <c r="AD333" s="24">
        <v>68749</v>
      </c>
      <c r="AE333" s="24">
        <v>10734</v>
      </c>
      <c r="AF333" s="24">
        <v>10517</v>
      </c>
      <c r="AG333" s="17">
        <v>0</v>
      </c>
      <c r="AH333" s="16" t="s">
        <v>136</v>
      </c>
      <c r="AI333" s="16" t="s">
        <v>49</v>
      </c>
      <c r="AJ333" s="16" t="s">
        <v>76</v>
      </c>
      <c r="AK333" s="16" t="s">
        <v>51</v>
      </c>
      <c r="AL333" s="25">
        <v>241405</v>
      </c>
      <c r="AM333" s="43">
        <f t="shared" si="23"/>
        <v>96.182795698924735</v>
      </c>
      <c r="AN333" s="16">
        <v>0</v>
      </c>
      <c r="AO333" s="16" t="s">
        <v>60</v>
      </c>
    </row>
    <row r="334" spans="1:41" ht="14.5" x14ac:dyDescent="0.35">
      <c r="A334" s="27" t="s">
        <v>1133</v>
      </c>
      <c r="B334" s="16" t="s">
        <v>119</v>
      </c>
      <c r="C334" s="16" t="s">
        <v>120</v>
      </c>
      <c r="D334" s="16" t="s">
        <v>1134</v>
      </c>
      <c r="E334" s="16" t="s">
        <v>1135</v>
      </c>
      <c r="F334" s="16">
        <v>3</v>
      </c>
      <c r="G334" s="30" t="s">
        <v>1136</v>
      </c>
      <c r="H334" s="16">
        <v>0</v>
      </c>
      <c r="I334" s="16" t="s">
        <v>47</v>
      </c>
      <c r="J334" s="16">
        <v>175.3</v>
      </c>
      <c r="K334" s="16">
        <v>683</v>
      </c>
      <c r="L334" s="16">
        <v>771</v>
      </c>
      <c r="M334" s="8">
        <v>89</v>
      </c>
      <c r="N334" s="21">
        <v>45412</v>
      </c>
      <c r="O334" s="7">
        <f t="shared" si="20"/>
        <v>30</v>
      </c>
      <c r="P334" s="22">
        <f t="shared" si="21"/>
        <v>1</v>
      </c>
      <c r="Q334" s="22">
        <f t="shared" si="22"/>
        <v>30</v>
      </c>
      <c r="R334" s="16">
        <v>29</v>
      </c>
      <c r="S334">
        <v>7.0602726948783596</v>
      </c>
      <c r="T334">
        <v>-73.864463640288903</v>
      </c>
      <c r="U334" s="22">
        <v>18416</v>
      </c>
      <c r="V334" s="22">
        <v>16807</v>
      </c>
      <c r="W334" s="25">
        <v>10740</v>
      </c>
      <c r="X334" s="24">
        <v>10878</v>
      </c>
      <c r="Y334" s="24">
        <v>197786</v>
      </c>
      <c r="Z334" s="24">
        <v>182819</v>
      </c>
      <c r="AA334" s="24">
        <v>21323</v>
      </c>
      <c r="AB334" s="24">
        <v>14297</v>
      </c>
      <c r="AC334" s="24">
        <v>80033</v>
      </c>
      <c r="AD334" s="24">
        <v>70970</v>
      </c>
      <c r="AE334" s="24">
        <v>6634</v>
      </c>
      <c r="AF334" s="24">
        <v>6654</v>
      </c>
      <c r="AG334" s="17">
        <v>0</v>
      </c>
      <c r="AH334" s="16" t="s">
        <v>48</v>
      </c>
      <c r="AI334" s="16" t="s">
        <v>49</v>
      </c>
      <c r="AJ334" s="16" t="s">
        <v>76</v>
      </c>
      <c r="AK334" s="16" t="s">
        <v>51</v>
      </c>
      <c r="AL334" s="25">
        <v>241405</v>
      </c>
      <c r="AM334" s="43">
        <f t="shared" si="23"/>
        <v>37.843696520250994</v>
      </c>
      <c r="AN334" s="16" t="s">
        <v>165</v>
      </c>
      <c r="AO334" s="16" t="s">
        <v>60</v>
      </c>
    </row>
    <row r="335" spans="1:41" ht="14.5" x14ac:dyDescent="0.35">
      <c r="A335" s="27" t="s">
        <v>1137</v>
      </c>
      <c r="B335" s="16" t="s">
        <v>119</v>
      </c>
      <c r="C335" s="16" t="s">
        <v>120</v>
      </c>
      <c r="D335" s="16" t="s">
        <v>121</v>
      </c>
      <c r="E335" s="16" t="s">
        <v>650</v>
      </c>
      <c r="F335" s="16">
        <v>4</v>
      </c>
      <c r="G335" s="30" t="s">
        <v>1138</v>
      </c>
      <c r="H335" s="16">
        <v>0</v>
      </c>
      <c r="I335" s="16" t="s">
        <v>47</v>
      </c>
      <c r="J335" s="16">
        <v>141.15</v>
      </c>
      <c r="K335" s="16">
        <v>1037</v>
      </c>
      <c r="L335" s="16">
        <v>700</v>
      </c>
      <c r="M335" s="8">
        <v>75</v>
      </c>
      <c r="N335" s="21">
        <v>44853</v>
      </c>
      <c r="O335" s="7">
        <f t="shared" si="20"/>
        <v>19</v>
      </c>
      <c r="P335" s="22">
        <f t="shared" si="21"/>
        <v>13</v>
      </c>
      <c r="Q335" s="22">
        <f t="shared" si="22"/>
        <v>31</v>
      </c>
      <c r="R335" s="16">
        <v>47</v>
      </c>
      <c r="S335">
        <v>7.1044459537224798</v>
      </c>
      <c r="T335">
        <v>-73.118428095913501</v>
      </c>
      <c r="U335" s="22">
        <v>18240</v>
      </c>
      <c r="V335" s="22">
        <v>16831.333330000001</v>
      </c>
      <c r="W335" s="25">
        <v>11351</v>
      </c>
      <c r="X335" s="24">
        <v>11762</v>
      </c>
      <c r="Y335" s="24">
        <v>207050</v>
      </c>
      <c r="Z335" s="24">
        <v>197963</v>
      </c>
      <c r="AA335" s="24">
        <v>14224</v>
      </c>
      <c r="AB335" s="24">
        <v>11893</v>
      </c>
      <c r="AC335" s="24">
        <v>74825</v>
      </c>
      <c r="AD335" s="24">
        <v>69982</v>
      </c>
      <c r="AE335" s="24">
        <v>8055</v>
      </c>
      <c r="AF335" s="24">
        <v>7929</v>
      </c>
      <c r="AG335" s="17">
        <v>0</v>
      </c>
      <c r="AH335" s="16" t="s">
        <v>130</v>
      </c>
      <c r="AI335" s="16" t="s">
        <v>49</v>
      </c>
      <c r="AJ335" s="16" t="s">
        <v>50</v>
      </c>
      <c r="AK335" s="16" t="s">
        <v>51</v>
      </c>
      <c r="AL335" s="25">
        <v>232000</v>
      </c>
      <c r="AM335" s="43">
        <f t="shared" si="23"/>
        <v>57.06695005313496</v>
      </c>
      <c r="AN335" s="16" t="s">
        <v>453</v>
      </c>
      <c r="AO335" s="16" t="s">
        <v>60</v>
      </c>
    </row>
    <row r="336" spans="1:41" ht="14.5" x14ac:dyDescent="0.35">
      <c r="A336" s="27" t="s">
        <v>1139</v>
      </c>
      <c r="B336" s="16" t="s">
        <v>42</v>
      </c>
      <c r="C336" s="16" t="s">
        <v>43</v>
      </c>
      <c r="D336" s="16" t="s">
        <v>44</v>
      </c>
      <c r="E336" s="16" t="s">
        <v>68</v>
      </c>
      <c r="F336" s="16">
        <v>4</v>
      </c>
      <c r="G336" s="30" t="s">
        <v>1140</v>
      </c>
      <c r="H336" s="16">
        <v>0</v>
      </c>
      <c r="I336" s="16" t="s">
        <v>47</v>
      </c>
      <c r="J336" s="16">
        <v>141</v>
      </c>
      <c r="K336" s="16">
        <v>174</v>
      </c>
      <c r="L336" s="16">
        <v>7766</v>
      </c>
      <c r="M336" s="8">
        <v>0</v>
      </c>
      <c r="N336" s="21">
        <v>44652</v>
      </c>
      <c r="O336" s="7">
        <f t="shared" si="20"/>
        <v>1</v>
      </c>
      <c r="P336" s="22">
        <f t="shared" si="21"/>
        <v>30</v>
      </c>
      <c r="Q336" s="22">
        <f t="shared" si="22"/>
        <v>30</v>
      </c>
      <c r="R336" s="16">
        <v>53</v>
      </c>
      <c r="S336">
        <v>4.6684443612120203</v>
      </c>
      <c r="T336">
        <v>-74.058477605787004</v>
      </c>
      <c r="U336" s="22">
        <v>23164</v>
      </c>
      <c r="V336" s="22">
        <v>21941.666669999999</v>
      </c>
      <c r="W336" s="25">
        <v>9834</v>
      </c>
      <c r="X336" s="24">
        <v>9987</v>
      </c>
      <c r="Y336" s="24">
        <v>227788</v>
      </c>
      <c r="Z336" s="24">
        <v>219124</v>
      </c>
      <c r="AA336" s="24">
        <v>24999</v>
      </c>
      <c r="AB336" s="24">
        <v>24242</v>
      </c>
      <c r="AC336" s="24">
        <v>92507</v>
      </c>
      <c r="AD336" s="24">
        <v>86143</v>
      </c>
      <c r="AE336" s="24">
        <v>11618</v>
      </c>
      <c r="AF336" s="24">
        <v>11734</v>
      </c>
      <c r="AG336" s="17">
        <v>0</v>
      </c>
      <c r="AH336" s="16" t="s">
        <v>48</v>
      </c>
      <c r="AI336" s="16" t="s">
        <v>49</v>
      </c>
      <c r="AJ336" s="16" t="s">
        <v>50</v>
      </c>
      <c r="AK336" s="16" t="s">
        <v>51</v>
      </c>
      <c r="AL336" s="25">
        <v>232000</v>
      </c>
      <c r="AM336" s="43">
        <f t="shared" si="23"/>
        <v>82.39716312056737</v>
      </c>
      <c r="AN336" s="16" t="s">
        <v>293</v>
      </c>
      <c r="AO336" s="16" t="s">
        <v>60</v>
      </c>
    </row>
    <row r="337" spans="1:41" ht="14.5" x14ac:dyDescent="0.35">
      <c r="A337" s="27" t="s">
        <v>1141</v>
      </c>
      <c r="B337" s="16" t="s">
        <v>105</v>
      </c>
      <c r="C337" s="16" t="s">
        <v>170</v>
      </c>
      <c r="D337" s="16" t="s">
        <v>171</v>
      </c>
      <c r="E337" s="16" t="s">
        <v>276</v>
      </c>
      <c r="F337" s="16">
        <v>6</v>
      </c>
      <c r="G337" s="30" t="s">
        <v>1142</v>
      </c>
      <c r="H337" s="16">
        <v>0</v>
      </c>
      <c r="I337" s="16" t="s">
        <v>47</v>
      </c>
      <c r="J337" s="16">
        <v>73.569999999999993</v>
      </c>
      <c r="K337" s="16">
        <v>1191</v>
      </c>
      <c r="L337" s="16">
        <v>216</v>
      </c>
      <c r="M337" s="8">
        <v>86</v>
      </c>
      <c r="N337" s="21">
        <v>45350</v>
      </c>
      <c r="O337" s="7">
        <f t="shared" si="20"/>
        <v>28</v>
      </c>
      <c r="P337" s="22">
        <f t="shared" si="21"/>
        <v>2</v>
      </c>
      <c r="Q337" s="22">
        <f t="shared" si="22"/>
        <v>29</v>
      </c>
      <c r="R337" s="16">
        <v>31</v>
      </c>
      <c r="S337">
        <v>5.0512270151493501</v>
      </c>
      <c r="T337">
        <v>-75.484240281999405</v>
      </c>
      <c r="U337" s="22">
        <v>12229</v>
      </c>
      <c r="V337" s="22">
        <v>12272.166670000001</v>
      </c>
      <c r="W337" s="25">
        <v>12497</v>
      </c>
      <c r="X337" s="24">
        <v>12717</v>
      </c>
      <c r="Y337" s="24">
        <v>152823</v>
      </c>
      <c r="Z337" s="24">
        <v>156065</v>
      </c>
      <c r="AA337" s="24">
        <v>-4839</v>
      </c>
      <c r="AB337" s="24">
        <v>2863</v>
      </c>
      <c r="AC337" s="24">
        <v>61753</v>
      </c>
      <c r="AD337" s="24">
        <v>60375</v>
      </c>
      <c r="AE337" s="24">
        <v>9840</v>
      </c>
      <c r="AF337" s="24">
        <v>9942</v>
      </c>
      <c r="AG337" s="17">
        <v>0</v>
      </c>
      <c r="AH337" s="16" t="s">
        <v>48</v>
      </c>
      <c r="AI337" s="16" t="s">
        <v>49</v>
      </c>
      <c r="AJ337" s="16" t="s">
        <v>50</v>
      </c>
      <c r="AK337" s="16" t="s">
        <v>51</v>
      </c>
      <c r="AL337" s="25">
        <v>232000</v>
      </c>
      <c r="AM337" s="43">
        <f t="shared" si="23"/>
        <v>133.7501699062118</v>
      </c>
      <c r="AN337" s="16" t="s">
        <v>436</v>
      </c>
      <c r="AO337" s="16" t="s">
        <v>60</v>
      </c>
    </row>
    <row r="338" spans="1:41" ht="14.5" x14ac:dyDescent="0.35">
      <c r="A338" s="27" t="s">
        <v>1143</v>
      </c>
      <c r="B338" s="16" t="s">
        <v>42</v>
      </c>
      <c r="C338" s="16" t="s">
        <v>43</v>
      </c>
      <c r="D338" s="16" t="s">
        <v>44</v>
      </c>
      <c r="E338" s="16" t="s">
        <v>865</v>
      </c>
      <c r="F338" s="16">
        <v>4</v>
      </c>
      <c r="G338" s="30" t="s">
        <v>1144</v>
      </c>
      <c r="H338" s="16">
        <v>0</v>
      </c>
      <c r="I338" s="16" t="s">
        <v>47</v>
      </c>
      <c r="J338" s="16">
        <v>162</v>
      </c>
      <c r="K338" s="16">
        <v>2365</v>
      </c>
      <c r="L338" s="16">
        <v>3556</v>
      </c>
      <c r="M338" s="8">
        <v>55</v>
      </c>
      <c r="N338" s="21">
        <v>45097</v>
      </c>
      <c r="O338" s="7">
        <f t="shared" si="20"/>
        <v>20</v>
      </c>
      <c r="P338" s="22">
        <f t="shared" si="21"/>
        <v>11</v>
      </c>
      <c r="Q338" s="22">
        <f t="shared" si="22"/>
        <v>30</v>
      </c>
      <c r="R338" s="16">
        <v>39</v>
      </c>
      <c r="S338">
        <v>4.7426557469928001</v>
      </c>
      <c r="T338">
        <v>-74.084910795527605</v>
      </c>
      <c r="U338" s="22">
        <v>17087</v>
      </c>
      <c r="V338" s="22">
        <v>16723.166669999999</v>
      </c>
      <c r="W338" s="25">
        <v>12137</v>
      </c>
      <c r="X338" s="24">
        <v>12113</v>
      </c>
      <c r="Y338" s="24">
        <v>207390</v>
      </c>
      <c r="Z338" s="24">
        <v>202562</v>
      </c>
      <c r="AA338" s="24">
        <v>12088</v>
      </c>
      <c r="AB338" s="24">
        <v>9973</v>
      </c>
      <c r="AC338" s="24">
        <v>72561</v>
      </c>
      <c r="AD338" s="24">
        <v>70020</v>
      </c>
      <c r="AE338" s="24">
        <v>15294</v>
      </c>
      <c r="AF338" s="24">
        <v>15462</v>
      </c>
      <c r="AG338" s="17">
        <v>0</v>
      </c>
      <c r="AH338" s="16" t="s">
        <v>136</v>
      </c>
      <c r="AI338" s="16" t="s">
        <v>49</v>
      </c>
      <c r="AJ338" s="16" t="s">
        <v>50</v>
      </c>
      <c r="AK338" s="16" t="s">
        <v>51</v>
      </c>
      <c r="AL338" s="25">
        <v>232000</v>
      </c>
      <c r="AM338" s="43">
        <f t="shared" si="23"/>
        <v>94.407407407407405</v>
      </c>
      <c r="AN338" s="16" t="s">
        <v>1095</v>
      </c>
      <c r="AO338" s="16" t="s">
        <v>60</v>
      </c>
    </row>
    <row r="339" spans="1:41" ht="14.5" x14ac:dyDescent="0.35">
      <c r="A339" s="27" t="s">
        <v>1145</v>
      </c>
      <c r="B339" s="16" t="s">
        <v>55</v>
      </c>
      <c r="C339" s="16" t="s">
        <v>43</v>
      </c>
      <c r="D339" s="16" t="s">
        <v>44</v>
      </c>
      <c r="E339" s="16" t="s">
        <v>159</v>
      </c>
      <c r="F339" s="16">
        <v>3</v>
      </c>
      <c r="G339" s="30" t="s">
        <v>159</v>
      </c>
      <c r="H339" s="16">
        <v>0</v>
      </c>
      <c r="I339" s="16" t="s">
        <v>102</v>
      </c>
      <c r="J339" s="16">
        <v>224.26</v>
      </c>
      <c r="K339" s="16">
        <v>623</v>
      </c>
      <c r="L339" s="16">
        <v>502</v>
      </c>
      <c r="M339" s="8">
        <v>0</v>
      </c>
      <c r="N339" s="21">
        <v>41169</v>
      </c>
      <c r="O339" s="7">
        <f t="shared" si="20"/>
        <v>17</v>
      </c>
      <c r="P339" s="22">
        <f t="shared" si="21"/>
        <v>14</v>
      </c>
      <c r="Q339" s="22">
        <f t="shared" si="22"/>
        <v>30</v>
      </c>
      <c r="R339" s="16">
        <v>116</v>
      </c>
      <c r="S339">
        <v>4.5962459593238503</v>
      </c>
      <c r="T339">
        <v>-74.0723102764549</v>
      </c>
      <c r="U339" s="22">
        <v>29785</v>
      </c>
      <c r="V339" s="22">
        <v>29548.833330000001</v>
      </c>
      <c r="W339" s="25">
        <v>13226</v>
      </c>
      <c r="X339" s="24">
        <v>13130</v>
      </c>
      <c r="Y339" s="24">
        <v>393931</v>
      </c>
      <c r="Z339" s="24">
        <v>387978</v>
      </c>
      <c r="AA339" s="24">
        <v>61022</v>
      </c>
      <c r="AB339" s="24">
        <v>55301</v>
      </c>
      <c r="AC339" s="24">
        <v>143887</v>
      </c>
      <c r="AD339" s="24">
        <v>140387</v>
      </c>
      <c r="AE339" s="24">
        <v>13607</v>
      </c>
      <c r="AF339" s="24">
        <v>13740</v>
      </c>
      <c r="AG339" s="17">
        <v>0</v>
      </c>
      <c r="AH339" s="16" t="s">
        <v>48</v>
      </c>
      <c r="AI339" s="16" t="s">
        <v>49</v>
      </c>
      <c r="AJ339" s="16" t="s">
        <v>76</v>
      </c>
      <c r="AK339" s="16" t="s">
        <v>51</v>
      </c>
      <c r="AL339" s="25">
        <v>241405</v>
      </c>
      <c r="AM339" s="43">
        <f t="shared" si="23"/>
        <v>60.675109248194062</v>
      </c>
      <c r="AN339" s="16" t="s">
        <v>374</v>
      </c>
      <c r="AO339" s="16" t="s">
        <v>98</v>
      </c>
    </row>
    <row r="340" spans="1:41" ht="14.5" x14ac:dyDescent="0.35">
      <c r="A340" s="27" t="s">
        <v>1146</v>
      </c>
      <c r="B340" s="16" t="s">
        <v>42</v>
      </c>
      <c r="C340" s="16" t="s">
        <v>43</v>
      </c>
      <c r="D340" s="16" t="s">
        <v>44</v>
      </c>
      <c r="E340" s="16" t="s">
        <v>68</v>
      </c>
      <c r="F340" s="16">
        <v>3</v>
      </c>
      <c r="G340" s="30" t="s">
        <v>1147</v>
      </c>
      <c r="H340" s="16" t="s">
        <v>1148</v>
      </c>
      <c r="I340" s="16" t="s">
        <v>47</v>
      </c>
      <c r="J340" s="16">
        <v>121.11</v>
      </c>
      <c r="K340" s="16">
        <v>483</v>
      </c>
      <c r="L340" s="16">
        <v>5965</v>
      </c>
      <c r="M340" s="8">
        <v>95</v>
      </c>
      <c r="N340" s="21">
        <v>46189</v>
      </c>
      <c r="O340" s="7">
        <f t="shared" si="20"/>
        <v>16</v>
      </c>
      <c r="P340" s="22">
        <f t="shared" si="21"/>
        <v>15</v>
      </c>
      <c r="Q340" s="22">
        <f t="shared" si="22"/>
        <v>30</v>
      </c>
      <c r="R340" s="16">
        <v>3</v>
      </c>
      <c r="S340">
        <v>4.6839390456115799</v>
      </c>
      <c r="T340">
        <v>-74.050563269216894</v>
      </c>
      <c r="U340" s="22">
        <v>11926</v>
      </c>
      <c r="V340" s="22">
        <v>9799.3333330000005</v>
      </c>
      <c r="W340" s="25">
        <v>10470</v>
      </c>
      <c r="X340" s="24">
        <v>10447</v>
      </c>
      <c r="Y340" s="24">
        <v>124865</v>
      </c>
      <c r="Z340" s="24">
        <v>102374</v>
      </c>
      <c r="AA340" s="42">
        <v>-6382</v>
      </c>
      <c r="AB340" s="42">
        <v>-4705</v>
      </c>
      <c r="AC340" s="24">
        <v>55157</v>
      </c>
      <c r="AD340" s="24">
        <v>45716</v>
      </c>
      <c r="AE340" s="24">
        <v>17500</v>
      </c>
      <c r="AF340" s="24">
        <v>10866</v>
      </c>
      <c r="AG340" s="17">
        <v>1.0667</v>
      </c>
      <c r="AH340" s="16" t="s">
        <v>48</v>
      </c>
      <c r="AI340" s="16" t="s">
        <v>49</v>
      </c>
      <c r="AJ340" s="16" t="s">
        <v>124</v>
      </c>
      <c r="AK340" s="16" t="s">
        <v>65</v>
      </c>
      <c r="AL340" s="25">
        <v>241405</v>
      </c>
      <c r="AM340" s="43">
        <f t="shared" si="23"/>
        <v>144.49673850218809</v>
      </c>
      <c r="AN340" s="16" t="s">
        <v>1149</v>
      </c>
      <c r="AO340" s="16" t="s">
        <v>60</v>
      </c>
    </row>
    <row r="341" spans="1:41" ht="14.5" x14ac:dyDescent="0.35">
      <c r="A341" s="27" t="s">
        <v>1150</v>
      </c>
      <c r="B341" s="16" t="s">
        <v>183</v>
      </c>
      <c r="C341" s="16" t="s">
        <v>184</v>
      </c>
      <c r="D341" s="16" t="s">
        <v>185</v>
      </c>
      <c r="E341" s="16" t="s">
        <v>186</v>
      </c>
      <c r="F341" s="16">
        <v>4</v>
      </c>
      <c r="G341" s="30" t="s">
        <v>1151</v>
      </c>
      <c r="H341" s="16">
        <v>0</v>
      </c>
      <c r="I341" s="16" t="s">
        <v>47</v>
      </c>
      <c r="J341" s="16">
        <v>181.26</v>
      </c>
      <c r="K341" s="16">
        <v>439</v>
      </c>
      <c r="L341" s="16">
        <v>2575</v>
      </c>
      <c r="M341" s="8">
        <v>52</v>
      </c>
      <c r="N341" s="21">
        <v>45443</v>
      </c>
      <c r="O341" s="7">
        <f t="shared" si="20"/>
        <v>31</v>
      </c>
      <c r="P341" s="22">
        <f t="shared" si="21"/>
        <v>1</v>
      </c>
      <c r="Q341" s="22">
        <f t="shared" si="22"/>
        <v>31</v>
      </c>
      <c r="R341" s="16">
        <v>28</v>
      </c>
      <c r="S341">
        <v>11.0114679312543</v>
      </c>
      <c r="T341">
        <v>-74.798924453664398</v>
      </c>
      <c r="U341" s="22">
        <v>21091</v>
      </c>
      <c r="V341" s="22">
        <v>21055.833330000001</v>
      </c>
      <c r="W341" s="25">
        <v>10964</v>
      </c>
      <c r="X341" s="24">
        <v>11379</v>
      </c>
      <c r="Y341" s="24">
        <v>231239</v>
      </c>
      <c r="Z341" s="24">
        <v>239593</v>
      </c>
      <c r="AA341" s="24">
        <v>4867</v>
      </c>
      <c r="AB341" s="24">
        <v>13764</v>
      </c>
      <c r="AC341" s="24">
        <v>93798</v>
      </c>
      <c r="AD341" s="24">
        <v>95692</v>
      </c>
      <c r="AE341" s="24">
        <v>12162</v>
      </c>
      <c r="AF341" s="24">
        <v>12080</v>
      </c>
      <c r="AG341" s="17">
        <v>0</v>
      </c>
      <c r="AH341" s="16" t="s">
        <v>48</v>
      </c>
      <c r="AI341" s="16" t="s">
        <v>49</v>
      </c>
      <c r="AJ341" s="16" t="s">
        <v>76</v>
      </c>
      <c r="AK341" s="16" t="s">
        <v>51</v>
      </c>
      <c r="AL341" s="25">
        <v>232000</v>
      </c>
      <c r="AM341" s="43">
        <f t="shared" si="23"/>
        <v>67.096987752399869</v>
      </c>
      <c r="AN341" s="16" t="s">
        <v>1152</v>
      </c>
      <c r="AO341" s="16" t="s">
        <v>60</v>
      </c>
    </row>
    <row r="342" spans="1:41" ht="14.5" x14ac:dyDescent="0.35">
      <c r="A342" s="27" t="s">
        <v>1153</v>
      </c>
      <c r="B342" s="16" t="s">
        <v>55</v>
      </c>
      <c r="C342" s="16" t="s">
        <v>43</v>
      </c>
      <c r="D342" s="16" t="s">
        <v>44</v>
      </c>
      <c r="E342" s="16" t="s">
        <v>531</v>
      </c>
      <c r="F342" s="16">
        <v>3</v>
      </c>
      <c r="G342" s="30" t="s">
        <v>1154</v>
      </c>
      <c r="H342" s="16">
        <v>0</v>
      </c>
      <c r="I342" s="16" t="s">
        <v>47</v>
      </c>
      <c r="J342" s="16">
        <v>83.25</v>
      </c>
      <c r="K342" s="16">
        <v>1749</v>
      </c>
      <c r="L342" s="16">
        <v>1457</v>
      </c>
      <c r="M342" s="8">
        <v>49</v>
      </c>
      <c r="N342" s="21">
        <v>45350</v>
      </c>
      <c r="O342" s="7">
        <f t="shared" si="20"/>
        <v>28</v>
      </c>
      <c r="P342" s="22">
        <f t="shared" si="21"/>
        <v>2</v>
      </c>
      <c r="Q342" s="22">
        <f t="shared" si="22"/>
        <v>29</v>
      </c>
      <c r="R342" s="16">
        <v>31</v>
      </c>
      <c r="S342">
        <v>4.6709192453336899</v>
      </c>
      <c r="T342">
        <v>-74.0660509725667</v>
      </c>
      <c r="U342" s="22">
        <v>14330</v>
      </c>
      <c r="V342" s="22">
        <v>15297.833329999999</v>
      </c>
      <c r="W342" s="25">
        <v>11849</v>
      </c>
      <c r="X342" s="24">
        <v>12013</v>
      </c>
      <c r="Y342" s="24">
        <v>169797</v>
      </c>
      <c r="Z342" s="24">
        <v>183767</v>
      </c>
      <c r="AA342" s="24">
        <v>7395</v>
      </c>
      <c r="AB342" s="24">
        <v>13945</v>
      </c>
      <c r="AC342" s="24">
        <v>59267</v>
      </c>
      <c r="AD342" s="24">
        <v>65064</v>
      </c>
      <c r="AE342" s="24">
        <v>7105</v>
      </c>
      <c r="AF342" s="24">
        <v>7184</v>
      </c>
      <c r="AG342" s="17">
        <v>0</v>
      </c>
      <c r="AH342" s="16" t="s">
        <v>48</v>
      </c>
      <c r="AI342" s="16" t="s">
        <v>49</v>
      </c>
      <c r="AJ342" s="16" t="s">
        <v>50</v>
      </c>
      <c r="AK342" s="16" t="s">
        <v>51</v>
      </c>
      <c r="AL342" s="25">
        <v>232000</v>
      </c>
      <c r="AM342" s="43">
        <f t="shared" si="23"/>
        <v>85.345345345345351</v>
      </c>
      <c r="AN342" s="16" t="s">
        <v>1155</v>
      </c>
      <c r="AO342" s="16" t="s">
        <v>60</v>
      </c>
    </row>
    <row r="343" spans="1:41" ht="14.5" x14ac:dyDescent="0.35">
      <c r="A343" s="27" t="s">
        <v>1156</v>
      </c>
      <c r="B343" s="16" t="s">
        <v>105</v>
      </c>
      <c r="C343" s="16" t="s">
        <v>157</v>
      </c>
      <c r="D343" s="16" t="s">
        <v>303</v>
      </c>
      <c r="E343" s="16" t="s">
        <v>304</v>
      </c>
      <c r="F343" s="16">
        <v>4</v>
      </c>
      <c r="G343" s="30" t="s">
        <v>1157</v>
      </c>
      <c r="H343" s="16" t="s">
        <v>1158</v>
      </c>
      <c r="I343" s="16" t="s">
        <v>47</v>
      </c>
      <c r="J343" s="16">
        <v>107.02</v>
      </c>
      <c r="K343" s="16">
        <v>2659</v>
      </c>
      <c r="L343" s="16">
        <v>26</v>
      </c>
      <c r="M343" s="8">
        <v>22</v>
      </c>
      <c r="N343" s="21">
        <v>46031</v>
      </c>
      <c r="O343" s="7">
        <f t="shared" si="20"/>
        <v>9</v>
      </c>
      <c r="P343" s="22">
        <f t="shared" si="21"/>
        <v>23</v>
      </c>
      <c r="Q343" s="22">
        <f t="shared" si="22"/>
        <v>31</v>
      </c>
      <c r="R343" s="16">
        <v>8</v>
      </c>
      <c r="S343">
        <v>6.1456939902145296</v>
      </c>
      <c r="T343">
        <v>-75.616793006832594</v>
      </c>
      <c r="U343" s="22">
        <v>11990</v>
      </c>
      <c r="V343" s="22">
        <v>10105.166670000001</v>
      </c>
      <c r="W343" s="25">
        <v>12976</v>
      </c>
      <c r="X343" s="24">
        <v>13020</v>
      </c>
      <c r="Y343" s="24">
        <v>155581</v>
      </c>
      <c r="Z343" s="24">
        <v>131574</v>
      </c>
      <c r="AA343" s="42">
        <v>-2119</v>
      </c>
      <c r="AB343" s="42">
        <v>-4640</v>
      </c>
      <c r="AC343" s="24">
        <v>58029</v>
      </c>
      <c r="AD343" s="24">
        <v>50672</v>
      </c>
      <c r="AE343" s="24">
        <v>11500</v>
      </c>
      <c r="AF343" s="24">
        <v>11616</v>
      </c>
      <c r="AG343" s="17">
        <v>1.5634999999999999</v>
      </c>
      <c r="AH343" s="16" t="s">
        <v>58</v>
      </c>
      <c r="AI343" s="16" t="s">
        <v>49</v>
      </c>
      <c r="AJ343" s="16" t="s">
        <v>76</v>
      </c>
      <c r="AK343" s="16" t="s">
        <v>65</v>
      </c>
      <c r="AL343" s="25">
        <v>232000</v>
      </c>
      <c r="AM343" s="43">
        <f t="shared" si="23"/>
        <v>107.45655017753691</v>
      </c>
      <c r="AN343" s="16" t="s">
        <v>1109</v>
      </c>
      <c r="AO343" s="16" t="s">
        <v>53</v>
      </c>
    </row>
    <row r="344" spans="1:41" ht="14.5" x14ac:dyDescent="0.35">
      <c r="A344" s="27" t="s">
        <v>1159</v>
      </c>
      <c r="B344" s="16" t="s">
        <v>55</v>
      </c>
      <c r="C344" s="16" t="s">
        <v>43</v>
      </c>
      <c r="D344" s="16" t="s">
        <v>44</v>
      </c>
      <c r="E344" s="16" t="s">
        <v>647</v>
      </c>
      <c r="F344" s="16">
        <v>4</v>
      </c>
      <c r="G344" s="30" t="s">
        <v>1160</v>
      </c>
      <c r="H344" s="16">
        <v>0</v>
      </c>
      <c r="I344" s="16" t="s">
        <v>47</v>
      </c>
      <c r="J344" s="16">
        <v>99.28</v>
      </c>
      <c r="K344" s="16">
        <v>1603</v>
      </c>
      <c r="L344" s="16">
        <v>925</v>
      </c>
      <c r="M344" s="8">
        <v>0</v>
      </c>
      <c r="N344" s="21">
        <v>44705</v>
      </c>
      <c r="O344" s="7">
        <f t="shared" si="20"/>
        <v>24</v>
      </c>
      <c r="P344" s="22">
        <f t="shared" si="21"/>
        <v>8</v>
      </c>
      <c r="Q344" s="22">
        <f t="shared" si="22"/>
        <v>31</v>
      </c>
      <c r="R344" s="16">
        <v>52</v>
      </c>
      <c r="S344">
        <v>4.6235657599982103</v>
      </c>
      <c r="T344">
        <v>-74.073828868691194</v>
      </c>
      <c r="U344" s="22">
        <v>15922</v>
      </c>
      <c r="V344" s="22">
        <v>16152.333329999999</v>
      </c>
      <c r="W344" s="25">
        <v>12949</v>
      </c>
      <c r="X344" s="24">
        <v>13322</v>
      </c>
      <c r="Y344" s="24">
        <v>206174</v>
      </c>
      <c r="Z344" s="24">
        <v>215185</v>
      </c>
      <c r="AA344" s="24">
        <v>11027</v>
      </c>
      <c r="AB344" s="24">
        <v>13694</v>
      </c>
      <c r="AC344" s="24">
        <v>71102</v>
      </c>
      <c r="AD344" s="24">
        <v>72988</v>
      </c>
      <c r="AE344" s="24">
        <v>10934</v>
      </c>
      <c r="AF344" s="24">
        <v>10955</v>
      </c>
      <c r="AG344" s="17">
        <v>0</v>
      </c>
      <c r="AH344" s="16" t="s">
        <v>48</v>
      </c>
      <c r="AI344" s="16" t="s">
        <v>49</v>
      </c>
      <c r="AJ344" s="16" t="s">
        <v>50</v>
      </c>
      <c r="AK344" s="16" t="s">
        <v>51</v>
      </c>
      <c r="AL344" s="25">
        <v>232000</v>
      </c>
      <c r="AM344" s="43">
        <f t="shared" si="23"/>
        <v>110.13295729250605</v>
      </c>
      <c r="AN344" s="16" t="s">
        <v>390</v>
      </c>
      <c r="AO344" s="16" t="s">
        <v>60</v>
      </c>
    </row>
    <row r="345" spans="1:41" ht="14.5" x14ac:dyDescent="0.35">
      <c r="A345" s="27" t="s">
        <v>1161</v>
      </c>
      <c r="B345" s="16" t="s">
        <v>119</v>
      </c>
      <c r="C345" s="16" t="s">
        <v>120</v>
      </c>
      <c r="D345" s="16" t="s">
        <v>121</v>
      </c>
      <c r="E345" s="16" t="s">
        <v>674</v>
      </c>
      <c r="F345" s="16">
        <v>3</v>
      </c>
      <c r="G345" s="30" t="s">
        <v>1162</v>
      </c>
      <c r="H345" s="16" t="s">
        <v>1163</v>
      </c>
      <c r="I345" s="16" t="s">
        <v>47</v>
      </c>
      <c r="J345" s="16">
        <v>112.5</v>
      </c>
      <c r="K345" s="16">
        <v>1813</v>
      </c>
      <c r="L345" s="16">
        <v>689</v>
      </c>
      <c r="M345" s="8">
        <v>86</v>
      </c>
      <c r="N345" s="21">
        <v>45617</v>
      </c>
      <c r="O345" s="7">
        <f t="shared" si="20"/>
        <v>21</v>
      </c>
      <c r="P345" s="22">
        <f t="shared" si="21"/>
        <v>10</v>
      </c>
      <c r="Q345" s="22">
        <f t="shared" si="22"/>
        <v>30</v>
      </c>
      <c r="R345" s="16">
        <v>22</v>
      </c>
      <c r="S345">
        <v>7.1373667485335703</v>
      </c>
      <c r="T345">
        <v>-73.123502836684196</v>
      </c>
      <c r="U345" s="22">
        <v>17244</v>
      </c>
      <c r="V345" s="22">
        <v>15623.166670000001</v>
      </c>
      <c r="W345" s="25">
        <v>9646</v>
      </c>
      <c r="X345" s="24">
        <v>10002</v>
      </c>
      <c r="Y345" s="24">
        <v>166335</v>
      </c>
      <c r="Z345" s="24">
        <v>156264</v>
      </c>
      <c r="AA345" s="42">
        <v>4084</v>
      </c>
      <c r="AB345" s="24">
        <v>4129</v>
      </c>
      <c r="AC345" s="24">
        <v>60533</v>
      </c>
      <c r="AD345" s="24">
        <v>55048</v>
      </c>
      <c r="AE345" s="24">
        <v>7364</v>
      </c>
      <c r="AF345" s="24">
        <v>7445</v>
      </c>
      <c r="AG345" s="17">
        <v>0</v>
      </c>
      <c r="AH345" s="16" t="s">
        <v>58</v>
      </c>
      <c r="AI345" s="16" t="s">
        <v>49</v>
      </c>
      <c r="AJ345" s="16" t="s">
        <v>124</v>
      </c>
      <c r="AK345" s="16" t="s">
        <v>51</v>
      </c>
      <c r="AL345" s="25">
        <v>232000</v>
      </c>
      <c r="AM345" s="43">
        <f t="shared" si="23"/>
        <v>65.457777777777778</v>
      </c>
      <c r="AN345" s="16">
        <v>0</v>
      </c>
      <c r="AO345" s="16" t="s">
        <v>60</v>
      </c>
    </row>
    <row r="346" spans="1:41" ht="14.5" x14ac:dyDescent="0.35">
      <c r="A346" s="27" t="s">
        <v>1164</v>
      </c>
      <c r="B346" s="16" t="s">
        <v>105</v>
      </c>
      <c r="C346" s="16" t="s">
        <v>170</v>
      </c>
      <c r="D346" s="16" t="s">
        <v>1165</v>
      </c>
      <c r="E346" s="16" t="s">
        <v>1166</v>
      </c>
      <c r="F346" s="16">
        <v>6</v>
      </c>
      <c r="G346" s="30" t="s">
        <v>1167</v>
      </c>
      <c r="H346" s="16" t="s">
        <v>1168</v>
      </c>
      <c r="I346" s="16" t="s">
        <v>47</v>
      </c>
      <c r="J346" s="16">
        <v>123.9</v>
      </c>
      <c r="K346" s="16">
        <v>2304</v>
      </c>
      <c r="L346" s="16">
        <v>300</v>
      </c>
      <c r="M346" s="8">
        <v>32</v>
      </c>
      <c r="N346" s="21">
        <v>45535</v>
      </c>
      <c r="O346" s="7">
        <f t="shared" si="20"/>
        <v>31</v>
      </c>
      <c r="P346" s="22">
        <f t="shared" si="21"/>
        <v>1</v>
      </c>
      <c r="Q346" s="22">
        <f t="shared" si="22"/>
        <v>31</v>
      </c>
      <c r="R346" s="16">
        <v>25</v>
      </c>
      <c r="S346">
        <v>5.0317464544579202</v>
      </c>
      <c r="T346">
        <v>-75.481522018160206</v>
      </c>
      <c r="U346" s="22">
        <v>12773</v>
      </c>
      <c r="V346" s="22">
        <v>12032.833329999999</v>
      </c>
      <c r="W346" s="25">
        <v>16033</v>
      </c>
      <c r="X346" s="24">
        <v>16072</v>
      </c>
      <c r="Y346" s="24">
        <v>204789</v>
      </c>
      <c r="Z346" s="24">
        <v>193390</v>
      </c>
      <c r="AA346" s="24">
        <v>10889</v>
      </c>
      <c r="AB346" s="24">
        <v>16071</v>
      </c>
      <c r="AC346" s="24">
        <v>77297</v>
      </c>
      <c r="AD346" s="24">
        <v>73222</v>
      </c>
      <c r="AE346" s="24">
        <v>9604</v>
      </c>
      <c r="AF346" s="24">
        <v>9323</v>
      </c>
      <c r="AG346" s="17">
        <v>0</v>
      </c>
      <c r="AH346" s="16" t="s">
        <v>48</v>
      </c>
      <c r="AI346" s="16" t="s">
        <v>49</v>
      </c>
      <c r="AJ346" s="16" t="s">
        <v>50</v>
      </c>
      <c r="AK346" s="16" t="s">
        <v>51</v>
      </c>
      <c r="AL346" s="25">
        <v>232000</v>
      </c>
      <c r="AM346" s="43">
        <f t="shared" si="23"/>
        <v>77.514124293785301</v>
      </c>
      <c r="AN346" s="16" t="s">
        <v>150</v>
      </c>
      <c r="AO346" s="16" t="s">
        <v>60</v>
      </c>
    </row>
    <row r="347" spans="1:41" ht="14.5" x14ac:dyDescent="0.35">
      <c r="A347" s="27" t="s">
        <v>1169</v>
      </c>
      <c r="B347" s="16" t="s">
        <v>105</v>
      </c>
      <c r="C347" s="16" t="s">
        <v>177</v>
      </c>
      <c r="D347" s="16" t="s">
        <v>178</v>
      </c>
      <c r="E347" s="16" t="s">
        <v>228</v>
      </c>
      <c r="F347" s="16">
        <v>6</v>
      </c>
      <c r="G347" s="30" t="s">
        <v>1170</v>
      </c>
      <c r="H347" s="16">
        <v>0</v>
      </c>
      <c r="I347" s="16" t="s">
        <v>47</v>
      </c>
      <c r="J347" s="16">
        <v>130.22999999999999</v>
      </c>
      <c r="K347" s="16">
        <v>1146</v>
      </c>
      <c r="L347" s="16">
        <v>990</v>
      </c>
      <c r="M347" s="8">
        <v>72</v>
      </c>
      <c r="N347" s="21">
        <v>45259</v>
      </c>
      <c r="O347" s="7">
        <f t="shared" si="20"/>
        <v>29</v>
      </c>
      <c r="P347" s="22">
        <f t="shared" si="21"/>
        <v>2</v>
      </c>
      <c r="Q347" s="22">
        <f t="shared" si="22"/>
        <v>30</v>
      </c>
      <c r="R347" s="16">
        <v>34</v>
      </c>
      <c r="S347">
        <v>4.5538625124777701</v>
      </c>
      <c r="T347">
        <v>-75.657479702394895</v>
      </c>
      <c r="U347" s="22">
        <v>21775</v>
      </c>
      <c r="V347" s="22">
        <v>20747.5</v>
      </c>
      <c r="W347" s="25">
        <v>13007</v>
      </c>
      <c r="X347" s="24">
        <v>12527</v>
      </c>
      <c r="Y347" s="24">
        <v>283226</v>
      </c>
      <c r="Z347" s="24">
        <v>259895</v>
      </c>
      <c r="AA347" s="24">
        <v>38528</v>
      </c>
      <c r="AB347" s="24">
        <v>37073</v>
      </c>
      <c r="AC347" s="24">
        <v>111864</v>
      </c>
      <c r="AD347" s="24">
        <v>99219</v>
      </c>
      <c r="AE347" s="24">
        <v>7473</v>
      </c>
      <c r="AF347" s="24">
        <v>7554</v>
      </c>
      <c r="AG347" s="17">
        <v>0</v>
      </c>
      <c r="AH347" s="16" t="s">
        <v>58</v>
      </c>
      <c r="AI347" s="16" t="s">
        <v>49</v>
      </c>
      <c r="AJ347" s="16" t="s">
        <v>50</v>
      </c>
      <c r="AK347" s="16" t="s">
        <v>51</v>
      </c>
      <c r="AL347" s="25">
        <v>232000</v>
      </c>
      <c r="AM347" s="43">
        <f t="shared" si="23"/>
        <v>57.383091453582125</v>
      </c>
      <c r="AN347" s="16" t="s">
        <v>1171</v>
      </c>
      <c r="AO347" s="16" t="s">
        <v>60</v>
      </c>
    </row>
    <row r="348" spans="1:41" ht="14.5" x14ac:dyDescent="0.35">
      <c r="A348" s="27" t="s">
        <v>1172</v>
      </c>
      <c r="B348" s="16" t="s">
        <v>55</v>
      </c>
      <c r="C348" s="16" t="s">
        <v>43</v>
      </c>
      <c r="D348" s="16" t="s">
        <v>44</v>
      </c>
      <c r="E348" s="16" t="s">
        <v>1173</v>
      </c>
      <c r="F348" s="16">
        <v>3</v>
      </c>
      <c r="G348" s="30" t="s">
        <v>1174</v>
      </c>
      <c r="H348" s="16" t="s">
        <v>1175</v>
      </c>
      <c r="I348" s="16" t="s">
        <v>47</v>
      </c>
      <c r="J348" s="16">
        <v>105.34</v>
      </c>
      <c r="K348" s="16">
        <v>2446</v>
      </c>
      <c r="L348" s="16">
        <v>848</v>
      </c>
      <c r="M348" s="8">
        <v>106</v>
      </c>
      <c r="N348" s="21">
        <v>45490</v>
      </c>
      <c r="O348" s="7">
        <f t="shared" si="20"/>
        <v>17</v>
      </c>
      <c r="P348" s="22">
        <f t="shared" si="21"/>
        <v>15</v>
      </c>
      <c r="Q348" s="22">
        <f t="shared" si="22"/>
        <v>31</v>
      </c>
      <c r="R348" s="16">
        <v>26</v>
      </c>
      <c r="S348">
        <v>4.5939605962519598</v>
      </c>
      <c r="T348">
        <v>-74.108252638051994</v>
      </c>
      <c r="U348" s="22">
        <v>10934</v>
      </c>
      <c r="V348" s="22">
        <v>11455</v>
      </c>
      <c r="W348" s="25">
        <v>12720</v>
      </c>
      <c r="X348" s="24">
        <v>13022</v>
      </c>
      <c r="Y348" s="24">
        <v>139079</v>
      </c>
      <c r="Z348" s="24">
        <v>149161</v>
      </c>
      <c r="AA348" s="42">
        <v>-5999</v>
      </c>
      <c r="AB348" s="42">
        <v>1441</v>
      </c>
      <c r="AC348" s="24">
        <v>42916</v>
      </c>
      <c r="AD348" s="24">
        <v>47794</v>
      </c>
      <c r="AE348" s="24">
        <v>8292</v>
      </c>
      <c r="AF348" s="24">
        <v>8139</v>
      </c>
      <c r="AG348" s="17">
        <v>0</v>
      </c>
      <c r="AH348" s="16" t="s">
        <v>58</v>
      </c>
      <c r="AI348" s="16" t="s">
        <v>49</v>
      </c>
      <c r="AJ348" s="16" t="s">
        <v>50</v>
      </c>
      <c r="AK348" s="16" t="s">
        <v>51</v>
      </c>
      <c r="AL348" s="25">
        <v>232000</v>
      </c>
      <c r="AM348" s="43">
        <f t="shared" si="23"/>
        <v>78.71653692804253</v>
      </c>
      <c r="AN348" s="16">
        <v>0</v>
      </c>
      <c r="AO348" s="16" t="s">
        <v>60</v>
      </c>
    </row>
    <row r="349" spans="1:41" ht="14.5" x14ac:dyDescent="0.35">
      <c r="A349" s="27" t="s">
        <v>1176</v>
      </c>
      <c r="B349" s="16" t="s">
        <v>55</v>
      </c>
      <c r="C349" s="16" t="s">
        <v>43</v>
      </c>
      <c r="D349" s="16" t="s">
        <v>44</v>
      </c>
      <c r="E349" s="16" t="s">
        <v>1173</v>
      </c>
      <c r="F349" s="16">
        <v>3</v>
      </c>
      <c r="G349" s="30" t="s">
        <v>1177</v>
      </c>
      <c r="H349" s="16">
        <v>0</v>
      </c>
      <c r="I349" s="16" t="s">
        <v>47</v>
      </c>
      <c r="J349" s="16">
        <v>144.58000000000001</v>
      </c>
      <c r="K349" s="16">
        <v>1502</v>
      </c>
      <c r="L349" s="16">
        <v>565</v>
      </c>
      <c r="M349" s="8">
        <v>34</v>
      </c>
      <c r="N349" s="21">
        <v>45040</v>
      </c>
      <c r="O349" s="7">
        <f t="shared" si="20"/>
        <v>24</v>
      </c>
      <c r="P349" s="22">
        <f t="shared" si="21"/>
        <v>7</v>
      </c>
      <c r="Q349" s="22">
        <f t="shared" si="22"/>
        <v>30</v>
      </c>
      <c r="R349" s="16">
        <v>41</v>
      </c>
      <c r="S349">
        <v>4.5917504570297503</v>
      </c>
      <c r="T349">
        <v>-74.098110187613997</v>
      </c>
      <c r="U349" s="22">
        <v>12737</v>
      </c>
      <c r="V349" s="22">
        <v>13066</v>
      </c>
      <c r="W349" s="25">
        <v>13220</v>
      </c>
      <c r="X349" s="24">
        <v>12920</v>
      </c>
      <c r="Y349" s="24">
        <v>168388</v>
      </c>
      <c r="Z349" s="24">
        <v>168807</v>
      </c>
      <c r="AA349" s="42">
        <v>-1522</v>
      </c>
      <c r="AB349" s="42">
        <v>-478</v>
      </c>
      <c r="AC349" s="24">
        <v>53345</v>
      </c>
      <c r="AD349" s="24">
        <v>54771</v>
      </c>
      <c r="AE349" s="24">
        <v>11314</v>
      </c>
      <c r="AF349" s="24">
        <v>11428</v>
      </c>
      <c r="AG349" s="17">
        <v>0</v>
      </c>
      <c r="AH349" s="16" t="s">
        <v>48</v>
      </c>
      <c r="AI349" s="16" t="s">
        <v>49</v>
      </c>
      <c r="AJ349" s="16" t="s">
        <v>50</v>
      </c>
      <c r="AK349" s="16" t="s">
        <v>51</v>
      </c>
      <c r="AL349" s="25">
        <v>232000</v>
      </c>
      <c r="AM349" s="43">
        <f t="shared" si="23"/>
        <v>78.254253700373482</v>
      </c>
      <c r="AN349" s="16" t="s">
        <v>1178</v>
      </c>
      <c r="AO349" s="16" t="s">
        <v>60</v>
      </c>
    </row>
    <row r="350" spans="1:41" ht="14.5" x14ac:dyDescent="0.35">
      <c r="A350" s="27" t="s">
        <v>1179</v>
      </c>
      <c r="B350" s="16" t="s">
        <v>55</v>
      </c>
      <c r="C350" s="16" t="s">
        <v>93</v>
      </c>
      <c r="D350" s="16" t="s">
        <v>1180</v>
      </c>
      <c r="E350" s="16" t="s">
        <v>1181</v>
      </c>
      <c r="F350" s="16">
        <v>3</v>
      </c>
      <c r="G350" s="30" t="s">
        <v>1182</v>
      </c>
      <c r="H350" s="16">
        <v>0</v>
      </c>
      <c r="I350" s="16" t="s">
        <v>47</v>
      </c>
      <c r="J350" s="16">
        <v>78.569999999999993</v>
      </c>
      <c r="K350" s="16">
        <v>280</v>
      </c>
      <c r="L350" s="16">
        <v>1250</v>
      </c>
      <c r="M350" s="8">
        <v>65</v>
      </c>
      <c r="N350" s="21">
        <v>45339</v>
      </c>
      <c r="O350" s="7">
        <f t="shared" si="20"/>
        <v>17</v>
      </c>
      <c r="P350" s="22">
        <f t="shared" si="21"/>
        <v>13</v>
      </c>
      <c r="Q350" s="22">
        <f t="shared" si="22"/>
        <v>29</v>
      </c>
      <c r="R350" s="16">
        <v>31</v>
      </c>
      <c r="S350">
        <v>4.6506995076116597</v>
      </c>
      <c r="T350">
        <v>-74.413685901189098</v>
      </c>
      <c r="U350" s="22">
        <v>12700</v>
      </c>
      <c r="V350" s="22">
        <v>11713.333329999999</v>
      </c>
      <c r="W350" s="25">
        <v>17208</v>
      </c>
      <c r="X350" s="24">
        <v>17032</v>
      </c>
      <c r="Y350" s="24">
        <v>218540</v>
      </c>
      <c r="Z350" s="24">
        <v>199498</v>
      </c>
      <c r="AA350" s="24">
        <v>12001</v>
      </c>
      <c r="AB350" s="24">
        <v>12686</v>
      </c>
      <c r="AC350" s="24">
        <v>74877</v>
      </c>
      <c r="AD350" s="24">
        <v>70769</v>
      </c>
      <c r="AE350" s="24">
        <v>6634</v>
      </c>
      <c r="AF350" s="24">
        <v>6709</v>
      </c>
      <c r="AG350" s="17">
        <v>0</v>
      </c>
      <c r="AH350" s="16" t="s">
        <v>64</v>
      </c>
      <c r="AI350" s="16" t="s">
        <v>49</v>
      </c>
      <c r="AJ350" s="16" t="s">
        <v>76</v>
      </c>
      <c r="AK350" s="16" t="s">
        <v>51</v>
      </c>
      <c r="AL350" s="25">
        <v>241405</v>
      </c>
      <c r="AM350" s="43">
        <f t="shared" si="23"/>
        <v>84.434262441135303</v>
      </c>
      <c r="AN350" s="16" t="s">
        <v>1183</v>
      </c>
      <c r="AO350" s="16" t="s">
        <v>60</v>
      </c>
    </row>
    <row r="351" spans="1:41" ht="14.5" x14ac:dyDescent="0.35">
      <c r="A351" s="27" t="s">
        <v>1184</v>
      </c>
      <c r="B351" s="16" t="s">
        <v>119</v>
      </c>
      <c r="C351" s="16" t="s">
        <v>120</v>
      </c>
      <c r="D351" s="16" t="s">
        <v>121</v>
      </c>
      <c r="E351" s="16" t="s">
        <v>674</v>
      </c>
      <c r="F351" s="16">
        <v>2</v>
      </c>
      <c r="G351" s="30" t="s">
        <v>1185</v>
      </c>
      <c r="H351" s="16">
        <v>0</v>
      </c>
      <c r="I351" s="16" t="s">
        <v>47</v>
      </c>
      <c r="J351" s="16">
        <v>126.29</v>
      </c>
      <c r="K351" s="16">
        <v>688</v>
      </c>
      <c r="L351" s="16">
        <v>3229</v>
      </c>
      <c r="M351" s="8">
        <v>0</v>
      </c>
      <c r="N351" s="21">
        <v>44705</v>
      </c>
      <c r="O351" s="7">
        <f t="shared" si="20"/>
        <v>24</v>
      </c>
      <c r="P351" s="22">
        <f t="shared" si="21"/>
        <v>8</v>
      </c>
      <c r="Q351" s="22">
        <f t="shared" si="22"/>
        <v>31</v>
      </c>
      <c r="R351" s="16">
        <v>52</v>
      </c>
      <c r="S351">
        <v>7.1387051973812303</v>
      </c>
      <c r="T351">
        <v>-73.120413435248906</v>
      </c>
      <c r="U351" s="22">
        <v>38107</v>
      </c>
      <c r="V351" s="22">
        <v>31005.666669999999</v>
      </c>
      <c r="W351" s="25">
        <v>7915</v>
      </c>
      <c r="X351" s="24">
        <v>8283</v>
      </c>
      <c r="Y351" s="24">
        <v>301610</v>
      </c>
      <c r="Z351" s="24">
        <v>256818</v>
      </c>
      <c r="AA351" s="24">
        <v>43220</v>
      </c>
      <c r="AB351" s="24">
        <v>31525</v>
      </c>
      <c r="AC351" s="24">
        <v>120500</v>
      </c>
      <c r="AD351" s="24">
        <v>101300</v>
      </c>
      <c r="AE351" s="24">
        <v>9751</v>
      </c>
      <c r="AF351" s="24">
        <v>9823</v>
      </c>
      <c r="AG351" s="17">
        <v>0</v>
      </c>
      <c r="AH351" s="16" t="s">
        <v>82</v>
      </c>
      <c r="AI351" s="16" t="s">
        <v>49</v>
      </c>
      <c r="AJ351" s="16" t="s">
        <v>124</v>
      </c>
      <c r="AK351" s="16" t="s">
        <v>51</v>
      </c>
      <c r="AL351" s="25">
        <v>204160</v>
      </c>
      <c r="AM351" s="43">
        <f t="shared" si="23"/>
        <v>77.211180616042441</v>
      </c>
      <c r="AN351" s="16">
        <v>0</v>
      </c>
      <c r="AO351" s="16" t="s">
        <v>53</v>
      </c>
    </row>
    <row r="352" spans="1:41" ht="14.5" x14ac:dyDescent="0.35">
      <c r="A352" s="27" t="s">
        <v>1186</v>
      </c>
      <c r="B352" s="16" t="s">
        <v>55</v>
      </c>
      <c r="C352" s="16" t="s">
        <v>43</v>
      </c>
      <c r="D352" s="16" t="s">
        <v>44</v>
      </c>
      <c r="E352" s="16" t="s">
        <v>372</v>
      </c>
      <c r="F352" s="16">
        <v>3</v>
      </c>
      <c r="G352" s="30" t="s">
        <v>1187</v>
      </c>
      <c r="H352" s="16">
        <v>0</v>
      </c>
      <c r="I352" s="16" t="s">
        <v>47</v>
      </c>
      <c r="J352" s="16">
        <v>111.51</v>
      </c>
      <c r="K352" s="16">
        <v>2525</v>
      </c>
      <c r="L352" s="16">
        <v>1192</v>
      </c>
      <c r="M352" s="8">
        <v>58</v>
      </c>
      <c r="N352" s="21">
        <v>44554</v>
      </c>
      <c r="O352" s="7">
        <f t="shared" si="20"/>
        <v>24</v>
      </c>
      <c r="P352" s="22">
        <f t="shared" si="21"/>
        <v>8</v>
      </c>
      <c r="Q352" s="22">
        <f t="shared" si="22"/>
        <v>31</v>
      </c>
      <c r="R352" s="16">
        <v>57</v>
      </c>
      <c r="S352">
        <v>4.6715862180124503</v>
      </c>
      <c r="T352">
        <v>-74.147927875012599</v>
      </c>
      <c r="U352" s="22">
        <v>20857</v>
      </c>
      <c r="V352" s="22">
        <v>20625.5</v>
      </c>
      <c r="W352" s="25">
        <v>11549</v>
      </c>
      <c r="X352" s="24">
        <v>12289</v>
      </c>
      <c r="Y352" s="24">
        <v>240874</v>
      </c>
      <c r="Z352" s="24">
        <v>253462</v>
      </c>
      <c r="AA352" s="24">
        <v>21899</v>
      </c>
      <c r="AB352" s="24">
        <v>26259</v>
      </c>
      <c r="AC352" s="24">
        <v>76762</v>
      </c>
      <c r="AD352" s="24">
        <v>80855</v>
      </c>
      <c r="AE352" s="24">
        <v>8928</v>
      </c>
      <c r="AF352" s="24">
        <v>9022</v>
      </c>
      <c r="AG352" s="17">
        <v>0</v>
      </c>
      <c r="AH352" s="16" t="s">
        <v>136</v>
      </c>
      <c r="AI352" s="16" t="s">
        <v>49</v>
      </c>
      <c r="AJ352" s="16" t="s">
        <v>76</v>
      </c>
      <c r="AK352" s="16" t="s">
        <v>51</v>
      </c>
      <c r="AL352" s="25">
        <v>241405</v>
      </c>
      <c r="AM352" s="43">
        <f t="shared" si="23"/>
        <v>80.064568200161418</v>
      </c>
      <c r="AN352" s="16" t="s">
        <v>1188</v>
      </c>
      <c r="AO352" s="16" t="s">
        <v>60</v>
      </c>
    </row>
    <row r="353" spans="1:41" ht="14.5" x14ac:dyDescent="0.35">
      <c r="A353" s="27" t="s">
        <v>1189</v>
      </c>
      <c r="B353" s="16" t="s">
        <v>105</v>
      </c>
      <c r="C353" s="16" t="s">
        <v>106</v>
      </c>
      <c r="D353" s="16" t="s">
        <v>298</v>
      </c>
      <c r="E353" s="16" t="s">
        <v>373</v>
      </c>
      <c r="F353" s="16">
        <v>4</v>
      </c>
      <c r="G353" s="30" t="s">
        <v>1190</v>
      </c>
      <c r="H353" s="16">
        <v>0</v>
      </c>
      <c r="I353" s="16" t="s">
        <v>47</v>
      </c>
      <c r="J353" s="16">
        <v>161.21</v>
      </c>
      <c r="K353" s="16">
        <v>1075</v>
      </c>
      <c r="L353" s="16">
        <v>390</v>
      </c>
      <c r="M353" s="8">
        <v>60</v>
      </c>
      <c r="N353" s="21">
        <v>45441</v>
      </c>
      <c r="O353" s="7">
        <f t="shared" si="20"/>
        <v>29</v>
      </c>
      <c r="P353" s="22">
        <f t="shared" si="21"/>
        <v>3</v>
      </c>
      <c r="Q353" s="22">
        <f t="shared" si="22"/>
        <v>31</v>
      </c>
      <c r="R353" s="16">
        <v>28</v>
      </c>
      <c r="S353">
        <v>4.8055461277113203</v>
      </c>
      <c r="T353">
        <v>-75.696875827705597</v>
      </c>
      <c r="U353" s="22">
        <v>12044</v>
      </c>
      <c r="V353" s="22">
        <v>12504.833329999999</v>
      </c>
      <c r="W353" s="25">
        <v>13830</v>
      </c>
      <c r="X353" s="24">
        <v>13298</v>
      </c>
      <c r="Y353" s="24">
        <v>166567</v>
      </c>
      <c r="Z353" s="24">
        <v>166294</v>
      </c>
      <c r="AA353" s="24">
        <v>-13590</v>
      </c>
      <c r="AB353" s="42">
        <v>168</v>
      </c>
      <c r="AC353" s="24">
        <v>55437</v>
      </c>
      <c r="AD353" s="24">
        <v>60203</v>
      </c>
      <c r="AE353" s="24">
        <v>9730</v>
      </c>
      <c r="AF353" s="24">
        <v>9689</v>
      </c>
      <c r="AG353" s="17">
        <v>0</v>
      </c>
      <c r="AH353" s="16" t="s">
        <v>48</v>
      </c>
      <c r="AI353" s="16" t="s">
        <v>49</v>
      </c>
      <c r="AJ353" s="16" t="s">
        <v>50</v>
      </c>
      <c r="AK353" s="16" t="s">
        <v>51</v>
      </c>
      <c r="AL353" s="25">
        <v>232000</v>
      </c>
      <c r="AM353" s="43">
        <f t="shared" si="23"/>
        <v>60.356057316543634</v>
      </c>
      <c r="AN353" s="16" t="s">
        <v>192</v>
      </c>
      <c r="AO353" s="16" t="s">
        <v>53</v>
      </c>
    </row>
    <row r="354" spans="1:41" ht="14.5" x14ac:dyDescent="0.35">
      <c r="A354" s="27" t="s">
        <v>1191</v>
      </c>
      <c r="B354" s="16" t="s">
        <v>55</v>
      </c>
      <c r="C354" s="16" t="s">
        <v>43</v>
      </c>
      <c r="D354" s="16" t="s">
        <v>44</v>
      </c>
      <c r="E354" s="16" t="s">
        <v>531</v>
      </c>
      <c r="F354" s="16">
        <v>3</v>
      </c>
      <c r="G354" s="30" t="s">
        <v>1192</v>
      </c>
      <c r="H354" s="16">
        <v>0</v>
      </c>
      <c r="I354" s="16" t="s">
        <v>47</v>
      </c>
      <c r="J354" s="16">
        <v>117.47</v>
      </c>
      <c r="K354" s="16">
        <v>1144</v>
      </c>
      <c r="L354" s="16">
        <v>1509</v>
      </c>
      <c r="M354" s="8">
        <v>0</v>
      </c>
      <c r="N354" s="21">
        <v>44824</v>
      </c>
      <c r="O354" s="7">
        <f t="shared" si="20"/>
        <v>20</v>
      </c>
      <c r="P354" s="22">
        <f t="shared" si="21"/>
        <v>11</v>
      </c>
      <c r="Q354" s="22">
        <f t="shared" si="22"/>
        <v>30</v>
      </c>
      <c r="R354" s="16">
        <v>48</v>
      </c>
      <c r="S354">
        <v>4.6633146106601497</v>
      </c>
      <c r="T354">
        <v>-74.072726155431397</v>
      </c>
      <c r="U354" s="22">
        <v>18582</v>
      </c>
      <c r="V354" s="22">
        <v>18898</v>
      </c>
      <c r="W354" s="25">
        <v>12133</v>
      </c>
      <c r="X354" s="24">
        <v>12154</v>
      </c>
      <c r="Y354" s="24">
        <v>225446</v>
      </c>
      <c r="Z354" s="24">
        <v>229686</v>
      </c>
      <c r="AA354" s="24">
        <v>23819</v>
      </c>
      <c r="AB354" s="24">
        <v>21640</v>
      </c>
      <c r="AC354" s="24">
        <v>78541</v>
      </c>
      <c r="AD354" s="24">
        <v>76572</v>
      </c>
      <c r="AE354" s="24">
        <v>6141</v>
      </c>
      <c r="AF354" s="24">
        <v>5968</v>
      </c>
      <c r="AG354" s="17">
        <v>0</v>
      </c>
      <c r="AH354" s="16" t="s">
        <v>48</v>
      </c>
      <c r="AI354" s="16" t="s">
        <v>49</v>
      </c>
      <c r="AJ354" s="16" t="s">
        <v>50</v>
      </c>
      <c r="AK354" s="16" t="s">
        <v>51</v>
      </c>
      <c r="AL354" s="25">
        <v>232000</v>
      </c>
      <c r="AM354" s="43">
        <f t="shared" si="23"/>
        <v>52.277177151613181</v>
      </c>
      <c r="AN354" s="16">
        <v>0</v>
      </c>
      <c r="AO354" s="16" t="s">
        <v>60</v>
      </c>
    </row>
    <row r="355" spans="1:41" ht="14.5" x14ac:dyDescent="0.35">
      <c r="A355" s="27" t="s">
        <v>1193</v>
      </c>
      <c r="B355" s="16" t="s">
        <v>105</v>
      </c>
      <c r="C355" s="16" t="s">
        <v>157</v>
      </c>
      <c r="D355" s="16" t="s">
        <v>158</v>
      </c>
      <c r="E355" s="16" t="s">
        <v>818</v>
      </c>
      <c r="F355" s="16">
        <v>4</v>
      </c>
      <c r="G355" s="30" t="s">
        <v>1194</v>
      </c>
      <c r="H355" s="16" t="s">
        <v>1195</v>
      </c>
      <c r="I355" s="16" t="s">
        <v>47</v>
      </c>
      <c r="J355" s="16">
        <v>75.48</v>
      </c>
      <c r="K355" s="16">
        <v>1567</v>
      </c>
      <c r="L355" s="16">
        <v>1330</v>
      </c>
      <c r="M355" s="8">
        <v>185</v>
      </c>
      <c r="N355" s="21">
        <v>45920</v>
      </c>
      <c r="O355" s="7">
        <f t="shared" si="20"/>
        <v>20</v>
      </c>
      <c r="P355" s="22">
        <f t="shared" si="21"/>
        <v>11</v>
      </c>
      <c r="Q355" s="22">
        <f t="shared" si="22"/>
        <v>30</v>
      </c>
      <c r="R355" s="16">
        <v>12</v>
      </c>
      <c r="S355">
        <v>6.24438017683637</v>
      </c>
      <c r="T355">
        <v>-75.576718376213194</v>
      </c>
      <c r="U355" s="22">
        <v>12614</v>
      </c>
      <c r="V355" s="22">
        <v>11937.666670000001</v>
      </c>
      <c r="W355" s="25">
        <v>15672</v>
      </c>
      <c r="X355" s="24">
        <v>15136</v>
      </c>
      <c r="Y355" s="24">
        <v>197692</v>
      </c>
      <c r="Z355" s="24">
        <v>180693</v>
      </c>
      <c r="AA355" s="24">
        <v>8689</v>
      </c>
      <c r="AB355" s="24">
        <v>12821</v>
      </c>
      <c r="AC355" s="24">
        <v>66116</v>
      </c>
      <c r="AD355" s="24">
        <v>65680</v>
      </c>
      <c r="AE355" s="24">
        <v>11561</v>
      </c>
      <c r="AF355" s="24">
        <v>11336</v>
      </c>
      <c r="AG355" s="17">
        <v>1.3693</v>
      </c>
      <c r="AH355" s="16" t="s">
        <v>136</v>
      </c>
      <c r="AI355" s="16" t="s">
        <v>49</v>
      </c>
      <c r="AJ355" s="16" t="s">
        <v>76</v>
      </c>
      <c r="AK355" s="16" t="s">
        <v>71</v>
      </c>
      <c r="AL355" s="25">
        <v>241405</v>
      </c>
      <c r="AM355" s="43">
        <f t="shared" si="23"/>
        <v>153.16640169581345</v>
      </c>
      <c r="AN355" s="16" t="s">
        <v>1196</v>
      </c>
      <c r="AO355" s="16" t="s">
        <v>98</v>
      </c>
    </row>
    <row r="356" spans="1:41" ht="14.5" x14ac:dyDescent="0.35">
      <c r="A356" s="27" t="s">
        <v>1197</v>
      </c>
      <c r="B356" s="16" t="s">
        <v>105</v>
      </c>
      <c r="C356" s="16" t="s">
        <v>157</v>
      </c>
      <c r="D356" s="16" t="s">
        <v>158</v>
      </c>
      <c r="E356" s="16" t="s">
        <v>159</v>
      </c>
      <c r="F356" s="16">
        <v>4</v>
      </c>
      <c r="G356" s="30" t="s">
        <v>1198</v>
      </c>
      <c r="H356" s="16" t="s">
        <v>1199</v>
      </c>
      <c r="I356" s="16" t="s">
        <v>47</v>
      </c>
      <c r="J356" s="16">
        <v>109.91</v>
      </c>
      <c r="K356" s="16">
        <v>1333</v>
      </c>
      <c r="L356" s="16">
        <v>4796</v>
      </c>
      <c r="M356" s="8">
        <v>114</v>
      </c>
      <c r="N356" s="21">
        <v>45657</v>
      </c>
      <c r="O356" s="7">
        <f t="shared" si="20"/>
        <v>31</v>
      </c>
      <c r="P356" s="22">
        <f t="shared" si="21"/>
        <v>1</v>
      </c>
      <c r="Q356" s="22">
        <f t="shared" si="22"/>
        <v>31</v>
      </c>
      <c r="R356" s="16">
        <v>23</v>
      </c>
      <c r="S356">
        <v>6.24884617109897</v>
      </c>
      <c r="T356">
        <v>-75.563303176816902</v>
      </c>
      <c r="U356" s="22">
        <v>22434</v>
      </c>
      <c r="V356" s="22">
        <v>21769</v>
      </c>
      <c r="W356" s="25">
        <v>11191</v>
      </c>
      <c r="X356" s="24">
        <v>11264</v>
      </c>
      <c r="Y356" s="24">
        <v>251069</v>
      </c>
      <c r="Z356" s="24">
        <v>245197</v>
      </c>
      <c r="AA356" s="24">
        <v>23987</v>
      </c>
      <c r="AB356" s="24">
        <v>24338</v>
      </c>
      <c r="AC356" s="24">
        <v>98696</v>
      </c>
      <c r="AD356" s="24">
        <v>95875</v>
      </c>
      <c r="AE356" s="24">
        <v>15479</v>
      </c>
      <c r="AF356" s="24">
        <v>15025</v>
      </c>
      <c r="AG356" s="17">
        <v>0</v>
      </c>
      <c r="AH356" s="16" t="s">
        <v>48</v>
      </c>
      <c r="AI356" s="16" t="s">
        <v>49</v>
      </c>
      <c r="AJ356" s="16" t="s">
        <v>50</v>
      </c>
      <c r="AK356" s="16" t="s">
        <v>51</v>
      </c>
      <c r="AL356" s="25">
        <v>232000</v>
      </c>
      <c r="AM356" s="43">
        <f t="shared" si="23"/>
        <v>140.83340915294332</v>
      </c>
      <c r="AN356" s="16" t="s">
        <v>87</v>
      </c>
      <c r="AO356" s="16" t="s">
        <v>98</v>
      </c>
    </row>
    <row r="357" spans="1:41" ht="14.5" x14ac:dyDescent="0.35">
      <c r="A357" s="27" t="s">
        <v>1200</v>
      </c>
      <c r="B357" s="16" t="s">
        <v>105</v>
      </c>
      <c r="C357" s="16" t="s">
        <v>106</v>
      </c>
      <c r="D357" s="16" t="s">
        <v>107</v>
      </c>
      <c r="E357" s="16" t="s">
        <v>291</v>
      </c>
      <c r="F357" s="16">
        <v>4</v>
      </c>
      <c r="G357" s="30" t="s">
        <v>1201</v>
      </c>
      <c r="H357" s="16" t="s">
        <v>1202</v>
      </c>
      <c r="I357" s="16" t="s">
        <v>102</v>
      </c>
      <c r="J357" s="16">
        <v>163.41</v>
      </c>
      <c r="K357" s="16">
        <v>1860</v>
      </c>
      <c r="L357" s="16">
        <v>1380</v>
      </c>
      <c r="M357" s="8">
        <v>180</v>
      </c>
      <c r="N357" s="21">
        <v>45808</v>
      </c>
      <c r="O357" s="7">
        <f t="shared" si="20"/>
        <v>31</v>
      </c>
      <c r="P357" s="22">
        <f t="shared" si="21"/>
        <v>1</v>
      </c>
      <c r="Q357" s="22">
        <f t="shared" si="22"/>
        <v>31</v>
      </c>
      <c r="R357" s="16">
        <v>16</v>
      </c>
      <c r="S357">
        <v>4.8263134992302703</v>
      </c>
      <c r="T357">
        <v>-75.678376632200397</v>
      </c>
      <c r="U357" s="22">
        <v>16560</v>
      </c>
      <c r="V357" s="22">
        <v>14766</v>
      </c>
      <c r="W357" s="25">
        <v>13837</v>
      </c>
      <c r="X357" s="24">
        <v>13171</v>
      </c>
      <c r="Y357" s="24">
        <v>229138</v>
      </c>
      <c r="Z357" s="24">
        <v>194484</v>
      </c>
      <c r="AA357" s="24">
        <v>9413</v>
      </c>
      <c r="AB357" s="24">
        <v>11326</v>
      </c>
      <c r="AC357" s="24">
        <v>82788</v>
      </c>
      <c r="AD357" s="24">
        <v>69749</v>
      </c>
      <c r="AE357" s="24">
        <v>8671</v>
      </c>
      <c r="AF357" s="24">
        <v>8674</v>
      </c>
      <c r="AG357" s="17">
        <v>1.4329000000000001</v>
      </c>
      <c r="AH357" s="16" t="s">
        <v>58</v>
      </c>
      <c r="AI357" s="16" t="s">
        <v>49</v>
      </c>
      <c r="AJ357" s="16" t="s">
        <v>124</v>
      </c>
      <c r="AK357" s="16" t="s">
        <v>51</v>
      </c>
      <c r="AL357" s="25">
        <v>204160</v>
      </c>
      <c r="AM357" s="43">
        <f t="shared" si="23"/>
        <v>53.06284805091488</v>
      </c>
      <c r="AN357" s="16" t="s">
        <v>1203</v>
      </c>
      <c r="AO357" s="16" t="s">
        <v>60</v>
      </c>
    </row>
    <row r="358" spans="1:41" ht="14.5" x14ac:dyDescent="0.35">
      <c r="A358" s="27" t="s">
        <v>1204</v>
      </c>
      <c r="B358" s="16" t="s">
        <v>55</v>
      </c>
      <c r="C358" s="16" t="s">
        <v>93</v>
      </c>
      <c r="D358" s="16" t="s">
        <v>846</v>
      </c>
      <c r="E358" s="16" t="s">
        <v>847</v>
      </c>
      <c r="F358" s="16">
        <v>3</v>
      </c>
      <c r="G358" s="30" t="s">
        <v>1205</v>
      </c>
      <c r="H358" s="16">
        <v>0</v>
      </c>
      <c r="I358" s="16" t="s">
        <v>47</v>
      </c>
      <c r="J358" s="16">
        <v>116.95</v>
      </c>
      <c r="K358" s="16">
        <v>2009</v>
      </c>
      <c r="L358" s="16">
        <v>2360</v>
      </c>
      <c r="M358" s="8">
        <v>75</v>
      </c>
      <c r="N358" s="21">
        <v>45196</v>
      </c>
      <c r="O358" s="7">
        <f t="shared" si="20"/>
        <v>27</v>
      </c>
      <c r="P358" s="22">
        <f t="shared" si="21"/>
        <v>4</v>
      </c>
      <c r="Q358" s="22">
        <f t="shared" si="22"/>
        <v>30</v>
      </c>
      <c r="R358" s="16">
        <v>36</v>
      </c>
      <c r="S358">
        <v>4.7041918423939801</v>
      </c>
      <c r="T358">
        <v>-74.231601324272404</v>
      </c>
      <c r="U358" s="22">
        <v>22873</v>
      </c>
      <c r="V358" s="22">
        <v>22150</v>
      </c>
      <c r="W358" s="25">
        <v>14598</v>
      </c>
      <c r="X358" s="24">
        <v>14696</v>
      </c>
      <c r="Y358" s="24">
        <v>333894</v>
      </c>
      <c r="Z358" s="24">
        <v>325509</v>
      </c>
      <c r="AA358" s="24">
        <v>48843</v>
      </c>
      <c r="AB358" s="24">
        <v>44976</v>
      </c>
      <c r="AC358" s="24">
        <v>123852</v>
      </c>
      <c r="AD358" s="24">
        <v>115026</v>
      </c>
      <c r="AE358" s="24">
        <v>9104</v>
      </c>
      <c r="AF358" s="24">
        <v>9084</v>
      </c>
      <c r="AG358" s="17">
        <v>0</v>
      </c>
      <c r="AH358" s="16" t="s">
        <v>198</v>
      </c>
      <c r="AI358" s="16" t="s">
        <v>49</v>
      </c>
      <c r="AJ358" s="16" t="s">
        <v>50</v>
      </c>
      <c r="AK358" s="16" t="s">
        <v>51</v>
      </c>
      <c r="AL358" s="25">
        <v>232000</v>
      </c>
      <c r="AM358" s="43">
        <f t="shared" si="23"/>
        <v>77.84523300555793</v>
      </c>
      <c r="AN358" s="16">
        <v>0</v>
      </c>
      <c r="AO358" s="16" t="s">
        <v>60</v>
      </c>
    </row>
    <row r="359" spans="1:41" ht="14.5" x14ac:dyDescent="0.35">
      <c r="A359" s="27" t="s">
        <v>1206</v>
      </c>
      <c r="B359" s="16" t="s">
        <v>55</v>
      </c>
      <c r="C359" s="16" t="s">
        <v>43</v>
      </c>
      <c r="D359" s="16" t="s">
        <v>44</v>
      </c>
      <c r="E359" s="16" t="s">
        <v>1207</v>
      </c>
      <c r="F359" s="16">
        <v>2</v>
      </c>
      <c r="G359" s="30" t="s">
        <v>1208</v>
      </c>
      <c r="H359" s="16" t="s">
        <v>1209</v>
      </c>
      <c r="I359" s="16" t="s">
        <v>47</v>
      </c>
      <c r="J359" s="16">
        <v>97.52</v>
      </c>
      <c r="K359" s="16">
        <v>2541</v>
      </c>
      <c r="L359" s="16">
        <v>537</v>
      </c>
      <c r="M359" s="8">
        <v>118</v>
      </c>
      <c r="N359" s="21">
        <v>45619</v>
      </c>
      <c r="O359" s="7">
        <f t="shared" si="20"/>
        <v>23</v>
      </c>
      <c r="P359" s="22">
        <f t="shared" si="21"/>
        <v>8</v>
      </c>
      <c r="Q359" s="22">
        <f t="shared" si="22"/>
        <v>30</v>
      </c>
      <c r="R359" s="16">
        <v>22</v>
      </c>
      <c r="S359">
        <v>4.7083698130646798</v>
      </c>
      <c r="T359">
        <v>-74.129458808776604</v>
      </c>
      <c r="U359" s="22">
        <v>11184</v>
      </c>
      <c r="V359" s="22">
        <v>11638.833329999999</v>
      </c>
      <c r="W359" s="25">
        <v>16225</v>
      </c>
      <c r="X359" s="24">
        <v>15927</v>
      </c>
      <c r="Y359" s="24">
        <v>181462</v>
      </c>
      <c r="Z359" s="24">
        <v>185371</v>
      </c>
      <c r="AA359" s="24">
        <v>4534</v>
      </c>
      <c r="AB359" s="24">
        <v>5680</v>
      </c>
      <c r="AC359" s="24">
        <v>55309</v>
      </c>
      <c r="AD359" s="24">
        <v>55752</v>
      </c>
      <c r="AE359" s="24">
        <v>7024</v>
      </c>
      <c r="AF359" s="24">
        <v>6945</v>
      </c>
      <c r="AG359" s="17">
        <v>0</v>
      </c>
      <c r="AH359" s="16" t="s">
        <v>48</v>
      </c>
      <c r="AI359" s="16" t="s">
        <v>49</v>
      </c>
      <c r="AJ359" s="16" t="s">
        <v>50</v>
      </c>
      <c r="AK359" s="16" t="s">
        <v>51</v>
      </c>
      <c r="AL359" s="25">
        <v>232000</v>
      </c>
      <c r="AM359" s="43">
        <f t="shared" si="23"/>
        <v>72.026251025430682</v>
      </c>
      <c r="AN359" s="16" t="s">
        <v>379</v>
      </c>
      <c r="AO359" s="16" t="s">
        <v>60</v>
      </c>
    </row>
    <row r="360" spans="1:41" ht="14.5" x14ac:dyDescent="0.35">
      <c r="A360" s="27" t="s">
        <v>1210</v>
      </c>
      <c r="B360" s="16" t="s">
        <v>55</v>
      </c>
      <c r="C360" s="16" t="s">
        <v>419</v>
      </c>
      <c r="D360" s="16" t="s">
        <v>420</v>
      </c>
      <c r="E360" s="16" t="s">
        <v>1211</v>
      </c>
      <c r="F360" s="16">
        <v>4</v>
      </c>
      <c r="G360" s="30" t="s">
        <v>1212</v>
      </c>
      <c r="H360" s="16" t="s">
        <v>1213</v>
      </c>
      <c r="I360" s="16" t="s">
        <v>47</v>
      </c>
      <c r="J360" s="16">
        <v>151.84</v>
      </c>
      <c r="K360" s="16">
        <v>792</v>
      </c>
      <c r="L360" s="16">
        <v>2300</v>
      </c>
      <c r="M360" s="8">
        <v>52</v>
      </c>
      <c r="N360" s="21">
        <v>45534</v>
      </c>
      <c r="O360" s="7">
        <f t="shared" si="20"/>
        <v>30</v>
      </c>
      <c r="P360" s="22">
        <f t="shared" si="21"/>
        <v>2</v>
      </c>
      <c r="Q360" s="22">
        <f t="shared" si="22"/>
        <v>31</v>
      </c>
      <c r="R360" s="16">
        <v>25</v>
      </c>
      <c r="S360">
        <v>4.42540633908696</v>
      </c>
      <c r="T360">
        <v>-75.175949071484894</v>
      </c>
      <c r="U360" s="22">
        <v>29786</v>
      </c>
      <c r="V360" s="22">
        <v>27019.5</v>
      </c>
      <c r="W360" s="25">
        <v>13068</v>
      </c>
      <c r="X360" s="24">
        <v>13507</v>
      </c>
      <c r="Y360" s="24">
        <v>389255</v>
      </c>
      <c r="Z360" s="24">
        <v>364957</v>
      </c>
      <c r="AA360" s="24">
        <v>60536</v>
      </c>
      <c r="AB360" s="24">
        <v>57411</v>
      </c>
      <c r="AC360" s="24">
        <v>148421</v>
      </c>
      <c r="AD360" s="24">
        <v>139236</v>
      </c>
      <c r="AE360" s="24">
        <v>8845</v>
      </c>
      <c r="AF360" s="24">
        <v>8577</v>
      </c>
      <c r="AG360" s="17">
        <v>0</v>
      </c>
      <c r="AH360" s="16" t="s">
        <v>64</v>
      </c>
      <c r="AI360" s="16" t="s">
        <v>49</v>
      </c>
      <c r="AJ360" s="16" t="s">
        <v>124</v>
      </c>
      <c r="AK360" s="16" t="s">
        <v>51</v>
      </c>
      <c r="AL360" s="25">
        <v>204160</v>
      </c>
      <c r="AM360" s="43">
        <f t="shared" si="23"/>
        <v>58.252107481559534</v>
      </c>
      <c r="AN360" s="16">
        <v>0</v>
      </c>
      <c r="AO360" s="16" t="s">
        <v>60</v>
      </c>
    </row>
    <row r="361" spans="1:41" ht="14.5" x14ac:dyDescent="0.35">
      <c r="A361" s="27" t="s">
        <v>1214</v>
      </c>
      <c r="B361" s="16" t="s">
        <v>42</v>
      </c>
      <c r="C361" s="16" t="s">
        <v>43</v>
      </c>
      <c r="D361" s="16" t="s">
        <v>44</v>
      </c>
      <c r="E361" s="16" t="s">
        <v>1215</v>
      </c>
      <c r="F361" s="16">
        <v>3</v>
      </c>
      <c r="G361" s="30" t="s">
        <v>1216</v>
      </c>
      <c r="H361" s="16">
        <v>0</v>
      </c>
      <c r="I361" s="16" t="s">
        <v>47</v>
      </c>
      <c r="J361" s="16">
        <v>81.650000000000006</v>
      </c>
      <c r="K361" s="16">
        <v>1926</v>
      </c>
      <c r="L361" s="16">
        <v>694</v>
      </c>
      <c r="M361" s="8">
        <v>105</v>
      </c>
      <c r="N361" s="21">
        <v>45644</v>
      </c>
      <c r="O361" s="7">
        <f t="shared" si="20"/>
        <v>18</v>
      </c>
      <c r="P361" s="22">
        <f t="shared" si="21"/>
        <v>14</v>
      </c>
      <c r="Q361" s="22">
        <f t="shared" si="22"/>
        <v>31</v>
      </c>
      <c r="R361" s="16">
        <v>21</v>
      </c>
      <c r="S361">
        <v>4.7528605567346398</v>
      </c>
      <c r="T361">
        <v>-74.043572048285299</v>
      </c>
      <c r="U361" s="22">
        <v>16913</v>
      </c>
      <c r="V361" s="22">
        <v>16026.666670000001</v>
      </c>
      <c r="W361" s="25">
        <v>12154</v>
      </c>
      <c r="X361" s="24">
        <v>12218</v>
      </c>
      <c r="Y361" s="24">
        <v>205561</v>
      </c>
      <c r="Z361" s="24">
        <v>195812</v>
      </c>
      <c r="AA361" s="24">
        <v>11696</v>
      </c>
      <c r="AB361" s="24">
        <v>12007</v>
      </c>
      <c r="AC361" s="24">
        <v>71336</v>
      </c>
      <c r="AD361" s="24">
        <v>66142</v>
      </c>
      <c r="AE361" s="24">
        <v>8942</v>
      </c>
      <c r="AF361" s="24">
        <v>9036</v>
      </c>
      <c r="AG361" s="17">
        <v>0</v>
      </c>
      <c r="AH361" s="16" t="s">
        <v>48</v>
      </c>
      <c r="AI361" s="16" t="s">
        <v>49</v>
      </c>
      <c r="AJ361" s="16" t="s">
        <v>50</v>
      </c>
      <c r="AK361" s="16" t="s">
        <v>51</v>
      </c>
      <c r="AL361" s="25">
        <v>232000</v>
      </c>
      <c r="AM361" s="43">
        <f t="shared" si="23"/>
        <v>109.51622780159215</v>
      </c>
      <c r="AN361" s="16" t="s">
        <v>1109</v>
      </c>
      <c r="AO361" s="16" t="s">
        <v>60</v>
      </c>
    </row>
    <row r="362" spans="1:41" ht="14.5" x14ac:dyDescent="0.35">
      <c r="A362" s="27" t="s">
        <v>1217</v>
      </c>
      <c r="B362" s="16" t="s">
        <v>119</v>
      </c>
      <c r="C362" s="16" t="s">
        <v>120</v>
      </c>
      <c r="D362" s="16" t="s">
        <v>121</v>
      </c>
      <c r="E362" s="16" t="s">
        <v>650</v>
      </c>
      <c r="F362" s="16">
        <v>4</v>
      </c>
      <c r="G362" s="30" t="s">
        <v>1218</v>
      </c>
      <c r="H362" s="16">
        <v>0</v>
      </c>
      <c r="I362" s="16" t="s">
        <v>47</v>
      </c>
      <c r="J362" s="16">
        <v>147</v>
      </c>
      <c r="K362" s="16">
        <v>1457</v>
      </c>
      <c r="L362" s="16">
        <v>120</v>
      </c>
      <c r="M362" s="8">
        <v>91</v>
      </c>
      <c r="N362" s="21">
        <v>45227</v>
      </c>
      <c r="O362" s="7">
        <f t="shared" si="20"/>
        <v>28</v>
      </c>
      <c r="P362" s="22">
        <f t="shared" si="21"/>
        <v>4</v>
      </c>
      <c r="Q362" s="22">
        <f t="shared" si="22"/>
        <v>31</v>
      </c>
      <c r="R362" s="16">
        <v>35</v>
      </c>
      <c r="S362">
        <v>7.0998238131134803</v>
      </c>
      <c r="T362">
        <v>-73.116452484796895</v>
      </c>
      <c r="U362" s="22">
        <v>21498</v>
      </c>
      <c r="V362" s="22">
        <v>19670.833330000001</v>
      </c>
      <c r="W362" s="25">
        <v>10869</v>
      </c>
      <c r="X362" s="24">
        <v>11501</v>
      </c>
      <c r="Y362" s="24">
        <v>233652</v>
      </c>
      <c r="Z362" s="24">
        <v>226225</v>
      </c>
      <c r="AA362" s="24">
        <v>19628</v>
      </c>
      <c r="AB362" s="24">
        <v>20534</v>
      </c>
      <c r="AC362" s="24">
        <v>84802</v>
      </c>
      <c r="AD362" s="24">
        <v>81155</v>
      </c>
      <c r="AE362" s="24">
        <v>8692</v>
      </c>
      <c r="AF362" s="24">
        <v>8784</v>
      </c>
      <c r="AG362" s="17">
        <v>0</v>
      </c>
      <c r="AH362" s="16" t="s">
        <v>58</v>
      </c>
      <c r="AI362" s="16" t="s">
        <v>49</v>
      </c>
      <c r="AJ362" s="16" t="s">
        <v>124</v>
      </c>
      <c r="AK362" s="16" t="s">
        <v>51</v>
      </c>
      <c r="AL362" s="25">
        <v>204160</v>
      </c>
      <c r="AM362" s="43">
        <f t="shared" si="23"/>
        <v>59.129251700680271</v>
      </c>
      <c r="AN362" s="16" t="s">
        <v>1219</v>
      </c>
      <c r="AO362" s="16" t="s">
        <v>60</v>
      </c>
    </row>
    <row r="363" spans="1:41" ht="14.5" x14ac:dyDescent="0.35">
      <c r="A363" s="27" t="s">
        <v>1220</v>
      </c>
      <c r="B363" s="16" t="s">
        <v>119</v>
      </c>
      <c r="C363" s="16" t="s">
        <v>120</v>
      </c>
      <c r="D363" s="16" t="s">
        <v>1134</v>
      </c>
      <c r="E363" s="16" t="s">
        <v>1135</v>
      </c>
      <c r="F363" s="16">
        <v>3</v>
      </c>
      <c r="G363" s="30" t="s">
        <v>1221</v>
      </c>
      <c r="H363" s="16">
        <v>0</v>
      </c>
      <c r="I363" s="16" t="s">
        <v>47</v>
      </c>
      <c r="J363" s="16">
        <v>226</v>
      </c>
      <c r="K363" s="16">
        <v>661</v>
      </c>
      <c r="L363" s="16">
        <v>706</v>
      </c>
      <c r="M363" s="8">
        <v>40</v>
      </c>
      <c r="N363" s="21">
        <v>45443</v>
      </c>
      <c r="O363" s="7">
        <f t="shared" si="20"/>
        <v>31</v>
      </c>
      <c r="P363" s="22">
        <f t="shared" si="21"/>
        <v>1</v>
      </c>
      <c r="Q363" s="22">
        <f t="shared" si="22"/>
        <v>31</v>
      </c>
      <c r="R363" s="16">
        <v>28</v>
      </c>
      <c r="S363">
        <v>7.0602995467659397</v>
      </c>
      <c r="T363">
        <v>-73.854300161373104</v>
      </c>
      <c r="U363" s="22">
        <v>22392</v>
      </c>
      <c r="V363" s="22">
        <v>20815</v>
      </c>
      <c r="W363" s="25">
        <v>10643</v>
      </c>
      <c r="X363" s="24">
        <v>11121</v>
      </c>
      <c r="Y363" s="24">
        <v>238306</v>
      </c>
      <c r="Z363" s="24">
        <v>231475</v>
      </c>
      <c r="AA363" s="24">
        <v>28085</v>
      </c>
      <c r="AB363" s="24">
        <v>27065</v>
      </c>
      <c r="AC363" s="24">
        <v>97425</v>
      </c>
      <c r="AD363" s="24">
        <v>92998</v>
      </c>
      <c r="AE363" s="24">
        <v>7265</v>
      </c>
      <c r="AF363" s="24">
        <v>7151</v>
      </c>
      <c r="AG363" s="17">
        <v>0</v>
      </c>
      <c r="AH363" s="16" t="s">
        <v>58</v>
      </c>
      <c r="AI363" s="16" t="s">
        <v>49</v>
      </c>
      <c r="AJ363" s="16" t="s">
        <v>124</v>
      </c>
      <c r="AK363" s="16" t="s">
        <v>51</v>
      </c>
      <c r="AL363" s="25">
        <v>204160</v>
      </c>
      <c r="AM363" s="43">
        <f t="shared" si="23"/>
        <v>32.146017699115042</v>
      </c>
      <c r="AN363" s="16" t="s">
        <v>1222</v>
      </c>
      <c r="AO363" s="16" t="s">
        <v>53</v>
      </c>
    </row>
    <row r="364" spans="1:41" ht="14.5" x14ac:dyDescent="0.35">
      <c r="A364" s="27" t="s">
        <v>1223</v>
      </c>
      <c r="B364" s="16" t="s">
        <v>42</v>
      </c>
      <c r="C364" s="16" t="s">
        <v>43</v>
      </c>
      <c r="D364" s="16" t="s">
        <v>44</v>
      </c>
      <c r="E364" s="16" t="s">
        <v>68</v>
      </c>
      <c r="F364" s="16">
        <v>5</v>
      </c>
      <c r="G364" s="30" t="s">
        <v>1224</v>
      </c>
      <c r="H364" s="16">
        <v>0</v>
      </c>
      <c r="I364" s="16" t="s">
        <v>47</v>
      </c>
      <c r="J364" s="16">
        <v>202.18</v>
      </c>
      <c r="K364" s="16">
        <v>82</v>
      </c>
      <c r="L364" s="16">
        <v>15157</v>
      </c>
      <c r="M364" s="8">
        <v>0</v>
      </c>
      <c r="N364" s="21">
        <v>42359</v>
      </c>
      <c r="O364" s="7">
        <f t="shared" si="20"/>
        <v>21</v>
      </c>
      <c r="P364" s="22">
        <f t="shared" si="21"/>
        <v>11</v>
      </c>
      <c r="Q364" s="22">
        <f t="shared" si="22"/>
        <v>31</v>
      </c>
      <c r="R364" s="16">
        <v>116</v>
      </c>
      <c r="S364">
        <v>4.6661296102788201</v>
      </c>
      <c r="T364">
        <v>-74.056387812881795</v>
      </c>
      <c r="U364" s="22">
        <v>44287</v>
      </c>
      <c r="V364" s="22">
        <v>42516.833330000001</v>
      </c>
      <c r="W364" s="25">
        <v>11288</v>
      </c>
      <c r="X364" s="24">
        <v>11532</v>
      </c>
      <c r="Y364" s="24">
        <v>499900</v>
      </c>
      <c r="Z364" s="24">
        <v>490297</v>
      </c>
      <c r="AA364" s="24">
        <v>78840</v>
      </c>
      <c r="AB364" s="24">
        <v>79572</v>
      </c>
      <c r="AC364" s="24">
        <v>194362</v>
      </c>
      <c r="AD364" s="24">
        <v>186859</v>
      </c>
      <c r="AE364" s="24">
        <v>25849</v>
      </c>
      <c r="AF364" s="24">
        <v>25126</v>
      </c>
      <c r="AG364" s="17">
        <v>0</v>
      </c>
      <c r="AH364" s="16" t="s">
        <v>58</v>
      </c>
      <c r="AI364" s="16" t="s">
        <v>49</v>
      </c>
      <c r="AJ364" s="16" t="s">
        <v>50</v>
      </c>
      <c r="AK364" s="16" t="s">
        <v>51</v>
      </c>
      <c r="AL364" s="25">
        <v>232000</v>
      </c>
      <c r="AM364" s="43">
        <f t="shared" si="23"/>
        <v>127.85141952715402</v>
      </c>
      <c r="AN364" s="16" t="s">
        <v>284</v>
      </c>
      <c r="AO364" s="16" t="s">
        <v>60</v>
      </c>
    </row>
    <row r="365" spans="1:41" ht="14.5" x14ac:dyDescent="0.35">
      <c r="A365" s="27" t="s">
        <v>1225</v>
      </c>
      <c r="B365" s="16" t="s">
        <v>42</v>
      </c>
      <c r="C365" s="16" t="s">
        <v>43</v>
      </c>
      <c r="D365" s="16" t="s">
        <v>44</v>
      </c>
      <c r="E365" s="16" t="s">
        <v>68</v>
      </c>
      <c r="F365" s="16">
        <v>5</v>
      </c>
      <c r="G365" s="30" t="s">
        <v>1226</v>
      </c>
      <c r="H365" s="16" t="s">
        <v>1227</v>
      </c>
      <c r="I365" s="16" t="s">
        <v>47</v>
      </c>
      <c r="J365" s="16">
        <v>101.47</v>
      </c>
      <c r="K365" s="16">
        <v>1491</v>
      </c>
      <c r="L365" s="16">
        <v>3500</v>
      </c>
      <c r="M365" s="8">
        <v>55</v>
      </c>
      <c r="N365" s="21">
        <v>45898</v>
      </c>
      <c r="O365" s="7">
        <f t="shared" si="20"/>
        <v>29</v>
      </c>
      <c r="P365" s="22">
        <f t="shared" si="21"/>
        <v>3</v>
      </c>
      <c r="Q365" s="22">
        <f t="shared" si="22"/>
        <v>31</v>
      </c>
      <c r="R365" s="16">
        <v>13</v>
      </c>
      <c r="S365">
        <v>4.66371565609498</v>
      </c>
      <c r="T365">
        <v>-74.057911817755894</v>
      </c>
      <c r="U365" s="22">
        <v>23544</v>
      </c>
      <c r="V365" s="22">
        <v>24367.5</v>
      </c>
      <c r="W365" s="25">
        <v>9991</v>
      </c>
      <c r="X365" s="24">
        <v>9994</v>
      </c>
      <c r="Y365" s="24">
        <v>235226</v>
      </c>
      <c r="Z365" s="24">
        <v>243539</v>
      </c>
      <c r="AA365" s="24">
        <v>29235</v>
      </c>
      <c r="AB365" s="24">
        <v>35623</v>
      </c>
      <c r="AC365" s="24">
        <v>96114</v>
      </c>
      <c r="AD365" s="24">
        <v>99555</v>
      </c>
      <c r="AE365" s="24">
        <v>12551</v>
      </c>
      <c r="AF365" s="24">
        <v>12212</v>
      </c>
      <c r="AG365" s="17">
        <v>1.8478000000000001</v>
      </c>
      <c r="AH365" s="16" t="s">
        <v>136</v>
      </c>
      <c r="AI365" s="16" t="s">
        <v>49</v>
      </c>
      <c r="AJ365" s="16" t="s">
        <v>50</v>
      </c>
      <c r="AK365" s="16" t="s">
        <v>71</v>
      </c>
      <c r="AL365" s="25">
        <v>232000</v>
      </c>
      <c r="AM365" s="43">
        <f t="shared" si="23"/>
        <v>123.69173154626984</v>
      </c>
      <c r="AN365" s="16" t="s">
        <v>1171</v>
      </c>
      <c r="AO365" s="16" t="s">
        <v>53</v>
      </c>
    </row>
    <row r="366" spans="1:41" ht="14.5" x14ac:dyDescent="0.35">
      <c r="A366" s="27" t="s">
        <v>1228</v>
      </c>
      <c r="B366" s="16" t="s">
        <v>55</v>
      </c>
      <c r="C366" s="16" t="s">
        <v>43</v>
      </c>
      <c r="D366" s="16" t="s">
        <v>44</v>
      </c>
      <c r="E366" s="16" t="s">
        <v>352</v>
      </c>
      <c r="F366" s="16">
        <v>3</v>
      </c>
      <c r="G366" s="30" t="s">
        <v>352</v>
      </c>
      <c r="H366" s="16">
        <v>0</v>
      </c>
      <c r="I366" s="16" t="s">
        <v>47</v>
      </c>
      <c r="J366" s="16">
        <v>134.26</v>
      </c>
      <c r="K366" s="16">
        <v>1364</v>
      </c>
      <c r="L366" s="16">
        <v>1558</v>
      </c>
      <c r="M366" s="8">
        <v>0</v>
      </c>
      <c r="N366" s="21">
        <v>45006</v>
      </c>
      <c r="O366" s="7">
        <f t="shared" si="20"/>
        <v>21</v>
      </c>
      <c r="P366" s="22">
        <f t="shared" si="21"/>
        <v>11</v>
      </c>
      <c r="Q366" s="22">
        <f t="shared" si="22"/>
        <v>31</v>
      </c>
      <c r="R366" s="16">
        <v>42</v>
      </c>
      <c r="S366">
        <v>4.6851687778220104</v>
      </c>
      <c r="T366">
        <v>-74.086330519647504</v>
      </c>
      <c r="U366" s="22">
        <v>15454</v>
      </c>
      <c r="V366" s="22">
        <v>15631.833329999999</v>
      </c>
      <c r="W366" s="25">
        <v>11359</v>
      </c>
      <c r="X366" s="24">
        <v>11052</v>
      </c>
      <c r="Y366" s="24">
        <v>175548</v>
      </c>
      <c r="Z366" s="24">
        <v>172769</v>
      </c>
      <c r="AA366" s="42">
        <v>-3166</v>
      </c>
      <c r="AB366" s="42">
        <v>-890</v>
      </c>
      <c r="AC366" s="24">
        <v>55515</v>
      </c>
      <c r="AD366" s="24">
        <v>54187</v>
      </c>
      <c r="AE366" s="24">
        <v>9666</v>
      </c>
      <c r="AF366" s="24">
        <v>9814</v>
      </c>
      <c r="AG366" s="17">
        <v>0</v>
      </c>
      <c r="AH366" s="16" t="s">
        <v>90</v>
      </c>
      <c r="AI366" s="16" t="s">
        <v>49</v>
      </c>
      <c r="AJ366" s="16" t="s">
        <v>124</v>
      </c>
      <c r="AK366" s="16" t="s">
        <v>51</v>
      </c>
      <c r="AL366" s="25">
        <v>204160</v>
      </c>
      <c r="AM366" s="43">
        <f t="shared" si="23"/>
        <v>71.994637270966791</v>
      </c>
      <c r="AN366" s="16" t="s">
        <v>162</v>
      </c>
      <c r="AO366" s="16" t="s">
        <v>53</v>
      </c>
    </row>
    <row r="367" spans="1:41" ht="14.5" x14ac:dyDescent="0.35">
      <c r="A367" s="27" t="s">
        <v>1229</v>
      </c>
      <c r="B367" s="16" t="s">
        <v>105</v>
      </c>
      <c r="C367" s="16" t="s">
        <v>157</v>
      </c>
      <c r="D367" s="16" t="s">
        <v>158</v>
      </c>
      <c r="E367" s="16" t="s">
        <v>596</v>
      </c>
      <c r="F367" s="16">
        <v>6</v>
      </c>
      <c r="G367" s="30" t="s">
        <v>1230</v>
      </c>
      <c r="H367" s="16" t="s">
        <v>1231</v>
      </c>
      <c r="I367" s="16" t="s">
        <v>47</v>
      </c>
      <c r="J367" s="16">
        <v>95.31</v>
      </c>
      <c r="K367" s="16">
        <v>3382</v>
      </c>
      <c r="L367" s="16">
        <v>275</v>
      </c>
      <c r="M367" s="8">
        <v>229</v>
      </c>
      <c r="N367" s="21">
        <v>45656</v>
      </c>
      <c r="O367" s="7">
        <f t="shared" si="20"/>
        <v>30</v>
      </c>
      <c r="P367" s="22">
        <f t="shared" si="21"/>
        <v>2</v>
      </c>
      <c r="Q367" s="22">
        <f t="shared" si="22"/>
        <v>31</v>
      </c>
      <c r="R367" s="16">
        <v>21</v>
      </c>
      <c r="S367">
        <v>6.2127742115327198</v>
      </c>
      <c r="T367">
        <v>-75.564036127529505</v>
      </c>
      <c r="U367" s="22">
        <v>14592</v>
      </c>
      <c r="V367" s="22">
        <v>14350.333329999999</v>
      </c>
      <c r="W367" s="25">
        <v>14344</v>
      </c>
      <c r="X367" s="24">
        <v>13933</v>
      </c>
      <c r="Y367" s="24">
        <v>209309</v>
      </c>
      <c r="Z367" s="24">
        <v>199939</v>
      </c>
      <c r="AA367" s="24">
        <v>16543</v>
      </c>
      <c r="AB367" s="24">
        <v>6373</v>
      </c>
      <c r="AC367" s="24">
        <v>80674</v>
      </c>
      <c r="AD367" s="24">
        <v>75861</v>
      </c>
      <c r="AE367" s="24">
        <v>14000</v>
      </c>
      <c r="AF367" s="24">
        <v>14136</v>
      </c>
      <c r="AG367" s="17">
        <v>0</v>
      </c>
      <c r="AH367" s="16" t="s">
        <v>48</v>
      </c>
      <c r="AI367" s="16" t="s">
        <v>49</v>
      </c>
      <c r="AJ367" s="16" t="s">
        <v>76</v>
      </c>
      <c r="AK367" s="16" t="s">
        <v>51</v>
      </c>
      <c r="AL367" s="25">
        <v>241405</v>
      </c>
      <c r="AM367" s="43">
        <f t="shared" si="23"/>
        <v>146.8890987304585</v>
      </c>
      <c r="AN367" s="16" t="s">
        <v>296</v>
      </c>
      <c r="AO367" s="16" t="s">
        <v>60</v>
      </c>
    </row>
    <row r="368" spans="1:41" ht="14.5" x14ac:dyDescent="0.35">
      <c r="A368" s="27" t="s">
        <v>1232</v>
      </c>
      <c r="B368" s="16" t="s">
        <v>119</v>
      </c>
      <c r="C368" s="16" t="s">
        <v>120</v>
      </c>
      <c r="D368" s="16" t="s">
        <v>121</v>
      </c>
      <c r="E368" s="16" t="s">
        <v>190</v>
      </c>
      <c r="F368" s="16">
        <v>5</v>
      </c>
      <c r="G368" s="30" t="s">
        <v>1233</v>
      </c>
      <c r="H368" s="16">
        <v>0</v>
      </c>
      <c r="I368" s="16" t="s">
        <v>47</v>
      </c>
      <c r="J368" s="16">
        <v>84.72</v>
      </c>
      <c r="K368" s="16">
        <v>827</v>
      </c>
      <c r="L368" s="16">
        <v>1261</v>
      </c>
      <c r="M368" s="8">
        <v>0</v>
      </c>
      <c r="N368" s="21">
        <v>44337</v>
      </c>
      <c r="O368" s="7">
        <f t="shared" si="20"/>
        <v>21</v>
      </c>
      <c r="P368" s="22">
        <f t="shared" si="21"/>
        <v>11</v>
      </c>
      <c r="Q368" s="22">
        <f t="shared" si="22"/>
        <v>31</v>
      </c>
      <c r="R368" s="16">
        <v>64</v>
      </c>
      <c r="S368">
        <v>7.1199269539259999</v>
      </c>
      <c r="T368">
        <v>-73.111603847654905</v>
      </c>
      <c r="U368" s="22">
        <v>18795</v>
      </c>
      <c r="V368" s="22">
        <v>17685.333330000001</v>
      </c>
      <c r="W368" s="25">
        <v>9291</v>
      </c>
      <c r="X368" s="24">
        <v>9573</v>
      </c>
      <c r="Y368" s="24">
        <v>174633</v>
      </c>
      <c r="Z368" s="24">
        <v>169302</v>
      </c>
      <c r="AA368" s="24">
        <v>9136</v>
      </c>
      <c r="AB368" s="24">
        <v>11072</v>
      </c>
      <c r="AC368" s="24">
        <v>70246</v>
      </c>
      <c r="AD368" s="24">
        <v>67644</v>
      </c>
      <c r="AE368" s="24">
        <v>8662</v>
      </c>
      <c r="AF368" s="24">
        <v>8667</v>
      </c>
      <c r="AG368" s="17">
        <v>0</v>
      </c>
      <c r="AH368" s="16" t="s">
        <v>58</v>
      </c>
      <c r="AI368" s="16" t="s">
        <v>49</v>
      </c>
      <c r="AJ368" s="16" t="s">
        <v>50</v>
      </c>
      <c r="AK368" s="16" t="s">
        <v>51</v>
      </c>
      <c r="AL368" s="25">
        <v>232000</v>
      </c>
      <c r="AM368" s="43">
        <f t="shared" si="23"/>
        <v>102.24268177525968</v>
      </c>
      <c r="AN368" s="16" t="s">
        <v>1234</v>
      </c>
      <c r="AO368" s="16" t="s">
        <v>53</v>
      </c>
    </row>
    <row r="369" spans="1:41" ht="14.5" x14ac:dyDescent="0.35">
      <c r="A369" s="27" t="s">
        <v>1235</v>
      </c>
      <c r="B369" s="16" t="s">
        <v>105</v>
      </c>
      <c r="C369" s="16" t="s">
        <v>112</v>
      </c>
      <c r="D369" s="16" t="s">
        <v>113</v>
      </c>
      <c r="E369" s="16" t="s">
        <v>735</v>
      </c>
      <c r="F369" s="16">
        <v>5</v>
      </c>
      <c r="G369" s="30" t="s">
        <v>1236</v>
      </c>
      <c r="H369" s="16" t="s">
        <v>1237</v>
      </c>
      <c r="I369" s="16" t="s">
        <v>47</v>
      </c>
      <c r="J369" s="16">
        <v>123.06</v>
      </c>
      <c r="K369" s="16">
        <v>2506</v>
      </c>
      <c r="L369" s="16">
        <v>2348</v>
      </c>
      <c r="M369" s="8">
        <v>0</v>
      </c>
      <c r="N369" s="21">
        <v>45647</v>
      </c>
      <c r="O369" s="7">
        <f t="shared" si="20"/>
        <v>21</v>
      </c>
      <c r="P369" s="22">
        <f t="shared" si="21"/>
        <v>11</v>
      </c>
      <c r="Q369" s="22">
        <f t="shared" si="22"/>
        <v>31</v>
      </c>
      <c r="R369" s="16">
        <v>21</v>
      </c>
      <c r="S369">
        <v>3.40647380972336</v>
      </c>
      <c r="T369">
        <v>-76.538765823087701</v>
      </c>
      <c r="U369" s="22">
        <v>15905</v>
      </c>
      <c r="V369" s="22">
        <v>15950.333329999999</v>
      </c>
      <c r="W369" s="25">
        <v>13332</v>
      </c>
      <c r="X369" s="24">
        <v>13085</v>
      </c>
      <c r="Y369" s="24">
        <v>212043</v>
      </c>
      <c r="Z369" s="24">
        <v>208712</v>
      </c>
      <c r="AA369" s="24">
        <v>8565</v>
      </c>
      <c r="AB369" s="24">
        <v>14405</v>
      </c>
      <c r="AC369" s="24">
        <v>80485</v>
      </c>
      <c r="AD369" s="24">
        <v>77274</v>
      </c>
      <c r="AE369" s="24">
        <v>9889</v>
      </c>
      <c r="AF369" s="24">
        <v>9991</v>
      </c>
      <c r="AG369" s="17">
        <v>0</v>
      </c>
      <c r="AH369" s="16" t="s">
        <v>58</v>
      </c>
      <c r="AI369" s="16" t="s">
        <v>49</v>
      </c>
      <c r="AJ369" s="16" t="s">
        <v>124</v>
      </c>
      <c r="AK369" s="16" t="s">
        <v>51</v>
      </c>
      <c r="AL369" s="25">
        <v>204160</v>
      </c>
      <c r="AM369" s="43">
        <f t="shared" si="23"/>
        <v>80.359174386478145</v>
      </c>
      <c r="AN369" s="16" t="s">
        <v>1238</v>
      </c>
      <c r="AO369" s="16" t="s">
        <v>53</v>
      </c>
    </row>
    <row r="370" spans="1:41" ht="14.5" x14ac:dyDescent="0.35">
      <c r="A370" s="27" t="s">
        <v>1239</v>
      </c>
      <c r="B370" s="16" t="s">
        <v>105</v>
      </c>
      <c r="C370" s="16" t="s">
        <v>157</v>
      </c>
      <c r="D370" s="16" t="s">
        <v>158</v>
      </c>
      <c r="E370" s="16" t="s">
        <v>159</v>
      </c>
      <c r="F370" s="16">
        <v>2</v>
      </c>
      <c r="G370" s="30" t="s">
        <v>1240</v>
      </c>
      <c r="H370" s="16" t="s">
        <v>1241</v>
      </c>
      <c r="I370" s="16" t="s">
        <v>102</v>
      </c>
      <c r="J370" s="16">
        <v>135.71</v>
      </c>
      <c r="K370" s="16">
        <v>815</v>
      </c>
      <c r="L370" s="16">
        <v>4740</v>
      </c>
      <c r="M370" s="8">
        <v>172</v>
      </c>
      <c r="N370" s="21">
        <v>46172</v>
      </c>
      <c r="O370" s="7">
        <f t="shared" si="20"/>
        <v>30</v>
      </c>
      <c r="P370" s="22">
        <f t="shared" si="21"/>
        <v>2</v>
      </c>
      <c r="Q370" s="22">
        <f t="shared" si="22"/>
        <v>31</v>
      </c>
      <c r="R370" s="16">
        <v>4</v>
      </c>
      <c r="S370">
        <v>6.2553772199726003</v>
      </c>
      <c r="T370">
        <v>-75.580580822418298</v>
      </c>
      <c r="U370" s="22">
        <v>14440</v>
      </c>
      <c r="V370" s="22">
        <v>9581.75</v>
      </c>
      <c r="W370" s="25">
        <v>11404</v>
      </c>
      <c r="X370" s="24">
        <v>11873</v>
      </c>
      <c r="Y370" s="24">
        <v>164671</v>
      </c>
      <c r="Z370" s="24">
        <v>113766</v>
      </c>
      <c r="AA370" s="24">
        <v>12274</v>
      </c>
      <c r="AB370" s="42">
        <v>5050</v>
      </c>
      <c r="AC370" s="24">
        <v>65975</v>
      </c>
      <c r="AD370" s="24">
        <v>46051</v>
      </c>
      <c r="AE370" s="24">
        <v>8800</v>
      </c>
      <c r="AF370" s="24">
        <v>5168</v>
      </c>
      <c r="AG370" s="17">
        <v>1.8420000000000001</v>
      </c>
      <c r="AH370" s="16" t="s">
        <v>130</v>
      </c>
      <c r="AI370" s="16" t="s">
        <v>49</v>
      </c>
      <c r="AJ370" s="16" t="s">
        <v>124</v>
      </c>
      <c r="AK370" s="16" t="s">
        <v>65</v>
      </c>
      <c r="AL370" s="25">
        <v>204160</v>
      </c>
      <c r="AM370" s="43">
        <f t="shared" si="23"/>
        <v>64.844152973251781</v>
      </c>
      <c r="AN370" s="16">
        <v>0</v>
      </c>
      <c r="AO370" s="16" t="s">
        <v>53</v>
      </c>
    </row>
    <row r="371" spans="1:41" ht="14.5" x14ac:dyDescent="0.35">
      <c r="A371" s="27" t="s">
        <v>1242</v>
      </c>
      <c r="B371" s="16" t="s">
        <v>105</v>
      </c>
      <c r="C371" s="16" t="s">
        <v>157</v>
      </c>
      <c r="D371" s="16" t="s">
        <v>158</v>
      </c>
      <c r="E371" s="16" t="s">
        <v>263</v>
      </c>
      <c r="F371" s="16">
        <v>5</v>
      </c>
      <c r="G371" s="30" t="s">
        <v>1243</v>
      </c>
      <c r="H371" s="16" t="s">
        <v>1244</v>
      </c>
      <c r="I371" s="16" t="s">
        <v>47</v>
      </c>
      <c r="J371" s="16">
        <v>100.67</v>
      </c>
      <c r="K371" s="16">
        <v>3874</v>
      </c>
      <c r="L371" s="16">
        <v>876</v>
      </c>
      <c r="M371" s="8">
        <v>14</v>
      </c>
      <c r="N371" s="21">
        <v>45621</v>
      </c>
      <c r="O371" s="7">
        <f t="shared" si="20"/>
        <v>25</v>
      </c>
      <c r="P371" s="22">
        <f t="shared" si="21"/>
        <v>6</v>
      </c>
      <c r="Q371" s="22">
        <f t="shared" si="22"/>
        <v>30</v>
      </c>
      <c r="R371" s="16">
        <v>22</v>
      </c>
      <c r="S371">
        <v>6.2388899071426396</v>
      </c>
      <c r="T371">
        <v>-75.605989575326404</v>
      </c>
      <c r="U371" s="22">
        <v>17681</v>
      </c>
      <c r="V371" s="22">
        <v>16145.5</v>
      </c>
      <c r="W371" s="25">
        <v>14354</v>
      </c>
      <c r="X371" s="24">
        <v>14648</v>
      </c>
      <c r="Y371" s="24">
        <v>253795</v>
      </c>
      <c r="Z371" s="24">
        <v>236498</v>
      </c>
      <c r="AA371" s="24">
        <v>24160</v>
      </c>
      <c r="AB371" s="24">
        <v>19300</v>
      </c>
      <c r="AC371" s="24">
        <v>91230</v>
      </c>
      <c r="AD371" s="24">
        <v>86140</v>
      </c>
      <c r="AE371" s="24">
        <v>12690</v>
      </c>
      <c r="AF371" s="24">
        <v>12815</v>
      </c>
      <c r="AG371" s="17">
        <v>0</v>
      </c>
      <c r="AH371" s="16" t="s">
        <v>48</v>
      </c>
      <c r="AI371" s="16" t="s">
        <v>49</v>
      </c>
      <c r="AJ371" s="16" t="s">
        <v>50</v>
      </c>
      <c r="AK371" s="16" t="s">
        <v>51</v>
      </c>
      <c r="AL371" s="25">
        <v>232000</v>
      </c>
      <c r="AM371" s="43">
        <f t="shared" si="23"/>
        <v>126.05542862819112</v>
      </c>
      <c r="AN371" s="16" t="s">
        <v>503</v>
      </c>
      <c r="AO371" s="16" t="s">
        <v>60</v>
      </c>
    </row>
    <row r="372" spans="1:41" ht="14.5" x14ac:dyDescent="0.35">
      <c r="A372" s="27" t="s">
        <v>1245</v>
      </c>
      <c r="B372" s="16" t="s">
        <v>119</v>
      </c>
      <c r="C372" s="16" t="s">
        <v>120</v>
      </c>
      <c r="D372" s="16" t="s">
        <v>220</v>
      </c>
      <c r="E372" s="16" t="s">
        <v>221</v>
      </c>
      <c r="F372" s="16">
        <v>5</v>
      </c>
      <c r="G372" s="30" t="s">
        <v>1246</v>
      </c>
      <c r="H372" s="16">
        <v>0</v>
      </c>
      <c r="I372" s="16" t="s">
        <v>47</v>
      </c>
      <c r="J372" s="16">
        <v>158.91</v>
      </c>
      <c r="K372" s="16">
        <v>1135</v>
      </c>
      <c r="L372" s="16">
        <v>370</v>
      </c>
      <c r="M372" s="8">
        <v>64</v>
      </c>
      <c r="N372" s="21">
        <v>44867</v>
      </c>
      <c r="O372" s="7">
        <f t="shared" si="20"/>
        <v>2</v>
      </c>
      <c r="P372" s="22">
        <f t="shared" si="21"/>
        <v>29</v>
      </c>
      <c r="Q372" s="22">
        <f t="shared" si="22"/>
        <v>30</v>
      </c>
      <c r="R372" s="16">
        <v>46</v>
      </c>
      <c r="S372">
        <v>7.0608002343265603</v>
      </c>
      <c r="T372">
        <v>-73.094261382111597</v>
      </c>
      <c r="U372" s="22">
        <v>17015</v>
      </c>
      <c r="V372" s="22">
        <v>16096</v>
      </c>
      <c r="W372" s="25">
        <v>13088</v>
      </c>
      <c r="X372" s="24">
        <v>13380</v>
      </c>
      <c r="Y372" s="24">
        <v>222686</v>
      </c>
      <c r="Z372" s="24">
        <v>215371</v>
      </c>
      <c r="AA372" s="24">
        <v>15529</v>
      </c>
      <c r="AB372" s="24">
        <v>17164</v>
      </c>
      <c r="AC372" s="24">
        <v>78813</v>
      </c>
      <c r="AD372" s="24">
        <v>75631</v>
      </c>
      <c r="AE372" s="24">
        <v>8014</v>
      </c>
      <c r="AF372" s="24">
        <v>8032</v>
      </c>
      <c r="AG372" s="17">
        <v>0</v>
      </c>
      <c r="AH372" s="16" t="s">
        <v>136</v>
      </c>
      <c r="AI372" s="16" t="s">
        <v>49</v>
      </c>
      <c r="AJ372" s="16" t="s">
        <v>50</v>
      </c>
      <c r="AK372" s="16" t="s">
        <v>51</v>
      </c>
      <c r="AL372" s="25">
        <v>232000</v>
      </c>
      <c r="AM372" s="43">
        <f t="shared" si="23"/>
        <v>50.431061607199048</v>
      </c>
      <c r="AN372" s="16" t="s">
        <v>558</v>
      </c>
      <c r="AO372" s="16" t="s">
        <v>60</v>
      </c>
    </row>
    <row r="373" spans="1:41" ht="14.5" x14ac:dyDescent="0.35">
      <c r="A373" s="27" t="s">
        <v>1247</v>
      </c>
      <c r="B373" s="16" t="s">
        <v>55</v>
      </c>
      <c r="C373" s="16" t="s">
        <v>43</v>
      </c>
      <c r="D373" s="16" t="s">
        <v>44</v>
      </c>
      <c r="E373" s="16" t="s">
        <v>79</v>
      </c>
      <c r="F373" s="16">
        <v>3</v>
      </c>
      <c r="G373" s="30" t="s">
        <v>1248</v>
      </c>
      <c r="H373" s="16">
        <v>0</v>
      </c>
      <c r="I373" s="16" t="s">
        <v>47</v>
      </c>
      <c r="J373" s="16">
        <v>97.63</v>
      </c>
      <c r="K373" s="16">
        <v>1190</v>
      </c>
      <c r="L373" s="16">
        <v>8655</v>
      </c>
      <c r="M373" s="8">
        <v>64</v>
      </c>
      <c r="N373" s="21">
        <v>45124</v>
      </c>
      <c r="O373" s="7">
        <f t="shared" si="20"/>
        <v>17</v>
      </c>
      <c r="P373" s="22">
        <f t="shared" si="21"/>
        <v>15</v>
      </c>
      <c r="Q373" s="22">
        <f t="shared" si="22"/>
        <v>31</v>
      </c>
      <c r="R373" s="16">
        <v>38</v>
      </c>
      <c r="S373">
        <v>4.6058819476232404</v>
      </c>
      <c r="T373">
        <v>-74.072143341133497</v>
      </c>
      <c r="U373" s="22">
        <v>15354</v>
      </c>
      <c r="V373" s="22">
        <v>14759.666670000001</v>
      </c>
      <c r="W373" s="25">
        <v>10307</v>
      </c>
      <c r="X373" s="24">
        <v>11106</v>
      </c>
      <c r="Y373" s="24">
        <v>158248</v>
      </c>
      <c r="Z373" s="24">
        <v>163923</v>
      </c>
      <c r="AA373" s="42">
        <v>-243</v>
      </c>
      <c r="AB373" s="42">
        <v>-1400</v>
      </c>
      <c r="AC373" s="24">
        <v>55343</v>
      </c>
      <c r="AD373" s="24">
        <v>55582</v>
      </c>
      <c r="AE373" s="24">
        <v>12687</v>
      </c>
      <c r="AF373" s="24">
        <v>12638</v>
      </c>
      <c r="AG373" s="17">
        <v>0</v>
      </c>
      <c r="AH373" s="16" t="s">
        <v>58</v>
      </c>
      <c r="AI373" s="16" t="s">
        <v>49</v>
      </c>
      <c r="AJ373" s="16" t="s">
        <v>50</v>
      </c>
      <c r="AK373" s="16" t="s">
        <v>51</v>
      </c>
      <c r="AL373" s="25">
        <v>232000</v>
      </c>
      <c r="AM373" s="43">
        <f t="shared" si="23"/>
        <v>129.94981050906483</v>
      </c>
      <c r="AN373" s="16" t="s">
        <v>192</v>
      </c>
      <c r="AO373" s="16" t="s">
        <v>53</v>
      </c>
    </row>
    <row r="374" spans="1:41" ht="14.5" x14ac:dyDescent="0.35">
      <c r="A374" s="27" t="s">
        <v>1249</v>
      </c>
      <c r="B374" s="16" t="s">
        <v>105</v>
      </c>
      <c r="C374" s="16" t="s">
        <v>170</v>
      </c>
      <c r="D374" s="16" t="s">
        <v>171</v>
      </c>
      <c r="E374" s="16" t="s">
        <v>276</v>
      </c>
      <c r="F374" s="16">
        <v>6</v>
      </c>
      <c r="G374" s="30" t="s">
        <v>1250</v>
      </c>
      <c r="H374" s="16">
        <v>0</v>
      </c>
      <c r="I374" s="16" t="s">
        <v>102</v>
      </c>
      <c r="J374" s="16">
        <v>119.91</v>
      </c>
      <c r="K374" s="16">
        <v>1519</v>
      </c>
      <c r="L374" s="16">
        <v>1205</v>
      </c>
      <c r="M374" s="8">
        <v>25</v>
      </c>
      <c r="N374" s="21">
        <v>45279</v>
      </c>
      <c r="O374" s="7">
        <f t="shared" si="20"/>
        <v>19</v>
      </c>
      <c r="P374" s="22">
        <f t="shared" si="21"/>
        <v>13</v>
      </c>
      <c r="Q374" s="22">
        <f t="shared" si="22"/>
        <v>31</v>
      </c>
      <c r="R374" s="16">
        <v>33</v>
      </c>
      <c r="S374">
        <v>5.0555607532340998</v>
      </c>
      <c r="T374">
        <v>-75.487188022877206</v>
      </c>
      <c r="U374" s="22">
        <v>16772</v>
      </c>
      <c r="V374" s="22">
        <v>17121.166669999999</v>
      </c>
      <c r="W374" s="25">
        <v>12011</v>
      </c>
      <c r="X374" s="24">
        <v>11212</v>
      </c>
      <c r="Y374" s="24">
        <v>201448</v>
      </c>
      <c r="Z374" s="24">
        <v>191969</v>
      </c>
      <c r="AA374" s="24">
        <v>3025</v>
      </c>
      <c r="AB374" s="24">
        <v>11626</v>
      </c>
      <c r="AC374" s="24">
        <v>77033</v>
      </c>
      <c r="AD374" s="24">
        <v>72701</v>
      </c>
      <c r="AE374" s="24">
        <v>10921</v>
      </c>
      <c r="AF374" s="24">
        <v>11032</v>
      </c>
      <c r="AG374" s="17">
        <v>0</v>
      </c>
      <c r="AH374" s="16" t="s">
        <v>64</v>
      </c>
      <c r="AI374" s="16" t="s">
        <v>49</v>
      </c>
      <c r="AJ374" s="16" t="s">
        <v>124</v>
      </c>
      <c r="AK374" s="16" t="s">
        <v>51</v>
      </c>
      <c r="AL374" s="25">
        <v>204160</v>
      </c>
      <c r="AM374" s="43">
        <f t="shared" si="23"/>
        <v>91.076640813943797</v>
      </c>
      <c r="AN374" s="16">
        <v>0</v>
      </c>
      <c r="AO374" s="16" t="s">
        <v>60</v>
      </c>
    </row>
    <row r="375" spans="1:41" ht="14.5" x14ac:dyDescent="0.35">
      <c r="A375" s="27" t="s">
        <v>1251</v>
      </c>
      <c r="B375" s="16" t="s">
        <v>105</v>
      </c>
      <c r="C375" s="16" t="s">
        <v>106</v>
      </c>
      <c r="D375" s="16" t="s">
        <v>298</v>
      </c>
      <c r="E375" s="16" t="s">
        <v>1252</v>
      </c>
      <c r="F375" s="16">
        <v>3</v>
      </c>
      <c r="G375" s="30" t="s">
        <v>1253</v>
      </c>
      <c r="H375" s="16">
        <v>0</v>
      </c>
      <c r="I375" s="16" t="s">
        <v>47</v>
      </c>
      <c r="J375" s="16">
        <v>128.4</v>
      </c>
      <c r="K375" s="16">
        <v>2500</v>
      </c>
      <c r="L375" s="16">
        <v>30</v>
      </c>
      <c r="M375" s="8">
        <v>176</v>
      </c>
      <c r="N375" s="21">
        <v>45315</v>
      </c>
      <c r="O375" s="7">
        <f t="shared" si="20"/>
        <v>24</v>
      </c>
      <c r="P375" s="22">
        <f t="shared" si="21"/>
        <v>8</v>
      </c>
      <c r="Q375" s="22">
        <f t="shared" si="22"/>
        <v>31</v>
      </c>
      <c r="R375" s="16">
        <v>32</v>
      </c>
      <c r="S375">
        <v>4.8267692043935204</v>
      </c>
      <c r="T375">
        <v>-75.734958441278906</v>
      </c>
      <c r="U375" s="22">
        <v>11995</v>
      </c>
      <c r="V375" s="22">
        <v>10107.333329999999</v>
      </c>
      <c r="W375" s="25">
        <v>14921</v>
      </c>
      <c r="X375" s="24">
        <v>14633</v>
      </c>
      <c r="Y375" s="24">
        <v>178973</v>
      </c>
      <c r="Z375" s="24">
        <v>147898</v>
      </c>
      <c r="AA375" s="24">
        <v>8097</v>
      </c>
      <c r="AB375" s="24">
        <v>4571</v>
      </c>
      <c r="AC375" s="24">
        <v>64713</v>
      </c>
      <c r="AD375" s="24">
        <v>53671</v>
      </c>
      <c r="AE375" s="24">
        <v>5932</v>
      </c>
      <c r="AF375" s="24">
        <v>6001</v>
      </c>
      <c r="AG375" s="17">
        <v>0</v>
      </c>
      <c r="AH375" s="16" t="s">
        <v>48</v>
      </c>
      <c r="AI375" s="16" t="s">
        <v>49</v>
      </c>
      <c r="AJ375" s="16" t="s">
        <v>76</v>
      </c>
      <c r="AK375" s="16" t="s">
        <v>51</v>
      </c>
      <c r="AL375" s="25">
        <v>241405</v>
      </c>
      <c r="AM375" s="43">
        <f t="shared" si="23"/>
        <v>46.199376947040498</v>
      </c>
      <c r="AN375" s="16">
        <v>0</v>
      </c>
      <c r="AO375" s="16" t="s">
        <v>60</v>
      </c>
    </row>
    <row r="376" spans="1:41" ht="14.5" x14ac:dyDescent="0.35">
      <c r="A376" s="27" t="s">
        <v>1254</v>
      </c>
      <c r="B376" s="16" t="s">
        <v>42</v>
      </c>
      <c r="C376" s="16" t="s">
        <v>43</v>
      </c>
      <c r="D376" s="16" t="s">
        <v>44</v>
      </c>
      <c r="E376" s="16" t="s">
        <v>272</v>
      </c>
      <c r="F376" s="16">
        <v>4</v>
      </c>
      <c r="G376" s="30" t="s">
        <v>447</v>
      </c>
      <c r="H376" s="16">
        <v>0</v>
      </c>
      <c r="I376" s="16" t="s">
        <v>47</v>
      </c>
      <c r="J376" s="16">
        <v>147.69999999999999</v>
      </c>
      <c r="K376" s="16">
        <v>3020</v>
      </c>
      <c r="L376" s="16">
        <v>750</v>
      </c>
      <c r="M376" s="8">
        <v>158</v>
      </c>
      <c r="N376" s="21">
        <v>44982</v>
      </c>
      <c r="O376" s="7">
        <f t="shared" si="20"/>
        <v>25</v>
      </c>
      <c r="P376" s="22">
        <f t="shared" si="21"/>
        <v>4</v>
      </c>
      <c r="Q376" s="22">
        <f t="shared" si="22"/>
        <v>28</v>
      </c>
      <c r="R376" s="16">
        <v>43</v>
      </c>
      <c r="S376">
        <v>4.6909867778524701</v>
      </c>
      <c r="T376">
        <v>-74.067570901082405</v>
      </c>
      <c r="U376" s="22">
        <v>17131</v>
      </c>
      <c r="V376" s="22">
        <v>16483.833330000001</v>
      </c>
      <c r="W376" s="25">
        <v>11874</v>
      </c>
      <c r="X376" s="24">
        <v>12111</v>
      </c>
      <c r="Y376" s="24">
        <v>203413</v>
      </c>
      <c r="Z376" s="24">
        <v>199629</v>
      </c>
      <c r="AA376" s="24">
        <v>12444</v>
      </c>
      <c r="AB376" s="24">
        <v>15339</v>
      </c>
      <c r="AC376" s="24">
        <v>70808</v>
      </c>
      <c r="AD376" s="24">
        <v>73012</v>
      </c>
      <c r="AE376" s="24">
        <v>10874</v>
      </c>
      <c r="AF376" s="24">
        <v>10985</v>
      </c>
      <c r="AG376" s="17">
        <v>0</v>
      </c>
      <c r="AH376" s="16" t="s">
        <v>48</v>
      </c>
      <c r="AI376" s="16" t="s">
        <v>49</v>
      </c>
      <c r="AJ376" s="16" t="s">
        <v>50</v>
      </c>
      <c r="AK376" s="16" t="s">
        <v>51</v>
      </c>
      <c r="AL376" s="25">
        <v>232000</v>
      </c>
      <c r="AM376" s="43">
        <f t="shared" si="23"/>
        <v>73.622207176709551</v>
      </c>
      <c r="AN376" s="16">
        <v>0</v>
      </c>
      <c r="AO376" s="16" t="s">
        <v>60</v>
      </c>
    </row>
    <row r="377" spans="1:41" ht="14.5" x14ac:dyDescent="0.35">
      <c r="A377" s="27" t="s">
        <v>1255</v>
      </c>
      <c r="B377" s="16" t="s">
        <v>105</v>
      </c>
      <c r="C377" s="16" t="s">
        <v>177</v>
      </c>
      <c r="D377" s="16" t="s">
        <v>178</v>
      </c>
      <c r="E377" s="16" t="s">
        <v>1256</v>
      </c>
      <c r="F377" s="16">
        <v>2</v>
      </c>
      <c r="G377" s="30" t="s">
        <v>1257</v>
      </c>
      <c r="H377" s="16">
        <v>0</v>
      </c>
      <c r="I377" s="16" t="s">
        <v>47</v>
      </c>
      <c r="J377" s="16">
        <v>119.48</v>
      </c>
      <c r="K377" s="16">
        <v>3047</v>
      </c>
      <c r="L377" s="16">
        <v>100</v>
      </c>
      <c r="M377" s="8">
        <v>34</v>
      </c>
      <c r="N377" s="21">
        <v>45290</v>
      </c>
      <c r="O377" s="7">
        <f t="shared" si="20"/>
        <v>30</v>
      </c>
      <c r="P377" s="22">
        <f t="shared" si="21"/>
        <v>2</v>
      </c>
      <c r="Q377" s="22">
        <f t="shared" si="22"/>
        <v>31</v>
      </c>
      <c r="R377" s="16">
        <v>33</v>
      </c>
      <c r="S377">
        <v>4.5168690688207596</v>
      </c>
      <c r="T377">
        <v>-75.715597256837398</v>
      </c>
      <c r="U377" s="22">
        <v>15438</v>
      </c>
      <c r="V377" s="22">
        <v>14003</v>
      </c>
      <c r="W377" s="25">
        <v>14467</v>
      </c>
      <c r="X377" s="24">
        <v>14441</v>
      </c>
      <c r="Y377" s="24">
        <v>223336</v>
      </c>
      <c r="Z377" s="24">
        <v>202211</v>
      </c>
      <c r="AA377" s="24">
        <v>13713</v>
      </c>
      <c r="AB377" s="24">
        <v>12412</v>
      </c>
      <c r="AC377" s="24">
        <v>85134</v>
      </c>
      <c r="AD377" s="24">
        <v>74191</v>
      </c>
      <c r="AE377" s="24">
        <v>7817</v>
      </c>
      <c r="AF377" s="24">
        <v>7902</v>
      </c>
      <c r="AG377" s="17">
        <v>0</v>
      </c>
      <c r="AH377" s="16" t="s">
        <v>136</v>
      </c>
      <c r="AI377" s="16" t="s">
        <v>49</v>
      </c>
      <c r="AJ377" s="16" t="s">
        <v>76</v>
      </c>
      <c r="AK377" s="16" t="s">
        <v>51</v>
      </c>
      <c r="AL377" s="25">
        <v>241405</v>
      </c>
      <c r="AM377" s="43">
        <f t="shared" si="23"/>
        <v>65.425175761633739</v>
      </c>
      <c r="AN377" s="16" t="s">
        <v>223</v>
      </c>
      <c r="AO377" s="16" t="s">
        <v>60</v>
      </c>
    </row>
    <row r="378" spans="1:41" ht="14.5" x14ac:dyDescent="0.35">
      <c r="A378" s="27" t="s">
        <v>1258</v>
      </c>
      <c r="B378" s="16" t="s">
        <v>55</v>
      </c>
      <c r="C378" s="16" t="s">
        <v>43</v>
      </c>
      <c r="D378" s="16" t="s">
        <v>44</v>
      </c>
      <c r="E378" s="16" t="s">
        <v>201</v>
      </c>
      <c r="F378" s="16">
        <v>3</v>
      </c>
      <c r="G378" s="30" t="s">
        <v>1259</v>
      </c>
      <c r="H378" s="16">
        <v>0</v>
      </c>
      <c r="I378" s="16" t="s">
        <v>47</v>
      </c>
      <c r="J378" s="16">
        <v>131.27000000000001</v>
      </c>
      <c r="K378" s="16">
        <v>1762</v>
      </c>
      <c r="L378" s="16">
        <v>850</v>
      </c>
      <c r="M378" s="8">
        <v>57</v>
      </c>
      <c r="N378" s="21">
        <v>45260</v>
      </c>
      <c r="O378" s="7">
        <f t="shared" si="20"/>
        <v>30</v>
      </c>
      <c r="P378" s="22">
        <f t="shared" si="21"/>
        <v>1</v>
      </c>
      <c r="Q378" s="22">
        <f t="shared" si="22"/>
        <v>30</v>
      </c>
      <c r="R378" s="16">
        <v>34</v>
      </c>
      <c r="S378">
        <v>4.6155937452118501</v>
      </c>
      <c r="T378">
        <v>-74.132344182366694</v>
      </c>
      <c r="U378" s="22">
        <v>16111</v>
      </c>
      <c r="V378" s="22">
        <v>15788.333329999999</v>
      </c>
      <c r="W378" s="25">
        <v>12713</v>
      </c>
      <c r="X378" s="24">
        <v>12099</v>
      </c>
      <c r="Y378" s="24">
        <v>204826</v>
      </c>
      <c r="Z378" s="24">
        <v>191015</v>
      </c>
      <c r="AA378" s="24">
        <v>11310</v>
      </c>
      <c r="AB378" s="24">
        <v>10827</v>
      </c>
      <c r="AC378" s="24">
        <v>67934</v>
      </c>
      <c r="AD378" s="24">
        <v>62921</v>
      </c>
      <c r="AE378" s="24">
        <v>9197</v>
      </c>
      <c r="AF378" s="24">
        <v>9293</v>
      </c>
      <c r="AG378" s="17">
        <v>0</v>
      </c>
      <c r="AH378" s="16" t="s">
        <v>48</v>
      </c>
      <c r="AI378" s="16" t="s">
        <v>49</v>
      </c>
      <c r="AJ378" s="16" t="s">
        <v>76</v>
      </c>
      <c r="AK378" s="16" t="s">
        <v>51</v>
      </c>
      <c r="AL378" s="25">
        <v>241405</v>
      </c>
      <c r="AM378" s="43">
        <f t="shared" si="23"/>
        <v>70.061704883065431</v>
      </c>
      <c r="AN378" s="16" t="s">
        <v>424</v>
      </c>
      <c r="AO378" s="16" t="s">
        <v>60</v>
      </c>
    </row>
    <row r="379" spans="1:41" ht="14.5" x14ac:dyDescent="0.35">
      <c r="A379" s="27" t="s">
        <v>1260</v>
      </c>
      <c r="B379" s="16" t="s">
        <v>55</v>
      </c>
      <c r="C379" s="16" t="s">
        <v>43</v>
      </c>
      <c r="D379" s="16" t="s">
        <v>44</v>
      </c>
      <c r="E379" s="16" t="s">
        <v>139</v>
      </c>
      <c r="F379" s="16">
        <v>3</v>
      </c>
      <c r="G379" s="30" t="s">
        <v>1261</v>
      </c>
      <c r="H379" s="16">
        <v>0</v>
      </c>
      <c r="I379" s="16" t="s">
        <v>47</v>
      </c>
      <c r="J379" s="16">
        <v>105.87</v>
      </c>
      <c r="K379" s="16">
        <v>447</v>
      </c>
      <c r="L379" s="16">
        <v>4260</v>
      </c>
      <c r="M379" s="8">
        <v>79</v>
      </c>
      <c r="N379" s="21">
        <v>44876</v>
      </c>
      <c r="O379" s="7">
        <f t="shared" si="20"/>
        <v>11</v>
      </c>
      <c r="P379" s="22">
        <f t="shared" si="21"/>
        <v>20</v>
      </c>
      <c r="Q379" s="22">
        <f t="shared" si="22"/>
        <v>30</v>
      </c>
      <c r="R379" s="16">
        <v>46</v>
      </c>
      <c r="S379">
        <v>4.6803494158694701</v>
      </c>
      <c r="T379">
        <v>-74.116885432778702</v>
      </c>
      <c r="U379" s="22">
        <v>14705</v>
      </c>
      <c r="V379" s="22">
        <v>19175</v>
      </c>
      <c r="W379" s="25">
        <v>10263</v>
      </c>
      <c r="X379" s="24">
        <v>10364</v>
      </c>
      <c r="Y379" s="24">
        <v>150911</v>
      </c>
      <c r="Z379" s="24">
        <v>198729</v>
      </c>
      <c r="AA379" s="24">
        <v>4716</v>
      </c>
      <c r="AB379" s="24">
        <v>25188</v>
      </c>
      <c r="AC379" s="24">
        <v>60719</v>
      </c>
      <c r="AD379" s="24">
        <v>80384</v>
      </c>
      <c r="AE379" s="24">
        <v>7031</v>
      </c>
      <c r="AF379" s="24">
        <v>7281</v>
      </c>
      <c r="AG379" s="17">
        <v>0</v>
      </c>
      <c r="AH379" s="16" t="s">
        <v>58</v>
      </c>
      <c r="AI379" s="16" t="s">
        <v>49</v>
      </c>
      <c r="AJ379" s="16" t="s">
        <v>124</v>
      </c>
      <c r="AK379" s="16" t="s">
        <v>51</v>
      </c>
      <c r="AL379" s="25">
        <v>204160</v>
      </c>
      <c r="AM379" s="43">
        <f t="shared" si="23"/>
        <v>66.411636913195423</v>
      </c>
      <c r="AN379" s="16" t="s">
        <v>1222</v>
      </c>
      <c r="AO379" s="16" t="s">
        <v>60</v>
      </c>
    </row>
    <row r="380" spans="1:41" ht="14.5" x14ac:dyDescent="0.35">
      <c r="A380" s="27" t="s">
        <v>1262</v>
      </c>
      <c r="B380" s="16" t="s">
        <v>42</v>
      </c>
      <c r="C380" s="16" t="s">
        <v>43</v>
      </c>
      <c r="D380" s="16" t="s">
        <v>44</v>
      </c>
      <c r="E380" s="16" t="s">
        <v>68</v>
      </c>
      <c r="F380" s="16">
        <v>5</v>
      </c>
      <c r="G380" s="30" t="s">
        <v>1263</v>
      </c>
      <c r="H380" s="16" t="s">
        <v>64</v>
      </c>
      <c r="I380" s="16" t="s">
        <v>102</v>
      </c>
      <c r="J380" s="16">
        <v>155.41999999999999</v>
      </c>
      <c r="K380" s="16">
        <v>328</v>
      </c>
      <c r="L380" s="16">
        <v>9525</v>
      </c>
      <c r="M380" s="8">
        <v>172</v>
      </c>
      <c r="N380" s="21">
        <v>46265</v>
      </c>
      <c r="O380" s="7">
        <f t="shared" si="20"/>
        <v>31</v>
      </c>
      <c r="P380" s="22">
        <f t="shared" si="21"/>
        <v>1</v>
      </c>
      <c r="Q380" s="22">
        <f t="shared" si="22"/>
        <v>31</v>
      </c>
      <c r="R380" s="16">
        <v>0</v>
      </c>
      <c r="S380" s="29">
        <v>4.6841600000000003</v>
      </c>
      <c r="T380" s="29">
        <v>-74.046851000000004</v>
      </c>
      <c r="U380" s="22">
        <v>388</v>
      </c>
      <c r="V380" s="22">
        <v>388</v>
      </c>
      <c r="W380" s="25">
        <v>11197</v>
      </c>
      <c r="X380" s="24">
        <v>11197</v>
      </c>
      <c r="Y380" s="24">
        <v>4344</v>
      </c>
      <c r="Z380" s="24">
        <v>4344</v>
      </c>
      <c r="AA380" s="24">
        <v>-7074</v>
      </c>
      <c r="AB380" s="24">
        <v>-7074</v>
      </c>
      <c r="AC380" s="24">
        <v>6485</v>
      </c>
      <c r="AD380" s="24">
        <v>6485</v>
      </c>
      <c r="AE380" s="24">
        <v>0</v>
      </c>
      <c r="AF380" s="24">
        <v>0</v>
      </c>
      <c r="AG380" s="17">
        <v>0</v>
      </c>
      <c r="AH380" s="16" t="s">
        <v>64</v>
      </c>
      <c r="AI380" s="16" t="s">
        <v>49</v>
      </c>
      <c r="AJ380" s="16" t="s">
        <v>124</v>
      </c>
      <c r="AK380" s="16" t="s">
        <v>65</v>
      </c>
      <c r="AL380" s="25">
        <v>232000</v>
      </c>
      <c r="AM380" s="43">
        <f t="shared" si="23"/>
        <v>0</v>
      </c>
      <c r="AN380" s="16" t="s">
        <v>1234</v>
      </c>
      <c r="AO380" s="16" t="s">
        <v>60</v>
      </c>
    </row>
    <row r="381" spans="1:41" ht="14.5" x14ac:dyDescent="0.35">
      <c r="A381" s="27" t="s">
        <v>1264</v>
      </c>
      <c r="B381" s="16" t="s">
        <v>55</v>
      </c>
      <c r="C381" s="16" t="s">
        <v>43</v>
      </c>
      <c r="D381" s="16" t="s">
        <v>44</v>
      </c>
      <c r="E381" s="16" t="s">
        <v>79</v>
      </c>
      <c r="F381" s="16">
        <v>3</v>
      </c>
      <c r="G381" s="30" t="s">
        <v>1265</v>
      </c>
      <c r="H381" s="16">
        <v>0</v>
      </c>
      <c r="I381" s="16" t="s">
        <v>47</v>
      </c>
      <c r="J381" s="16">
        <v>146.61000000000001</v>
      </c>
      <c r="K381" s="16">
        <v>2177</v>
      </c>
      <c r="L381" s="16">
        <v>740</v>
      </c>
      <c r="M381" s="8">
        <v>61</v>
      </c>
      <c r="N381" s="21">
        <v>46038</v>
      </c>
      <c r="O381" s="7">
        <f t="shared" si="20"/>
        <v>16</v>
      </c>
      <c r="P381" s="22">
        <f t="shared" si="21"/>
        <v>16</v>
      </c>
      <c r="Q381" s="22">
        <f t="shared" si="22"/>
        <v>31</v>
      </c>
      <c r="R381" s="16">
        <v>8</v>
      </c>
      <c r="S381">
        <v>4.6104953080027098</v>
      </c>
      <c r="T381">
        <v>-74.073096960403504</v>
      </c>
      <c r="U381" s="22">
        <v>7346</v>
      </c>
      <c r="V381" s="22">
        <v>7032</v>
      </c>
      <c r="W381" s="25">
        <v>13409</v>
      </c>
      <c r="X381" s="24">
        <v>12922</v>
      </c>
      <c r="Y381" s="24">
        <v>98500</v>
      </c>
      <c r="Z381" s="24">
        <v>90866</v>
      </c>
      <c r="AA381" s="42">
        <v>-12309</v>
      </c>
      <c r="AB381" s="42">
        <v>-12743</v>
      </c>
      <c r="AC381" s="24">
        <v>31708</v>
      </c>
      <c r="AD381" s="24">
        <v>28683</v>
      </c>
      <c r="AE381" s="24">
        <v>8621</v>
      </c>
      <c r="AF381" s="24">
        <v>8712</v>
      </c>
      <c r="AG381" s="17">
        <v>0.74180000000000001</v>
      </c>
      <c r="AH381" s="16" t="s">
        <v>48</v>
      </c>
      <c r="AI381" s="16" t="s">
        <v>49</v>
      </c>
      <c r="AJ381" s="16" t="s">
        <v>50</v>
      </c>
      <c r="AK381" s="16" t="s">
        <v>65</v>
      </c>
      <c r="AL381" s="25">
        <v>232000</v>
      </c>
      <c r="AM381" s="43">
        <f t="shared" si="23"/>
        <v>58.802264511288449</v>
      </c>
      <c r="AN381" s="16" t="s">
        <v>1019</v>
      </c>
      <c r="AO381" s="16" t="s">
        <v>60</v>
      </c>
    </row>
    <row r="382" spans="1:41" ht="14.5" x14ac:dyDescent="0.35">
      <c r="A382" s="27" t="s">
        <v>1266</v>
      </c>
      <c r="B382" s="16" t="s">
        <v>55</v>
      </c>
      <c r="C382" s="16" t="s">
        <v>43</v>
      </c>
      <c r="D382" s="16" t="s">
        <v>44</v>
      </c>
      <c r="E382" s="16" t="s">
        <v>1173</v>
      </c>
      <c r="F382" s="16">
        <v>3</v>
      </c>
      <c r="G382" s="30" t="s">
        <v>1267</v>
      </c>
      <c r="H382" s="16">
        <v>0</v>
      </c>
      <c r="I382" s="16" t="s">
        <v>47</v>
      </c>
      <c r="J382" s="16">
        <v>174.8</v>
      </c>
      <c r="K382" s="16">
        <v>1270</v>
      </c>
      <c r="L382" s="16">
        <v>920</v>
      </c>
      <c r="M382" s="8">
        <v>28</v>
      </c>
      <c r="N382" s="21">
        <v>45085</v>
      </c>
      <c r="O382" s="7">
        <f t="shared" si="20"/>
        <v>8</v>
      </c>
      <c r="P382" s="22">
        <f t="shared" si="21"/>
        <v>23</v>
      </c>
      <c r="Q382" s="22">
        <f t="shared" si="22"/>
        <v>30</v>
      </c>
      <c r="R382" s="16">
        <v>39</v>
      </c>
      <c r="S382">
        <v>4.5859318487992704</v>
      </c>
      <c r="T382">
        <v>-74.094564481253997</v>
      </c>
      <c r="U382" s="22">
        <v>14506</v>
      </c>
      <c r="V382" s="22">
        <v>15697.5</v>
      </c>
      <c r="W382" s="25">
        <v>13527</v>
      </c>
      <c r="X382" s="24">
        <v>13306</v>
      </c>
      <c r="Y382" s="24">
        <v>196215</v>
      </c>
      <c r="Z382" s="24">
        <v>208871</v>
      </c>
      <c r="AA382" s="24">
        <v>10811</v>
      </c>
      <c r="AB382" s="24">
        <v>12725</v>
      </c>
      <c r="AC382" s="24">
        <v>70378</v>
      </c>
      <c r="AD382" s="24">
        <v>72009</v>
      </c>
      <c r="AE382" s="24">
        <v>10874</v>
      </c>
      <c r="AF382" s="24">
        <v>10835</v>
      </c>
      <c r="AG382" s="17">
        <v>0</v>
      </c>
      <c r="AH382" s="16" t="s">
        <v>136</v>
      </c>
      <c r="AI382" s="16" t="s">
        <v>49</v>
      </c>
      <c r="AJ382" s="16" t="s">
        <v>76</v>
      </c>
      <c r="AK382" s="16" t="s">
        <v>51</v>
      </c>
      <c r="AL382" s="25">
        <v>241405</v>
      </c>
      <c r="AM382" s="43">
        <f t="shared" si="23"/>
        <v>62.208237986270021</v>
      </c>
      <c r="AN382" s="16" t="s">
        <v>1268</v>
      </c>
      <c r="AO382" s="16" t="s">
        <v>60</v>
      </c>
    </row>
    <row r="383" spans="1:41" ht="14.5" x14ac:dyDescent="0.35">
      <c r="A383" s="27" t="s">
        <v>1269</v>
      </c>
      <c r="B383" s="16" t="s">
        <v>55</v>
      </c>
      <c r="C383" s="16" t="s">
        <v>43</v>
      </c>
      <c r="D383" s="16" t="s">
        <v>44</v>
      </c>
      <c r="E383" s="16" t="s">
        <v>1270</v>
      </c>
      <c r="F383" s="16">
        <v>3</v>
      </c>
      <c r="G383" s="30" t="s">
        <v>1271</v>
      </c>
      <c r="H383" s="16">
        <v>0</v>
      </c>
      <c r="I383" s="16" t="s">
        <v>47</v>
      </c>
      <c r="J383" s="16">
        <v>79.03</v>
      </c>
      <c r="K383" s="16">
        <v>2380</v>
      </c>
      <c r="L383" s="16">
        <v>4580</v>
      </c>
      <c r="M383" s="8">
        <v>68</v>
      </c>
      <c r="N383" s="21">
        <v>45230</v>
      </c>
      <c r="O383" s="7">
        <f t="shared" si="20"/>
        <v>31</v>
      </c>
      <c r="P383" s="22">
        <f t="shared" si="21"/>
        <v>1</v>
      </c>
      <c r="Q383" s="22">
        <f t="shared" si="22"/>
        <v>31</v>
      </c>
      <c r="R383" s="16">
        <v>35</v>
      </c>
      <c r="S383">
        <v>4.6342427398250496</v>
      </c>
      <c r="T383">
        <v>-74.120557925662695</v>
      </c>
      <c r="U383" s="22">
        <v>14326</v>
      </c>
      <c r="V383" s="22">
        <v>15635.333329999999</v>
      </c>
      <c r="W383" s="25">
        <v>9811</v>
      </c>
      <c r="X383" s="24">
        <v>9750</v>
      </c>
      <c r="Y383" s="24">
        <v>140555</v>
      </c>
      <c r="Z383" s="24">
        <v>152444</v>
      </c>
      <c r="AA383" s="24">
        <v>2490</v>
      </c>
      <c r="AB383" s="24">
        <v>3572</v>
      </c>
      <c r="AC383" s="24">
        <v>51435</v>
      </c>
      <c r="AD383" s="24">
        <v>53800</v>
      </c>
      <c r="AE383" s="24">
        <v>10347</v>
      </c>
      <c r="AF383" s="24">
        <v>10452</v>
      </c>
      <c r="AG383" s="17">
        <v>0</v>
      </c>
      <c r="AH383" s="16" t="s">
        <v>136</v>
      </c>
      <c r="AI383" s="16" t="s">
        <v>49</v>
      </c>
      <c r="AJ383" s="16" t="s">
        <v>50</v>
      </c>
      <c r="AK383" s="16" t="s">
        <v>51</v>
      </c>
      <c r="AL383" s="25">
        <v>232000</v>
      </c>
      <c r="AM383" s="43">
        <f t="shared" si="23"/>
        <v>130.92496520308742</v>
      </c>
      <c r="AN383" s="16" t="s">
        <v>1272</v>
      </c>
      <c r="AO383" s="16" t="s">
        <v>60</v>
      </c>
    </row>
    <row r="384" spans="1:41" ht="14.5" x14ac:dyDescent="0.35">
      <c r="A384" s="27" t="s">
        <v>1273</v>
      </c>
      <c r="B384" s="16" t="s">
        <v>55</v>
      </c>
      <c r="C384" s="16" t="s">
        <v>43</v>
      </c>
      <c r="D384" s="16" t="s">
        <v>44</v>
      </c>
      <c r="E384" s="16" t="s">
        <v>463</v>
      </c>
      <c r="F384" s="16">
        <v>3</v>
      </c>
      <c r="G384" s="30" t="s">
        <v>1274</v>
      </c>
      <c r="H384" s="16">
        <v>0</v>
      </c>
      <c r="I384" s="16" t="s">
        <v>47</v>
      </c>
      <c r="J384" s="16">
        <v>190.08</v>
      </c>
      <c r="K384" s="16">
        <v>62</v>
      </c>
      <c r="L384" s="16">
        <v>2446</v>
      </c>
      <c r="M384" s="8">
        <v>0</v>
      </c>
      <c r="N384" s="21">
        <v>41064</v>
      </c>
      <c r="O384" s="7">
        <f t="shared" si="20"/>
        <v>4</v>
      </c>
      <c r="P384" s="22">
        <f t="shared" si="21"/>
        <v>27</v>
      </c>
      <c r="Q384" s="22">
        <f t="shared" si="22"/>
        <v>30</v>
      </c>
      <c r="R384" s="16">
        <v>116</v>
      </c>
      <c r="S384">
        <v>4.6245310390218997</v>
      </c>
      <c r="T384">
        <v>-74.067855934587101</v>
      </c>
      <c r="U384" s="22">
        <v>20653</v>
      </c>
      <c r="V384" s="22">
        <v>19361.333330000001</v>
      </c>
      <c r="W384" s="25">
        <v>10383</v>
      </c>
      <c r="X384" s="24">
        <v>10836</v>
      </c>
      <c r="Y384" s="24">
        <v>214438</v>
      </c>
      <c r="Z384" s="24">
        <v>209792</v>
      </c>
      <c r="AA384" s="24">
        <v>12966</v>
      </c>
      <c r="AB384" s="24">
        <v>9708</v>
      </c>
      <c r="AC384" s="24">
        <v>78408</v>
      </c>
      <c r="AD384" s="24">
        <v>74514</v>
      </c>
      <c r="AE384" s="24">
        <v>17622</v>
      </c>
      <c r="AF384" s="24">
        <v>17245</v>
      </c>
      <c r="AG384" s="17">
        <v>0</v>
      </c>
      <c r="AH384" s="16" t="s">
        <v>136</v>
      </c>
      <c r="AI384" s="16" t="s">
        <v>49</v>
      </c>
      <c r="AJ384" s="16" t="s">
        <v>50</v>
      </c>
      <c r="AK384" s="16" t="s">
        <v>51</v>
      </c>
      <c r="AL384" s="25">
        <v>232000</v>
      </c>
      <c r="AM384" s="43">
        <f t="shared" si="23"/>
        <v>92.708333333333329</v>
      </c>
      <c r="AN384" s="16" t="s">
        <v>424</v>
      </c>
      <c r="AO384" s="16" t="s">
        <v>60</v>
      </c>
    </row>
    <row r="385" spans="1:41" ht="14.5" x14ac:dyDescent="0.35">
      <c r="A385" s="27" t="s">
        <v>1275</v>
      </c>
      <c r="B385" s="16" t="s">
        <v>105</v>
      </c>
      <c r="C385" s="16" t="s">
        <v>177</v>
      </c>
      <c r="D385" s="16" t="s">
        <v>178</v>
      </c>
      <c r="E385" s="16" t="s">
        <v>228</v>
      </c>
      <c r="F385" s="16">
        <v>4</v>
      </c>
      <c r="G385" s="30" t="s">
        <v>1276</v>
      </c>
      <c r="H385" s="16">
        <v>0</v>
      </c>
      <c r="I385" s="16" t="s">
        <v>102</v>
      </c>
      <c r="J385" s="16">
        <v>71.8</v>
      </c>
      <c r="K385" s="16">
        <v>1559</v>
      </c>
      <c r="L385" s="16">
        <v>425</v>
      </c>
      <c r="M385" s="8">
        <v>146</v>
      </c>
      <c r="N385" s="21">
        <v>45322</v>
      </c>
      <c r="O385" s="7">
        <f t="shared" si="20"/>
        <v>31</v>
      </c>
      <c r="P385" s="22">
        <f t="shared" si="21"/>
        <v>1</v>
      </c>
      <c r="Q385" s="22">
        <f t="shared" si="22"/>
        <v>31</v>
      </c>
      <c r="R385" s="16">
        <v>32</v>
      </c>
      <c r="S385">
        <v>4.57527695354407</v>
      </c>
      <c r="T385">
        <v>-75.644785405401507</v>
      </c>
      <c r="U385" s="22">
        <v>15497</v>
      </c>
      <c r="V385" s="22">
        <v>14383.166670000001</v>
      </c>
      <c r="W385" s="25">
        <v>14206</v>
      </c>
      <c r="X385" s="24">
        <v>14133</v>
      </c>
      <c r="Y385" s="24">
        <v>220152</v>
      </c>
      <c r="Z385" s="24">
        <v>203280</v>
      </c>
      <c r="AA385" s="24">
        <v>10601</v>
      </c>
      <c r="AB385" s="24">
        <v>18607</v>
      </c>
      <c r="AC385" s="24">
        <v>83054</v>
      </c>
      <c r="AD385" s="24">
        <v>75914</v>
      </c>
      <c r="AE385" s="24">
        <v>8292</v>
      </c>
      <c r="AF385" s="24">
        <v>8381</v>
      </c>
      <c r="AG385" s="17">
        <v>0</v>
      </c>
      <c r="AH385" s="16" t="s">
        <v>48</v>
      </c>
      <c r="AI385" s="16" t="s">
        <v>49</v>
      </c>
      <c r="AJ385" s="16" t="s">
        <v>50</v>
      </c>
      <c r="AK385" s="16" t="s">
        <v>51</v>
      </c>
      <c r="AL385" s="25">
        <v>232000</v>
      </c>
      <c r="AM385" s="43">
        <f t="shared" si="23"/>
        <v>115.4874651810585</v>
      </c>
      <c r="AN385" s="16" t="s">
        <v>87</v>
      </c>
      <c r="AO385" s="16" t="s">
        <v>60</v>
      </c>
    </row>
    <row r="386" spans="1:41" ht="14.5" x14ac:dyDescent="0.35">
      <c r="A386" s="27" t="s">
        <v>1277</v>
      </c>
      <c r="B386" s="16" t="s">
        <v>55</v>
      </c>
      <c r="C386" s="16" t="s">
        <v>43</v>
      </c>
      <c r="D386" s="16" t="s">
        <v>44</v>
      </c>
      <c r="E386" s="16" t="s">
        <v>372</v>
      </c>
      <c r="F386" s="16">
        <v>3</v>
      </c>
      <c r="G386" s="30" t="s">
        <v>1278</v>
      </c>
      <c r="H386" s="16">
        <v>0</v>
      </c>
      <c r="I386" s="16" t="s">
        <v>47</v>
      </c>
      <c r="J386" s="16">
        <v>124.07</v>
      </c>
      <c r="K386" s="16">
        <v>1653</v>
      </c>
      <c r="L386" s="16">
        <v>532</v>
      </c>
      <c r="M386" s="8">
        <v>67</v>
      </c>
      <c r="N386" s="21">
        <v>44674</v>
      </c>
      <c r="O386" s="7">
        <f t="shared" ref="O386:O449" si="24">DAY(N386)</f>
        <v>23</v>
      </c>
      <c r="P386" s="22">
        <f t="shared" ref="P386:P449" si="25">Q386-O386+1</f>
        <v>8</v>
      </c>
      <c r="Q386" s="22">
        <f t="shared" ref="Q386:Q449" si="26">DAY(EOMONTH(N386,0))</f>
        <v>30</v>
      </c>
      <c r="R386" s="16">
        <v>53</v>
      </c>
      <c r="S386">
        <v>4.6691858288990096</v>
      </c>
      <c r="T386">
        <v>-74.140373253375202</v>
      </c>
      <c r="U386" s="22">
        <v>17717</v>
      </c>
      <c r="V386" s="22">
        <v>16983</v>
      </c>
      <c r="W386" s="25">
        <v>14988</v>
      </c>
      <c r="X386" s="24">
        <v>15579</v>
      </c>
      <c r="Y386" s="24">
        <v>265548</v>
      </c>
      <c r="Z386" s="24">
        <v>264579</v>
      </c>
      <c r="AA386" s="24">
        <v>34375</v>
      </c>
      <c r="AB386" s="24">
        <v>29696</v>
      </c>
      <c r="AC386" s="24">
        <v>90789</v>
      </c>
      <c r="AD386" s="24">
        <v>86886</v>
      </c>
      <c r="AE386" s="24">
        <v>6151</v>
      </c>
      <c r="AF386" s="24">
        <v>6204</v>
      </c>
      <c r="AG386" s="17">
        <v>0</v>
      </c>
      <c r="AH386" s="16" t="s">
        <v>934</v>
      </c>
      <c r="AI386" s="16" t="s">
        <v>49</v>
      </c>
      <c r="AJ386" s="16" t="s">
        <v>124</v>
      </c>
      <c r="AK386" s="16" t="s">
        <v>51</v>
      </c>
      <c r="AL386" s="25">
        <v>204160</v>
      </c>
      <c r="AM386" s="43">
        <f t="shared" ref="AM386:AM449" si="27">AE386/J386</f>
        <v>49.576851777222537</v>
      </c>
      <c r="AN386" s="16" t="s">
        <v>350</v>
      </c>
      <c r="AO386" s="16" t="s">
        <v>53</v>
      </c>
    </row>
    <row r="387" spans="1:41" ht="14.5" x14ac:dyDescent="0.35">
      <c r="A387" s="27" t="s">
        <v>1279</v>
      </c>
      <c r="B387" s="16" t="s">
        <v>105</v>
      </c>
      <c r="C387" s="16" t="s">
        <v>106</v>
      </c>
      <c r="D387" s="16" t="s">
        <v>298</v>
      </c>
      <c r="E387" s="16" t="s">
        <v>299</v>
      </c>
      <c r="F387" s="16">
        <v>6</v>
      </c>
      <c r="G387" s="30" t="s">
        <v>1280</v>
      </c>
      <c r="H387" s="16" t="s">
        <v>1281</v>
      </c>
      <c r="I387" s="16" t="s">
        <v>102</v>
      </c>
      <c r="J387" s="16">
        <v>147.76</v>
      </c>
      <c r="K387" s="16">
        <v>930</v>
      </c>
      <c r="L387" s="16">
        <v>1350</v>
      </c>
      <c r="M387" s="8">
        <v>195</v>
      </c>
      <c r="N387" s="21">
        <v>45595</v>
      </c>
      <c r="O387" s="7">
        <f t="shared" si="24"/>
        <v>30</v>
      </c>
      <c r="P387" s="22">
        <f t="shared" si="25"/>
        <v>2</v>
      </c>
      <c r="Q387" s="22">
        <f t="shared" si="26"/>
        <v>31</v>
      </c>
      <c r="R387" s="16">
        <v>23</v>
      </c>
      <c r="S387">
        <v>4.8136058192298297</v>
      </c>
      <c r="T387">
        <v>-75.716849852964998</v>
      </c>
      <c r="U387" s="22">
        <v>12233</v>
      </c>
      <c r="V387" s="22">
        <v>11812.833329999999</v>
      </c>
      <c r="W387" s="25">
        <v>16732</v>
      </c>
      <c r="X387" s="24">
        <v>15224</v>
      </c>
      <c r="Y387" s="24">
        <v>204687</v>
      </c>
      <c r="Z387" s="24">
        <v>179834</v>
      </c>
      <c r="AA387" s="24">
        <v>16370</v>
      </c>
      <c r="AB387" s="24">
        <v>13317</v>
      </c>
      <c r="AC387" s="24">
        <v>77902</v>
      </c>
      <c r="AD387" s="24">
        <v>68200</v>
      </c>
      <c r="AE387" s="24">
        <v>9994</v>
      </c>
      <c r="AF387" s="24">
        <v>10097</v>
      </c>
      <c r="AG387" s="17">
        <v>0</v>
      </c>
      <c r="AH387" s="16" t="s">
        <v>130</v>
      </c>
      <c r="AI387" s="16" t="s">
        <v>49</v>
      </c>
      <c r="AJ387" s="16" t="s">
        <v>124</v>
      </c>
      <c r="AK387" s="16" t="s">
        <v>51</v>
      </c>
      <c r="AL387" s="25">
        <v>204160</v>
      </c>
      <c r="AM387" s="43">
        <f t="shared" si="27"/>
        <v>67.636708175419599</v>
      </c>
      <c r="AN387" s="16">
        <v>0</v>
      </c>
      <c r="AO387" s="16" t="s">
        <v>53</v>
      </c>
    </row>
    <row r="388" spans="1:41" ht="14.5" x14ac:dyDescent="0.35">
      <c r="A388" s="27" t="s">
        <v>1282</v>
      </c>
      <c r="B388" s="16" t="s">
        <v>55</v>
      </c>
      <c r="C388" s="16" t="s">
        <v>43</v>
      </c>
      <c r="D388" s="16" t="s">
        <v>44</v>
      </c>
      <c r="E388" s="16" t="s">
        <v>473</v>
      </c>
      <c r="F388" s="16">
        <v>3</v>
      </c>
      <c r="G388" s="30" t="s">
        <v>1283</v>
      </c>
      <c r="H388" s="16" t="s">
        <v>1284</v>
      </c>
      <c r="I388" s="16" t="s">
        <v>47</v>
      </c>
      <c r="J388" s="16">
        <v>167.85</v>
      </c>
      <c r="K388" s="16">
        <v>1410</v>
      </c>
      <c r="L388" s="16">
        <v>2200</v>
      </c>
      <c r="M388" s="8">
        <v>42</v>
      </c>
      <c r="N388" s="21">
        <v>45773</v>
      </c>
      <c r="O388" s="7">
        <f t="shared" si="24"/>
        <v>26</v>
      </c>
      <c r="P388" s="22">
        <f t="shared" si="25"/>
        <v>5</v>
      </c>
      <c r="Q388" s="22">
        <f t="shared" si="26"/>
        <v>30</v>
      </c>
      <c r="R388" s="16">
        <v>17</v>
      </c>
      <c r="S388">
        <v>4.6341530326251998</v>
      </c>
      <c r="T388">
        <v>-74.066224063326104</v>
      </c>
      <c r="U388" s="22">
        <v>22939</v>
      </c>
      <c r="V388" s="22">
        <v>20332.5</v>
      </c>
      <c r="W388" s="25">
        <v>10004</v>
      </c>
      <c r="X388" s="24">
        <v>10164</v>
      </c>
      <c r="Y388" s="24">
        <v>229472</v>
      </c>
      <c r="Z388" s="24">
        <v>206651</v>
      </c>
      <c r="AA388" s="24">
        <v>21208</v>
      </c>
      <c r="AB388" s="24">
        <v>14202</v>
      </c>
      <c r="AC388" s="24">
        <v>87431</v>
      </c>
      <c r="AD388" s="24">
        <v>77311</v>
      </c>
      <c r="AE388" s="24">
        <v>14189</v>
      </c>
      <c r="AF388" s="24">
        <v>14209</v>
      </c>
      <c r="AG388" s="17">
        <v>1.3229</v>
      </c>
      <c r="AH388" s="16" t="s">
        <v>64</v>
      </c>
      <c r="AI388" s="16" t="s">
        <v>49</v>
      </c>
      <c r="AJ388" s="16" t="s">
        <v>50</v>
      </c>
      <c r="AK388" s="16" t="s">
        <v>51</v>
      </c>
      <c r="AL388" s="25">
        <v>232000</v>
      </c>
      <c r="AM388" s="43">
        <f t="shared" si="27"/>
        <v>84.533809949359551</v>
      </c>
      <c r="AN388" s="16" t="s">
        <v>97</v>
      </c>
      <c r="AO388" s="16" t="s">
        <v>98</v>
      </c>
    </row>
    <row r="389" spans="1:41" ht="14.5" x14ac:dyDescent="0.35">
      <c r="A389" s="27" t="s">
        <v>1285</v>
      </c>
      <c r="B389" s="16" t="s">
        <v>55</v>
      </c>
      <c r="C389" s="16" t="s">
        <v>43</v>
      </c>
      <c r="D389" s="16" t="s">
        <v>44</v>
      </c>
      <c r="E389" s="16" t="s">
        <v>201</v>
      </c>
      <c r="F389" s="16">
        <v>3</v>
      </c>
      <c r="G389" s="30" t="s">
        <v>1286</v>
      </c>
      <c r="H389" s="16" t="s">
        <v>1287</v>
      </c>
      <c r="I389" s="16" t="s">
        <v>47</v>
      </c>
      <c r="J389" s="16">
        <v>228.12</v>
      </c>
      <c r="K389" s="16">
        <v>2076</v>
      </c>
      <c r="L389" s="16">
        <v>350</v>
      </c>
      <c r="M389" s="8">
        <v>18</v>
      </c>
      <c r="N389" s="21">
        <v>45595</v>
      </c>
      <c r="O389" s="7">
        <f t="shared" si="24"/>
        <v>30</v>
      </c>
      <c r="P389" s="22">
        <f t="shared" si="25"/>
        <v>2</v>
      </c>
      <c r="Q389" s="22">
        <f t="shared" si="26"/>
        <v>31</v>
      </c>
      <c r="R389" s="16">
        <v>23</v>
      </c>
      <c r="S389">
        <v>4.6270904142554397</v>
      </c>
      <c r="T389">
        <v>-74.132021958448604</v>
      </c>
      <c r="U389" s="22">
        <v>14357</v>
      </c>
      <c r="V389" s="22">
        <v>13843</v>
      </c>
      <c r="W389" s="25">
        <v>16742</v>
      </c>
      <c r="X389" s="24">
        <v>15331</v>
      </c>
      <c r="Y389" s="24">
        <v>240366</v>
      </c>
      <c r="Z389" s="24">
        <v>212223</v>
      </c>
      <c r="AA389" s="24">
        <v>16653</v>
      </c>
      <c r="AB389" s="24">
        <v>12120</v>
      </c>
      <c r="AC389" s="24">
        <v>78301</v>
      </c>
      <c r="AD389" s="24">
        <v>69398</v>
      </c>
      <c r="AE389" s="24">
        <v>8416</v>
      </c>
      <c r="AF389" s="24">
        <v>8506</v>
      </c>
      <c r="AG389" s="17">
        <v>0</v>
      </c>
      <c r="AH389" s="16" t="s">
        <v>198</v>
      </c>
      <c r="AI389" s="16" t="s">
        <v>49</v>
      </c>
      <c r="AJ389" s="16" t="s">
        <v>50</v>
      </c>
      <c r="AK389" s="16" t="s">
        <v>51</v>
      </c>
      <c r="AL389" s="25">
        <v>232000</v>
      </c>
      <c r="AM389" s="43">
        <f t="shared" si="27"/>
        <v>36.89286340522532</v>
      </c>
      <c r="AN389" s="16" t="s">
        <v>72</v>
      </c>
      <c r="AO389" s="16" t="s">
        <v>60</v>
      </c>
    </row>
    <row r="390" spans="1:41" ht="14.5" x14ac:dyDescent="0.35">
      <c r="A390" s="27" t="s">
        <v>1288</v>
      </c>
      <c r="B390" s="16" t="s">
        <v>105</v>
      </c>
      <c r="C390" s="16" t="s">
        <v>157</v>
      </c>
      <c r="D390" s="16" t="s">
        <v>158</v>
      </c>
      <c r="E390" s="16" t="s">
        <v>1289</v>
      </c>
      <c r="F390" s="16">
        <v>6</v>
      </c>
      <c r="G390" s="30" t="s">
        <v>1290</v>
      </c>
      <c r="H390" s="16">
        <v>0</v>
      </c>
      <c r="I390" s="16" t="s">
        <v>102</v>
      </c>
      <c r="J390" s="16">
        <v>88.73</v>
      </c>
      <c r="K390" s="16">
        <v>2149</v>
      </c>
      <c r="L390" s="16">
        <v>0</v>
      </c>
      <c r="M390" s="8">
        <v>176</v>
      </c>
      <c r="N390" s="21">
        <v>45436</v>
      </c>
      <c r="O390" s="7">
        <f t="shared" si="24"/>
        <v>24</v>
      </c>
      <c r="P390" s="22">
        <f t="shared" si="25"/>
        <v>8</v>
      </c>
      <c r="Q390" s="22">
        <f t="shared" si="26"/>
        <v>31</v>
      </c>
      <c r="R390" s="16">
        <v>28</v>
      </c>
      <c r="S390">
        <v>6.2171053698763403</v>
      </c>
      <c r="T390">
        <v>-75.556384717622294</v>
      </c>
      <c r="U390" s="22">
        <v>11061</v>
      </c>
      <c r="V390" s="22">
        <v>9798.8333330000005</v>
      </c>
      <c r="W390" s="25">
        <v>18021</v>
      </c>
      <c r="X390" s="24">
        <v>17775</v>
      </c>
      <c r="Y390" s="24">
        <v>199331</v>
      </c>
      <c r="Z390" s="24">
        <v>174176</v>
      </c>
      <c r="AA390" s="24">
        <v>16943</v>
      </c>
      <c r="AB390" s="24">
        <v>9956</v>
      </c>
      <c r="AC390" s="24">
        <v>72952</v>
      </c>
      <c r="AD390" s="24">
        <v>64155</v>
      </c>
      <c r="AE390" s="24">
        <v>9398</v>
      </c>
      <c r="AF390" s="24">
        <v>9364</v>
      </c>
      <c r="AG390" s="17">
        <v>0</v>
      </c>
      <c r="AH390" s="16" t="s">
        <v>82</v>
      </c>
      <c r="AI390" s="16" t="s">
        <v>49</v>
      </c>
      <c r="AJ390" s="16" t="s">
        <v>124</v>
      </c>
      <c r="AK390" s="16" t="s">
        <v>51</v>
      </c>
      <c r="AL390" s="25">
        <v>204160</v>
      </c>
      <c r="AM390" s="43">
        <f t="shared" si="27"/>
        <v>105.91682632705961</v>
      </c>
      <c r="AN390" s="16" t="s">
        <v>1077</v>
      </c>
      <c r="AO390" s="16" t="s">
        <v>60</v>
      </c>
    </row>
    <row r="391" spans="1:41" ht="14.5" x14ac:dyDescent="0.35">
      <c r="A391" s="27" t="s">
        <v>1291</v>
      </c>
      <c r="B391" s="16" t="s">
        <v>42</v>
      </c>
      <c r="C391" s="16" t="s">
        <v>43</v>
      </c>
      <c r="D391" s="16" t="s">
        <v>44</v>
      </c>
      <c r="E391" s="16" t="s">
        <v>143</v>
      </c>
      <c r="F391" s="16">
        <v>4</v>
      </c>
      <c r="G391" s="30" t="s">
        <v>1292</v>
      </c>
      <c r="H391" s="16">
        <v>0</v>
      </c>
      <c r="I391" s="16" t="s">
        <v>102</v>
      </c>
      <c r="J391" s="16">
        <v>100.12</v>
      </c>
      <c r="K391" s="16">
        <v>1954</v>
      </c>
      <c r="L391" s="16">
        <v>755</v>
      </c>
      <c r="M391" s="8">
        <v>85</v>
      </c>
      <c r="N391" s="21">
        <v>46098</v>
      </c>
      <c r="O391" s="7">
        <f t="shared" si="24"/>
        <v>17</v>
      </c>
      <c r="P391" s="22">
        <f t="shared" si="25"/>
        <v>15</v>
      </c>
      <c r="Q391" s="22">
        <f t="shared" si="26"/>
        <v>31</v>
      </c>
      <c r="R391" s="16">
        <v>6</v>
      </c>
      <c r="S391">
        <v>4.7317042018292197</v>
      </c>
      <c r="T391">
        <v>-74.050210537607398</v>
      </c>
      <c r="U391" s="22">
        <v>16925</v>
      </c>
      <c r="V391" s="22">
        <v>14013.833329999999</v>
      </c>
      <c r="W391" s="25">
        <v>10514</v>
      </c>
      <c r="X391" s="24">
        <v>11766</v>
      </c>
      <c r="Y391" s="24">
        <v>177941</v>
      </c>
      <c r="Z391" s="24">
        <v>164888</v>
      </c>
      <c r="AA391" s="24">
        <v>7468</v>
      </c>
      <c r="AB391" s="24">
        <v>7335</v>
      </c>
      <c r="AC391" s="24">
        <v>59494</v>
      </c>
      <c r="AD391" s="24">
        <v>56164</v>
      </c>
      <c r="AE391" s="24">
        <v>9500</v>
      </c>
      <c r="AF391" s="24">
        <v>9113</v>
      </c>
      <c r="AG391" s="17">
        <v>1.2617</v>
      </c>
      <c r="AH391" s="16" t="s">
        <v>136</v>
      </c>
      <c r="AI391" s="16" t="s">
        <v>49</v>
      </c>
      <c r="AJ391" s="16" t="s">
        <v>50</v>
      </c>
      <c r="AK391" s="16" t="s">
        <v>65</v>
      </c>
      <c r="AL391" s="25">
        <v>241405</v>
      </c>
      <c r="AM391" s="43">
        <f t="shared" si="27"/>
        <v>94.886136636036753</v>
      </c>
      <c r="AN391" s="16">
        <v>0</v>
      </c>
      <c r="AO391" s="16" t="s">
        <v>98</v>
      </c>
    </row>
    <row r="392" spans="1:41" ht="14.5" x14ac:dyDescent="0.35">
      <c r="A392" s="27" t="s">
        <v>1293</v>
      </c>
      <c r="B392" s="16" t="s">
        <v>105</v>
      </c>
      <c r="C392" s="16" t="s">
        <v>157</v>
      </c>
      <c r="D392" s="16" t="s">
        <v>158</v>
      </c>
      <c r="E392" s="16" t="s">
        <v>263</v>
      </c>
      <c r="F392" s="16">
        <v>4</v>
      </c>
      <c r="G392" s="30" t="s">
        <v>1294</v>
      </c>
      <c r="H392" s="16" t="s">
        <v>1295</v>
      </c>
      <c r="I392" s="16" t="s">
        <v>47</v>
      </c>
      <c r="J392" s="16">
        <v>84.17</v>
      </c>
      <c r="K392" s="16">
        <v>2392</v>
      </c>
      <c r="L392" s="16">
        <v>759</v>
      </c>
      <c r="M392" s="8">
        <v>55</v>
      </c>
      <c r="N392" s="21">
        <v>45626</v>
      </c>
      <c r="O392" s="7">
        <f t="shared" si="24"/>
        <v>30</v>
      </c>
      <c r="P392" s="22">
        <f t="shared" si="25"/>
        <v>1</v>
      </c>
      <c r="Q392" s="22">
        <f t="shared" si="26"/>
        <v>30</v>
      </c>
      <c r="R392" s="16">
        <v>22</v>
      </c>
      <c r="S392">
        <v>6.2616947854754699</v>
      </c>
      <c r="T392">
        <v>-75.593267756529002</v>
      </c>
      <c r="U392" s="22">
        <v>15247</v>
      </c>
      <c r="V392" s="22">
        <v>13780.333329999999</v>
      </c>
      <c r="W392" s="25">
        <v>12273</v>
      </c>
      <c r="X392" s="24">
        <v>12452</v>
      </c>
      <c r="Y392" s="24">
        <v>187122</v>
      </c>
      <c r="Z392" s="24">
        <v>171591</v>
      </c>
      <c r="AA392" s="24">
        <v>14411</v>
      </c>
      <c r="AB392" s="24">
        <v>10313</v>
      </c>
      <c r="AC392" s="24">
        <v>72339</v>
      </c>
      <c r="AD392" s="24">
        <v>64246</v>
      </c>
      <c r="AE392" s="24">
        <v>9468</v>
      </c>
      <c r="AF392" s="24">
        <v>9566</v>
      </c>
      <c r="AG392" s="17">
        <v>0</v>
      </c>
      <c r="AH392" s="16" t="s">
        <v>58</v>
      </c>
      <c r="AI392" s="16" t="s">
        <v>49</v>
      </c>
      <c r="AJ392" s="16" t="s">
        <v>50</v>
      </c>
      <c r="AK392" s="16" t="s">
        <v>51</v>
      </c>
      <c r="AL392" s="25">
        <v>232000</v>
      </c>
      <c r="AM392" s="43">
        <f t="shared" si="27"/>
        <v>112.48663419270524</v>
      </c>
      <c r="AN392" s="16" t="s">
        <v>1296</v>
      </c>
      <c r="AO392" s="16" t="s">
        <v>60</v>
      </c>
    </row>
    <row r="393" spans="1:41" ht="14.5" x14ac:dyDescent="0.35">
      <c r="A393" s="27" t="s">
        <v>1297</v>
      </c>
      <c r="B393" s="16" t="s">
        <v>55</v>
      </c>
      <c r="C393" s="16" t="s">
        <v>43</v>
      </c>
      <c r="D393" s="16" t="s">
        <v>44</v>
      </c>
      <c r="E393" s="16" t="s">
        <v>444</v>
      </c>
      <c r="F393" s="16">
        <v>3</v>
      </c>
      <c r="G393" s="30" t="s">
        <v>1298</v>
      </c>
      <c r="H393" s="16" t="s">
        <v>1299</v>
      </c>
      <c r="I393" s="16" t="s">
        <v>47</v>
      </c>
      <c r="J393" s="16">
        <v>119.37</v>
      </c>
      <c r="K393" s="16">
        <v>1588</v>
      </c>
      <c r="L393" s="16">
        <v>1817</v>
      </c>
      <c r="M393" s="8">
        <v>14</v>
      </c>
      <c r="N393" s="21">
        <v>45808</v>
      </c>
      <c r="O393" s="7">
        <f t="shared" si="24"/>
        <v>31</v>
      </c>
      <c r="P393" s="22">
        <f t="shared" si="25"/>
        <v>1</v>
      </c>
      <c r="Q393" s="22">
        <f t="shared" si="26"/>
        <v>31</v>
      </c>
      <c r="R393" s="16">
        <v>16</v>
      </c>
      <c r="S393">
        <v>4.6228234726759103</v>
      </c>
      <c r="T393">
        <v>-74.081109821020505</v>
      </c>
      <c r="U393" s="22">
        <v>24505</v>
      </c>
      <c r="V393" s="22">
        <v>22858.5</v>
      </c>
      <c r="W393" s="25">
        <v>10598</v>
      </c>
      <c r="X393" s="24">
        <v>10608</v>
      </c>
      <c r="Y393" s="24">
        <v>259699</v>
      </c>
      <c r="Z393" s="24">
        <v>242483</v>
      </c>
      <c r="AA393" s="24">
        <v>36319</v>
      </c>
      <c r="AB393" s="24">
        <v>30922</v>
      </c>
      <c r="AC393" s="24">
        <v>99569</v>
      </c>
      <c r="AD393" s="24">
        <v>91493</v>
      </c>
      <c r="AE393" s="24">
        <v>9459</v>
      </c>
      <c r="AF393" s="24">
        <v>9366</v>
      </c>
      <c r="AG393" s="17">
        <v>1.6711</v>
      </c>
      <c r="AH393" s="16" t="s">
        <v>82</v>
      </c>
      <c r="AI393" s="16" t="s">
        <v>49</v>
      </c>
      <c r="AJ393" s="16" t="s">
        <v>50</v>
      </c>
      <c r="AK393" s="16" t="s">
        <v>51</v>
      </c>
      <c r="AL393" s="25">
        <v>232000</v>
      </c>
      <c r="AM393" s="43">
        <f t="shared" si="27"/>
        <v>79.241015330485041</v>
      </c>
      <c r="AN393" s="16" t="s">
        <v>1300</v>
      </c>
      <c r="AO393" s="16" t="s">
        <v>60</v>
      </c>
    </row>
    <row r="394" spans="1:41" ht="14.5" x14ac:dyDescent="0.35">
      <c r="A394" s="27" t="s">
        <v>1301</v>
      </c>
      <c r="B394" s="16" t="s">
        <v>183</v>
      </c>
      <c r="C394" s="16" t="s">
        <v>184</v>
      </c>
      <c r="D394" s="16" t="s">
        <v>836</v>
      </c>
      <c r="E394" s="16" t="s">
        <v>837</v>
      </c>
      <c r="F394" s="16">
        <v>4</v>
      </c>
      <c r="G394" s="30" t="s">
        <v>1302</v>
      </c>
      <c r="H394" s="16" t="s">
        <v>1303</v>
      </c>
      <c r="I394" s="16" t="s">
        <v>47</v>
      </c>
      <c r="J394" s="16">
        <v>101.24</v>
      </c>
      <c r="K394" s="16">
        <v>1969</v>
      </c>
      <c r="L394" s="16">
        <v>180</v>
      </c>
      <c r="M394" s="8">
        <v>33</v>
      </c>
      <c r="N394" s="21">
        <v>46041</v>
      </c>
      <c r="O394" s="7">
        <f t="shared" si="24"/>
        <v>19</v>
      </c>
      <c r="P394" s="22">
        <f t="shared" si="25"/>
        <v>13</v>
      </c>
      <c r="Q394" s="22">
        <f t="shared" si="26"/>
        <v>31</v>
      </c>
      <c r="R394" s="16">
        <v>8</v>
      </c>
      <c r="S394">
        <v>11.0253964484085</v>
      </c>
      <c r="T394">
        <v>-74.862349796926196</v>
      </c>
      <c r="U394" s="22">
        <v>15520</v>
      </c>
      <c r="V394" s="22">
        <v>13907.333329999999</v>
      </c>
      <c r="W394" s="25">
        <v>15934</v>
      </c>
      <c r="X394" s="24">
        <v>16149</v>
      </c>
      <c r="Y394" s="24">
        <v>247302</v>
      </c>
      <c r="Z394" s="24">
        <v>224583</v>
      </c>
      <c r="AA394" s="24">
        <v>19819</v>
      </c>
      <c r="AB394" s="24">
        <v>17562</v>
      </c>
      <c r="AC394" s="24">
        <v>92693</v>
      </c>
      <c r="AD394" s="24">
        <v>83982</v>
      </c>
      <c r="AE394" s="24">
        <v>9000</v>
      </c>
      <c r="AF394" s="24">
        <v>10628</v>
      </c>
      <c r="AG394" s="17">
        <v>1.5021</v>
      </c>
      <c r="AH394" s="16" t="s">
        <v>130</v>
      </c>
      <c r="AI394" s="16" t="s">
        <v>49</v>
      </c>
      <c r="AJ394" s="16" t="s">
        <v>76</v>
      </c>
      <c r="AK394" s="16" t="s">
        <v>65</v>
      </c>
      <c r="AL394" s="25">
        <v>232000</v>
      </c>
      <c r="AM394" s="43">
        <f t="shared" si="27"/>
        <v>88.897668905570924</v>
      </c>
      <c r="AN394" s="16" t="s">
        <v>370</v>
      </c>
      <c r="AO394" s="16" t="s">
        <v>60</v>
      </c>
    </row>
    <row r="395" spans="1:41" ht="14.5" x14ac:dyDescent="0.35">
      <c r="A395" s="27" t="s">
        <v>1304</v>
      </c>
      <c r="B395" s="16" t="s">
        <v>119</v>
      </c>
      <c r="C395" s="16" t="s">
        <v>120</v>
      </c>
      <c r="D395" s="16" t="s">
        <v>147</v>
      </c>
      <c r="E395" s="16" t="s">
        <v>148</v>
      </c>
      <c r="F395" s="16">
        <v>5</v>
      </c>
      <c r="G395" s="30" t="s">
        <v>1305</v>
      </c>
      <c r="H395" s="16">
        <v>0</v>
      </c>
      <c r="I395" s="16" t="s">
        <v>47</v>
      </c>
      <c r="J395" s="16">
        <v>55.15</v>
      </c>
      <c r="K395" s="16">
        <v>98</v>
      </c>
      <c r="L395" s="16">
        <v>1670</v>
      </c>
      <c r="M395" s="8">
        <v>107</v>
      </c>
      <c r="N395" s="21">
        <v>45377</v>
      </c>
      <c r="O395" s="7">
        <f t="shared" si="24"/>
        <v>26</v>
      </c>
      <c r="P395" s="22">
        <f t="shared" si="25"/>
        <v>6</v>
      </c>
      <c r="Q395" s="22">
        <f t="shared" si="26"/>
        <v>31</v>
      </c>
      <c r="R395" s="16">
        <v>30</v>
      </c>
      <c r="S395">
        <v>7.0360237472890699</v>
      </c>
      <c r="T395">
        <v>-73.069092967217202</v>
      </c>
      <c r="U395" s="22">
        <v>20132</v>
      </c>
      <c r="V395" s="22">
        <v>19644.5</v>
      </c>
      <c r="W395" s="25">
        <v>10068</v>
      </c>
      <c r="X395" s="24">
        <v>10159</v>
      </c>
      <c r="Y395" s="24">
        <v>202683</v>
      </c>
      <c r="Z395" s="24">
        <v>199572</v>
      </c>
      <c r="AA395" s="24">
        <v>24683</v>
      </c>
      <c r="AB395" s="24">
        <v>28647</v>
      </c>
      <c r="AC395" s="24">
        <v>89049</v>
      </c>
      <c r="AD395" s="24">
        <v>89152</v>
      </c>
      <c r="AE395" s="24">
        <v>9305</v>
      </c>
      <c r="AF395" s="24">
        <v>9402</v>
      </c>
      <c r="AG395" s="17">
        <v>0</v>
      </c>
      <c r="AH395" s="16" t="s">
        <v>136</v>
      </c>
      <c r="AI395" s="16" t="s">
        <v>49</v>
      </c>
      <c r="AJ395" s="16" t="s">
        <v>76</v>
      </c>
      <c r="AK395" s="16" t="s">
        <v>51</v>
      </c>
      <c r="AL395" s="25">
        <v>241405</v>
      </c>
      <c r="AM395" s="43">
        <f t="shared" si="27"/>
        <v>168.72166817769718</v>
      </c>
      <c r="AN395" s="16" t="s">
        <v>510</v>
      </c>
      <c r="AO395" s="16" t="s">
        <v>60</v>
      </c>
    </row>
    <row r="396" spans="1:41" ht="14.5" x14ac:dyDescent="0.35">
      <c r="A396" s="27" t="s">
        <v>1306</v>
      </c>
      <c r="B396" s="16" t="s">
        <v>55</v>
      </c>
      <c r="C396" s="16" t="s">
        <v>43</v>
      </c>
      <c r="D396" s="16" t="s">
        <v>44</v>
      </c>
      <c r="E396" s="16" t="s">
        <v>352</v>
      </c>
      <c r="F396" s="16">
        <v>3</v>
      </c>
      <c r="G396" s="30" t="s">
        <v>1307</v>
      </c>
      <c r="H396" s="16">
        <v>0</v>
      </c>
      <c r="I396" s="16" t="s">
        <v>47</v>
      </c>
      <c r="J396" s="16">
        <v>112.39</v>
      </c>
      <c r="K396" s="16">
        <v>1921</v>
      </c>
      <c r="L396" s="16">
        <v>899</v>
      </c>
      <c r="M396" s="8">
        <v>135</v>
      </c>
      <c r="N396" s="21">
        <v>45254</v>
      </c>
      <c r="O396" s="7">
        <f t="shared" si="24"/>
        <v>24</v>
      </c>
      <c r="P396" s="22">
        <f t="shared" si="25"/>
        <v>7</v>
      </c>
      <c r="Q396" s="22">
        <f t="shared" si="26"/>
        <v>30</v>
      </c>
      <c r="R396" s="16">
        <v>34</v>
      </c>
      <c r="S396">
        <v>4.6882534408061396</v>
      </c>
      <c r="T396">
        <v>-74.088790343160198</v>
      </c>
      <c r="U396" s="22">
        <v>16437</v>
      </c>
      <c r="V396" s="22">
        <v>16623.666669999999</v>
      </c>
      <c r="W396" s="25">
        <v>11770</v>
      </c>
      <c r="X396" s="24">
        <v>12009</v>
      </c>
      <c r="Y396" s="24">
        <v>193467</v>
      </c>
      <c r="Z396" s="24">
        <v>199634</v>
      </c>
      <c r="AA396" s="24">
        <v>6398</v>
      </c>
      <c r="AB396" s="24">
        <v>9351</v>
      </c>
      <c r="AC396" s="24">
        <v>64951</v>
      </c>
      <c r="AD396" s="24">
        <v>64492</v>
      </c>
      <c r="AE396" s="24">
        <v>10347</v>
      </c>
      <c r="AF396" s="24">
        <v>10452</v>
      </c>
      <c r="AG396" s="17">
        <v>0</v>
      </c>
      <c r="AH396" s="16" t="s">
        <v>136</v>
      </c>
      <c r="AI396" s="16" t="s">
        <v>49</v>
      </c>
      <c r="AJ396" s="16" t="s">
        <v>76</v>
      </c>
      <c r="AK396" s="16" t="s">
        <v>51</v>
      </c>
      <c r="AL396" s="25">
        <v>241405</v>
      </c>
      <c r="AM396" s="43">
        <f t="shared" si="27"/>
        <v>92.063350831924552</v>
      </c>
      <c r="AN396" s="16" t="s">
        <v>1308</v>
      </c>
      <c r="AO396" s="16" t="s">
        <v>60</v>
      </c>
    </row>
    <row r="397" spans="1:41" ht="14.5" x14ac:dyDescent="0.35">
      <c r="A397" s="27" t="s">
        <v>1309</v>
      </c>
      <c r="B397" s="16" t="s">
        <v>55</v>
      </c>
      <c r="C397" s="16" t="s">
        <v>43</v>
      </c>
      <c r="D397" s="16" t="s">
        <v>44</v>
      </c>
      <c r="E397" s="16" t="s">
        <v>531</v>
      </c>
      <c r="F397" s="16">
        <v>3</v>
      </c>
      <c r="G397" s="30" t="s">
        <v>1310</v>
      </c>
      <c r="H397" s="16" t="s">
        <v>1311</v>
      </c>
      <c r="I397" s="16" t="s">
        <v>47</v>
      </c>
      <c r="J397" s="16">
        <v>95.67</v>
      </c>
      <c r="K397" s="16">
        <v>331</v>
      </c>
      <c r="L397" s="16">
        <v>4200</v>
      </c>
      <c r="M397" s="8">
        <v>106</v>
      </c>
      <c r="N397" s="21">
        <v>45700</v>
      </c>
      <c r="O397" s="7">
        <f t="shared" si="24"/>
        <v>12</v>
      </c>
      <c r="P397" s="22">
        <f t="shared" si="25"/>
        <v>17</v>
      </c>
      <c r="Q397" s="22">
        <f t="shared" si="26"/>
        <v>28</v>
      </c>
      <c r="R397" s="16">
        <v>19</v>
      </c>
      <c r="S397">
        <v>4.6667064778147296</v>
      </c>
      <c r="T397">
        <v>-74.073505492056398</v>
      </c>
      <c r="U397" s="22">
        <v>19516</v>
      </c>
      <c r="V397" s="22">
        <v>19695.666669999999</v>
      </c>
      <c r="W397" s="25">
        <v>10193</v>
      </c>
      <c r="X397" s="24">
        <v>10030</v>
      </c>
      <c r="Y397" s="24">
        <v>198935</v>
      </c>
      <c r="Z397" s="24">
        <v>197538</v>
      </c>
      <c r="AA397" s="24">
        <v>23358</v>
      </c>
      <c r="AB397" s="24">
        <v>16420</v>
      </c>
      <c r="AC397" s="24">
        <v>72898</v>
      </c>
      <c r="AD397" s="24">
        <v>69715</v>
      </c>
      <c r="AE397" s="24">
        <v>6726</v>
      </c>
      <c r="AF397" s="24">
        <v>6802</v>
      </c>
      <c r="AG397" s="17">
        <v>0</v>
      </c>
      <c r="AH397" s="16" t="s">
        <v>64</v>
      </c>
      <c r="AI397" s="16" t="s">
        <v>49</v>
      </c>
      <c r="AJ397" s="16" t="s">
        <v>50</v>
      </c>
      <c r="AK397" s="16" t="s">
        <v>51</v>
      </c>
      <c r="AL397" s="25">
        <v>232000</v>
      </c>
      <c r="AM397" s="43">
        <f t="shared" si="27"/>
        <v>70.304170586390711</v>
      </c>
      <c r="AN397" s="16" t="s">
        <v>1312</v>
      </c>
      <c r="AO397" s="16" t="s">
        <v>60</v>
      </c>
    </row>
    <row r="398" spans="1:41" ht="14.5" x14ac:dyDescent="0.35">
      <c r="A398" s="27" t="s">
        <v>1313</v>
      </c>
      <c r="B398" s="16" t="s">
        <v>55</v>
      </c>
      <c r="C398" s="16" t="s">
        <v>43</v>
      </c>
      <c r="D398" s="16" t="s">
        <v>44</v>
      </c>
      <c r="E398" s="16" t="s">
        <v>1050</v>
      </c>
      <c r="F398" s="16">
        <v>4</v>
      </c>
      <c r="G398" s="30" t="s">
        <v>1314</v>
      </c>
      <c r="H398" s="16">
        <v>0</v>
      </c>
      <c r="I398" s="16" t="s">
        <v>102</v>
      </c>
      <c r="J398" s="16">
        <v>112.01</v>
      </c>
      <c r="K398" s="16">
        <v>1732</v>
      </c>
      <c r="L398" s="16">
        <v>1550</v>
      </c>
      <c r="M398" s="8">
        <v>85</v>
      </c>
      <c r="N398" s="21">
        <v>45412</v>
      </c>
      <c r="O398" s="7">
        <f t="shared" si="24"/>
        <v>30</v>
      </c>
      <c r="P398" s="22">
        <f t="shared" si="25"/>
        <v>1</v>
      </c>
      <c r="Q398" s="22">
        <f t="shared" si="26"/>
        <v>30</v>
      </c>
      <c r="R398" s="16">
        <v>29</v>
      </c>
      <c r="S398">
        <v>4.65377059804052</v>
      </c>
      <c r="T398">
        <v>-74.130237224267404</v>
      </c>
      <c r="U398" s="22">
        <v>23162</v>
      </c>
      <c r="V398" s="22">
        <v>22547.666669999999</v>
      </c>
      <c r="W398" s="25">
        <v>11910</v>
      </c>
      <c r="X398" s="24">
        <v>12313</v>
      </c>
      <c r="Y398" s="24">
        <v>275868</v>
      </c>
      <c r="Z398" s="24">
        <v>277623</v>
      </c>
      <c r="AA398" s="24">
        <v>28124</v>
      </c>
      <c r="AB398" s="24">
        <v>33939</v>
      </c>
      <c r="AC398" s="24">
        <v>98414</v>
      </c>
      <c r="AD398" s="24">
        <v>100225</v>
      </c>
      <c r="AE398" s="24">
        <v>11147</v>
      </c>
      <c r="AF398" s="24">
        <v>11029</v>
      </c>
      <c r="AG398" s="17">
        <v>0</v>
      </c>
      <c r="AH398" s="16" t="s">
        <v>136</v>
      </c>
      <c r="AI398" s="16" t="s">
        <v>49</v>
      </c>
      <c r="AJ398" s="16" t="s">
        <v>50</v>
      </c>
      <c r="AK398" s="16" t="s">
        <v>51</v>
      </c>
      <c r="AL398" s="25">
        <v>232000</v>
      </c>
      <c r="AM398" s="43">
        <f t="shared" si="27"/>
        <v>99.517900187483249</v>
      </c>
      <c r="AN398" s="16" t="s">
        <v>261</v>
      </c>
      <c r="AO398" s="16" t="s">
        <v>60</v>
      </c>
    </row>
    <row r="399" spans="1:41" ht="14.5" x14ac:dyDescent="0.35">
      <c r="A399" s="32" t="s">
        <v>1315</v>
      </c>
      <c r="B399" s="32" t="s">
        <v>55</v>
      </c>
      <c r="C399" s="32" t="s">
        <v>43</v>
      </c>
      <c r="D399" s="32" t="s">
        <v>44</v>
      </c>
      <c r="E399" s="32" t="s">
        <v>68</v>
      </c>
      <c r="F399" s="33">
        <v>4</v>
      </c>
      <c r="G399" s="30" t="s">
        <v>1316</v>
      </c>
      <c r="H399" s="32" t="s">
        <v>64</v>
      </c>
      <c r="I399" s="32" t="s">
        <v>102</v>
      </c>
      <c r="J399" s="34">
        <v>119.13</v>
      </c>
      <c r="K399" s="33">
        <v>517</v>
      </c>
      <c r="L399" s="33">
        <v>1400</v>
      </c>
      <c r="M399" s="8">
        <v>144</v>
      </c>
      <c r="N399" s="35">
        <v>46294</v>
      </c>
      <c r="O399" s="7">
        <f t="shared" si="24"/>
        <v>29</v>
      </c>
      <c r="P399" s="22">
        <f t="shared" si="25"/>
        <v>2</v>
      </c>
      <c r="Q399" s="22">
        <f t="shared" si="26"/>
        <v>30</v>
      </c>
      <c r="R399" s="16">
        <v>0</v>
      </c>
      <c r="S399" s="36">
        <v>4.6602589999999999</v>
      </c>
      <c r="T399" s="36">
        <v>-74.060886999999994</v>
      </c>
      <c r="U399" s="22">
        <v>0</v>
      </c>
      <c r="V399" s="22">
        <v>0</v>
      </c>
      <c r="W399" s="25">
        <v>0</v>
      </c>
      <c r="X399" s="24">
        <v>0</v>
      </c>
      <c r="Y399" s="24">
        <v>0</v>
      </c>
      <c r="Z399" s="24">
        <v>0</v>
      </c>
      <c r="AA399" s="24">
        <v>0</v>
      </c>
      <c r="AB399" s="24">
        <v>0</v>
      </c>
      <c r="AC399" s="24">
        <v>0</v>
      </c>
      <c r="AD399" s="24">
        <v>0</v>
      </c>
      <c r="AE399" s="24">
        <v>0</v>
      </c>
      <c r="AF399" s="24">
        <v>0</v>
      </c>
      <c r="AG399" s="16">
        <v>0</v>
      </c>
      <c r="AH399" s="16" t="s">
        <v>64</v>
      </c>
      <c r="AI399" s="31" t="s">
        <v>49</v>
      </c>
      <c r="AJ399" s="31" t="s">
        <v>124</v>
      </c>
      <c r="AK399" s="31" t="s">
        <v>65</v>
      </c>
      <c r="AL399" s="37">
        <v>204160</v>
      </c>
      <c r="AM399" s="43">
        <f t="shared" si="27"/>
        <v>0</v>
      </c>
      <c r="AN399" s="16" t="s">
        <v>1317</v>
      </c>
      <c r="AO399" s="16" t="s">
        <v>64</v>
      </c>
    </row>
    <row r="400" spans="1:41" ht="14.5" x14ac:dyDescent="0.35">
      <c r="A400" s="27" t="s">
        <v>1318</v>
      </c>
      <c r="B400" s="32" t="s">
        <v>105</v>
      </c>
      <c r="C400" s="32" t="s">
        <v>157</v>
      </c>
      <c r="D400" s="32" t="s">
        <v>1319</v>
      </c>
      <c r="E400" s="32" t="s">
        <v>1320</v>
      </c>
      <c r="F400" s="33">
        <v>4</v>
      </c>
      <c r="G400" s="30" t="s">
        <v>1321</v>
      </c>
      <c r="H400" s="32" t="s">
        <v>64</v>
      </c>
      <c r="I400" s="32" t="s">
        <v>1322</v>
      </c>
      <c r="J400" s="34">
        <v>20.23</v>
      </c>
      <c r="K400" s="33">
        <v>0</v>
      </c>
      <c r="L400" s="33">
        <v>55000</v>
      </c>
      <c r="M400" s="8">
        <v>474</v>
      </c>
      <c r="N400" s="35">
        <v>46265</v>
      </c>
      <c r="O400" s="7">
        <f t="shared" si="24"/>
        <v>31</v>
      </c>
      <c r="P400" s="22">
        <f t="shared" si="25"/>
        <v>1</v>
      </c>
      <c r="Q400" s="22">
        <f t="shared" si="26"/>
        <v>31</v>
      </c>
      <c r="R400" s="16">
        <v>0</v>
      </c>
      <c r="S400" s="29">
        <v>6.3378310000000004</v>
      </c>
      <c r="T400" s="29">
        <v>-75.544172000000003</v>
      </c>
      <c r="U400" s="22">
        <v>0</v>
      </c>
      <c r="V400" s="22">
        <v>0</v>
      </c>
      <c r="W400" s="25">
        <v>0</v>
      </c>
      <c r="X400" s="24">
        <v>0</v>
      </c>
      <c r="Y400" s="24">
        <v>0</v>
      </c>
      <c r="Z400" s="24">
        <v>0</v>
      </c>
      <c r="AA400" s="24">
        <v>0</v>
      </c>
      <c r="AB400" s="24">
        <v>0</v>
      </c>
      <c r="AC400" s="24">
        <v>0</v>
      </c>
      <c r="AD400" s="24">
        <v>0</v>
      </c>
      <c r="AE400" s="24">
        <v>0</v>
      </c>
      <c r="AF400" s="24">
        <v>0</v>
      </c>
      <c r="AG400" s="16">
        <v>0</v>
      </c>
      <c r="AH400" s="16" t="s">
        <v>64</v>
      </c>
      <c r="AI400" s="31" t="s">
        <v>49</v>
      </c>
      <c r="AJ400" s="31" t="s">
        <v>124</v>
      </c>
      <c r="AK400" s="16" t="s">
        <v>65</v>
      </c>
      <c r="AL400" s="37">
        <v>204160</v>
      </c>
      <c r="AM400" s="43">
        <f t="shared" si="27"/>
        <v>0</v>
      </c>
      <c r="AN400" s="8" t="s">
        <v>1323</v>
      </c>
      <c r="AO400" s="8" t="s">
        <v>64</v>
      </c>
    </row>
    <row r="401" spans="1:41" ht="14.5" x14ac:dyDescent="0.35">
      <c r="A401" s="27" t="s">
        <v>1324</v>
      </c>
      <c r="B401" s="16" t="s">
        <v>183</v>
      </c>
      <c r="C401" s="16" t="s">
        <v>184</v>
      </c>
      <c r="D401" s="16" t="s">
        <v>185</v>
      </c>
      <c r="E401" s="16" t="s">
        <v>186</v>
      </c>
      <c r="F401" s="16">
        <v>4</v>
      </c>
      <c r="G401" s="30" t="s">
        <v>1325</v>
      </c>
      <c r="H401" s="16">
        <v>0</v>
      </c>
      <c r="I401" s="16" t="s">
        <v>47</v>
      </c>
      <c r="J401" s="16">
        <v>87.37</v>
      </c>
      <c r="K401" s="16">
        <v>1859</v>
      </c>
      <c r="L401" s="16">
        <v>2470</v>
      </c>
      <c r="M401" s="8">
        <v>169</v>
      </c>
      <c r="N401" s="21">
        <v>45373</v>
      </c>
      <c r="O401" s="7">
        <f t="shared" si="24"/>
        <v>22</v>
      </c>
      <c r="P401" s="22">
        <f t="shared" si="25"/>
        <v>10</v>
      </c>
      <c r="Q401" s="22">
        <f t="shared" si="26"/>
        <v>31</v>
      </c>
      <c r="R401" s="16">
        <v>30</v>
      </c>
      <c r="S401">
        <v>10.998220976187699</v>
      </c>
      <c r="T401">
        <v>-74.819890191336398</v>
      </c>
      <c r="U401" s="22">
        <v>16061</v>
      </c>
      <c r="V401" s="22">
        <v>15663.166670000001</v>
      </c>
      <c r="W401" s="25">
        <v>12991</v>
      </c>
      <c r="X401" s="24">
        <v>12935</v>
      </c>
      <c r="Y401" s="24">
        <v>208640</v>
      </c>
      <c r="Z401" s="24">
        <v>202601</v>
      </c>
      <c r="AA401" s="24">
        <v>10428</v>
      </c>
      <c r="AB401" s="24">
        <v>8610</v>
      </c>
      <c r="AC401" s="24">
        <v>79362</v>
      </c>
      <c r="AD401" s="24">
        <v>75917</v>
      </c>
      <c r="AE401" s="24">
        <v>12715</v>
      </c>
      <c r="AF401" s="24">
        <v>12841</v>
      </c>
      <c r="AG401" s="17">
        <v>0</v>
      </c>
      <c r="AH401" s="16" t="s">
        <v>48</v>
      </c>
      <c r="AI401" s="16" t="s">
        <v>49</v>
      </c>
      <c r="AJ401" s="16" t="s">
        <v>50</v>
      </c>
      <c r="AK401" s="16" t="s">
        <v>51</v>
      </c>
      <c r="AL401" s="25">
        <v>232000</v>
      </c>
      <c r="AM401" s="43">
        <f t="shared" si="27"/>
        <v>145.53050246079889</v>
      </c>
      <c r="AN401" s="16" t="s">
        <v>1326</v>
      </c>
      <c r="AO401" s="16" t="s">
        <v>53</v>
      </c>
    </row>
    <row r="402" spans="1:41" ht="14.5" x14ac:dyDescent="0.35">
      <c r="A402" s="27" t="s">
        <v>1327</v>
      </c>
      <c r="B402" s="16" t="s">
        <v>42</v>
      </c>
      <c r="C402" s="16" t="s">
        <v>93</v>
      </c>
      <c r="D402" s="16" t="s">
        <v>426</v>
      </c>
      <c r="E402" s="16" t="s">
        <v>427</v>
      </c>
      <c r="F402" s="16">
        <v>3</v>
      </c>
      <c r="G402" s="30" t="s">
        <v>1328</v>
      </c>
      <c r="H402" s="16">
        <v>0</v>
      </c>
      <c r="I402" s="16" t="s">
        <v>47</v>
      </c>
      <c r="J402" s="16">
        <v>155.63</v>
      </c>
      <c r="K402" s="16">
        <v>1400</v>
      </c>
      <c r="L402" s="16">
        <v>210</v>
      </c>
      <c r="M402" s="8">
        <v>35</v>
      </c>
      <c r="N402" s="21">
        <v>44888</v>
      </c>
      <c r="O402" s="7">
        <f t="shared" si="24"/>
        <v>23</v>
      </c>
      <c r="P402" s="22">
        <f t="shared" si="25"/>
        <v>8</v>
      </c>
      <c r="Q402" s="22">
        <f t="shared" si="26"/>
        <v>30</v>
      </c>
      <c r="R402" s="16">
        <v>46</v>
      </c>
      <c r="S402">
        <v>4.9109542938114199</v>
      </c>
      <c r="T402">
        <v>-74.030201165196502</v>
      </c>
      <c r="U402" s="22">
        <v>11649</v>
      </c>
      <c r="V402" s="22">
        <v>11203.833329999999</v>
      </c>
      <c r="W402" s="25">
        <v>14646</v>
      </c>
      <c r="X402" s="24">
        <v>15314</v>
      </c>
      <c r="Y402" s="24">
        <v>170612</v>
      </c>
      <c r="Z402" s="24">
        <v>171570</v>
      </c>
      <c r="AA402" s="24">
        <v>5921</v>
      </c>
      <c r="AB402" s="24">
        <v>7050</v>
      </c>
      <c r="AC402" s="24">
        <v>58420</v>
      </c>
      <c r="AD402" s="24">
        <v>60355</v>
      </c>
      <c r="AE402" s="24">
        <v>8453</v>
      </c>
      <c r="AF402" s="24">
        <v>8543</v>
      </c>
      <c r="AG402" s="17">
        <v>0</v>
      </c>
      <c r="AH402" s="16" t="s">
        <v>64</v>
      </c>
      <c r="AI402" s="16" t="s">
        <v>49</v>
      </c>
      <c r="AJ402" s="16" t="s">
        <v>76</v>
      </c>
      <c r="AK402" s="16" t="s">
        <v>51</v>
      </c>
      <c r="AL402" s="25">
        <v>241405</v>
      </c>
      <c r="AM402" s="43">
        <f t="shared" si="27"/>
        <v>54.314720812182742</v>
      </c>
      <c r="AN402" s="16" t="s">
        <v>1329</v>
      </c>
      <c r="AO402" s="16" t="s">
        <v>53</v>
      </c>
    </row>
    <row r="403" spans="1:41" ht="14.5" x14ac:dyDescent="0.35">
      <c r="A403" s="27" t="s">
        <v>1330</v>
      </c>
      <c r="B403" s="16" t="s">
        <v>105</v>
      </c>
      <c r="C403" s="16" t="s">
        <v>170</v>
      </c>
      <c r="D403" s="16" t="s">
        <v>171</v>
      </c>
      <c r="E403" s="16" t="s">
        <v>276</v>
      </c>
      <c r="F403" s="16">
        <v>6</v>
      </c>
      <c r="G403" s="30" t="s">
        <v>1331</v>
      </c>
      <c r="H403" s="16" t="s">
        <v>278</v>
      </c>
      <c r="I403" s="16" t="s">
        <v>47</v>
      </c>
      <c r="J403" s="16">
        <v>113.66</v>
      </c>
      <c r="K403" s="16">
        <v>1670</v>
      </c>
      <c r="L403" s="16">
        <v>766</v>
      </c>
      <c r="M403" s="8">
        <v>91</v>
      </c>
      <c r="N403" s="21">
        <v>45836</v>
      </c>
      <c r="O403" s="7">
        <f t="shared" si="24"/>
        <v>28</v>
      </c>
      <c r="P403" s="22">
        <f t="shared" si="25"/>
        <v>3</v>
      </c>
      <c r="Q403" s="22">
        <f t="shared" si="26"/>
        <v>30</v>
      </c>
      <c r="R403" s="16">
        <v>15</v>
      </c>
      <c r="S403">
        <v>5.04587890150483</v>
      </c>
      <c r="T403">
        <v>-75.479803564085998</v>
      </c>
      <c r="U403" s="22">
        <v>12437</v>
      </c>
      <c r="V403" s="22">
        <v>14023.5</v>
      </c>
      <c r="W403" s="25">
        <v>11552</v>
      </c>
      <c r="X403" s="24">
        <v>11943</v>
      </c>
      <c r="Y403" s="24">
        <v>143668</v>
      </c>
      <c r="Z403" s="24">
        <v>167484</v>
      </c>
      <c r="AA403" s="24">
        <v>-14210</v>
      </c>
      <c r="AB403" s="24">
        <v>5083</v>
      </c>
      <c r="AC403" s="24">
        <v>58928</v>
      </c>
      <c r="AD403" s="24">
        <v>66874</v>
      </c>
      <c r="AE403" s="24">
        <v>11141</v>
      </c>
      <c r="AF403" s="24">
        <v>10979</v>
      </c>
      <c r="AG403" s="17">
        <v>1.2326999999999999</v>
      </c>
      <c r="AH403" s="16" t="s">
        <v>90</v>
      </c>
      <c r="AI403" s="16" t="s">
        <v>49</v>
      </c>
      <c r="AJ403" s="16" t="s">
        <v>124</v>
      </c>
      <c r="AK403" s="16" t="s">
        <v>51</v>
      </c>
      <c r="AL403" s="25">
        <v>204160</v>
      </c>
      <c r="AM403" s="43">
        <f t="shared" si="27"/>
        <v>98.020411754355095</v>
      </c>
      <c r="AN403" s="16">
        <v>0</v>
      </c>
      <c r="AO403" s="16" t="s">
        <v>53</v>
      </c>
    </row>
    <row r="404" spans="1:41" ht="14.5" x14ac:dyDescent="0.35">
      <c r="A404" s="27" t="s">
        <v>1332</v>
      </c>
      <c r="B404" s="16" t="s">
        <v>42</v>
      </c>
      <c r="C404" s="16" t="s">
        <v>93</v>
      </c>
      <c r="D404" s="16" t="s">
        <v>426</v>
      </c>
      <c r="E404" s="16" t="s">
        <v>427</v>
      </c>
      <c r="F404" s="16">
        <v>3</v>
      </c>
      <c r="G404" s="30" t="s">
        <v>1333</v>
      </c>
      <c r="H404" s="16">
        <v>0</v>
      </c>
      <c r="I404" s="16" t="s">
        <v>47</v>
      </c>
      <c r="J404" s="16">
        <v>137.93</v>
      </c>
      <c r="K404" s="16">
        <v>780</v>
      </c>
      <c r="L404" s="16">
        <v>670</v>
      </c>
      <c r="M404" s="8">
        <v>85</v>
      </c>
      <c r="N404" s="21">
        <v>45103</v>
      </c>
      <c r="O404" s="7">
        <f t="shared" si="24"/>
        <v>26</v>
      </c>
      <c r="P404" s="22">
        <f t="shared" si="25"/>
        <v>5</v>
      </c>
      <c r="Q404" s="22">
        <f t="shared" si="26"/>
        <v>30</v>
      </c>
      <c r="R404" s="16">
        <v>39</v>
      </c>
      <c r="S404">
        <v>4.8982438510714399</v>
      </c>
      <c r="T404">
        <v>-74.032149024064694</v>
      </c>
      <c r="U404" s="22">
        <v>16991</v>
      </c>
      <c r="V404" s="22">
        <v>16519</v>
      </c>
      <c r="W404" s="25">
        <v>16062</v>
      </c>
      <c r="X404" s="24">
        <v>15840</v>
      </c>
      <c r="Y404" s="24">
        <v>272911</v>
      </c>
      <c r="Z404" s="24">
        <v>261661</v>
      </c>
      <c r="AA404" s="24">
        <v>36475</v>
      </c>
      <c r="AB404" s="24">
        <v>30858</v>
      </c>
      <c r="AC404" s="24">
        <v>101281</v>
      </c>
      <c r="AD404" s="24">
        <v>94028</v>
      </c>
      <c r="AE404" s="24">
        <v>9304</v>
      </c>
      <c r="AF404" s="24">
        <v>9281</v>
      </c>
      <c r="AG404" s="17">
        <v>0</v>
      </c>
      <c r="AH404" s="16" t="s">
        <v>136</v>
      </c>
      <c r="AI404" s="16" t="s">
        <v>49</v>
      </c>
      <c r="AJ404" s="16" t="s">
        <v>50</v>
      </c>
      <c r="AK404" s="16" t="s">
        <v>51</v>
      </c>
      <c r="AL404" s="25">
        <v>232000</v>
      </c>
      <c r="AM404" s="43">
        <f t="shared" si="27"/>
        <v>67.454505908794317</v>
      </c>
      <c r="AN404" s="16" t="s">
        <v>503</v>
      </c>
      <c r="AO404" s="16" t="s">
        <v>98</v>
      </c>
    </row>
    <row r="405" spans="1:41" ht="14.5" x14ac:dyDescent="0.35">
      <c r="A405" s="27" t="s">
        <v>1334</v>
      </c>
      <c r="B405" s="16" t="s">
        <v>42</v>
      </c>
      <c r="C405" s="16" t="s">
        <v>43</v>
      </c>
      <c r="D405" s="16" t="s">
        <v>44</v>
      </c>
      <c r="E405" s="16" t="s">
        <v>272</v>
      </c>
      <c r="F405" s="16">
        <v>5</v>
      </c>
      <c r="G405" s="30" t="s">
        <v>1335</v>
      </c>
      <c r="H405" s="16">
        <v>0</v>
      </c>
      <c r="I405" s="16" t="s">
        <v>102</v>
      </c>
      <c r="J405" s="16">
        <v>175.4</v>
      </c>
      <c r="K405" s="16">
        <v>5000</v>
      </c>
      <c r="L405" s="16">
        <v>380</v>
      </c>
      <c r="M405" s="8">
        <v>88</v>
      </c>
      <c r="N405" s="21">
        <v>44865</v>
      </c>
      <c r="O405" s="7">
        <f t="shared" si="24"/>
        <v>31</v>
      </c>
      <c r="P405" s="22">
        <f t="shared" si="25"/>
        <v>1</v>
      </c>
      <c r="Q405" s="22">
        <f t="shared" si="26"/>
        <v>31</v>
      </c>
      <c r="R405" s="16">
        <v>47</v>
      </c>
      <c r="S405">
        <v>4.6962524405552202</v>
      </c>
      <c r="T405">
        <v>-74.084216113780599</v>
      </c>
      <c r="U405" s="22">
        <v>14087</v>
      </c>
      <c r="V405" s="22">
        <v>18381</v>
      </c>
      <c r="W405" s="25">
        <v>15307</v>
      </c>
      <c r="X405" s="24">
        <v>14254</v>
      </c>
      <c r="Y405" s="24">
        <v>215625</v>
      </c>
      <c r="Z405" s="24">
        <v>262007</v>
      </c>
      <c r="AA405" s="24">
        <v>6341</v>
      </c>
      <c r="AB405" s="24">
        <v>21000</v>
      </c>
      <c r="AC405" s="24">
        <v>74536</v>
      </c>
      <c r="AD405" s="24">
        <v>91483</v>
      </c>
      <c r="AE405" s="24">
        <v>13004</v>
      </c>
      <c r="AF405" s="24">
        <v>13132</v>
      </c>
      <c r="AG405" s="17">
        <v>0</v>
      </c>
      <c r="AH405" s="16" t="s">
        <v>82</v>
      </c>
      <c r="AI405" s="16" t="s">
        <v>49</v>
      </c>
      <c r="AJ405" s="16" t="s">
        <v>124</v>
      </c>
      <c r="AK405" s="16" t="s">
        <v>51</v>
      </c>
      <c r="AL405" s="25">
        <v>204160</v>
      </c>
      <c r="AM405" s="43">
        <f t="shared" si="27"/>
        <v>74.139110604332956</v>
      </c>
      <c r="AN405" s="16" t="s">
        <v>1336</v>
      </c>
      <c r="AO405" s="16" t="s">
        <v>60</v>
      </c>
    </row>
    <row r="406" spans="1:41" ht="14.5" x14ac:dyDescent="0.35">
      <c r="A406" s="27" t="s">
        <v>1337</v>
      </c>
      <c r="B406" s="16" t="s">
        <v>55</v>
      </c>
      <c r="C406" s="16" t="s">
        <v>43</v>
      </c>
      <c r="D406" s="16" t="s">
        <v>44</v>
      </c>
      <c r="E406" s="16" t="s">
        <v>311</v>
      </c>
      <c r="F406" s="16">
        <v>4</v>
      </c>
      <c r="G406" s="30" t="s">
        <v>1338</v>
      </c>
      <c r="H406" s="16">
        <v>0</v>
      </c>
      <c r="I406" s="16" t="s">
        <v>47</v>
      </c>
      <c r="J406" s="16">
        <v>136</v>
      </c>
      <c r="K406" s="16">
        <v>614</v>
      </c>
      <c r="L406" s="16">
        <v>694</v>
      </c>
      <c r="M406" s="8">
        <v>88</v>
      </c>
      <c r="N406" s="21">
        <v>44610</v>
      </c>
      <c r="O406" s="7">
        <f t="shared" si="24"/>
        <v>18</v>
      </c>
      <c r="P406" s="22">
        <f t="shared" si="25"/>
        <v>11</v>
      </c>
      <c r="Q406" s="22">
        <f t="shared" si="26"/>
        <v>28</v>
      </c>
      <c r="R406" s="16">
        <v>55</v>
      </c>
      <c r="S406">
        <v>4.6654249506110199</v>
      </c>
      <c r="T406">
        <v>-74.119067386378902</v>
      </c>
      <c r="U406" s="22">
        <v>18640</v>
      </c>
      <c r="V406" s="22">
        <v>17794.833330000001</v>
      </c>
      <c r="W406" s="25">
        <v>10517</v>
      </c>
      <c r="X406" s="24">
        <v>11011</v>
      </c>
      <c r="Y406" s="24">
        <v>196028</v>
      </c>
      <c r="Z406" s="24">
        <v>195942</v>
      </c>
      <c r="AA406" s="24">
        <v>20273</v>
      </c>
      <c r="AB406" s="24">
        <v>15506</v>
      </c>
      <c r="AC406" s="24">
        <v>74372</v>
      </c>
      <c r="AD406" s="24">
        <v>68469</v>
      </c>
      <c r="AE406" s="24">
        <v>10251</v>
      </c>
      <c r="AF406" s="24">
        <v>10356</v>
      </c>
      <c r="AG406" s="17">
        <v>0</v>
      </c>
      <c r="AH406" s="16" t="s">
        <v>58</v>
      </c>
      <c r="AI406" s="16" t="s">
        <v>49</v>
      </c>
      <c r="AJ406" s="16" t="s">
        <v>50</v>
      </c>
      <c r="AK406" s="16" t="s">
        <v>51</v>
      </c>
      <c r="AL406" s="25">
        <v>232000</v>
      </c>
      <c r="AM406" s="43">
        <f t="shared" si="27"/>
        <v>75.375</v>
      </c>
      <c r="AN406" s="16" t="s">
        <v>1339</v>
      </c>
      <c r="AO406" s="16" t="s">
        <v>60</v>
      </c>
    </row>
    <row r="407" spans="1:41" ht="14.5" x14ac:dyDescent="0.35">
      <c r="A407" s="27" t="s">
        <v>1340</v>
      </c>
      <c r="B407" s="16" t="s">
        <v>55</v>
      </c>
      <c r="C407" s="16" t="s">
        <v>43</v>
      </c>
      <c r="D407" s="16" t="s">
        <v>44</v>
      </c>
      <c r="E407" s="16" t="s">
        <v>1103</v>
      </c>
      <c r="F407" s="16">
        <v>4</v>
      </c>
      <c r="G407" s="30" t="s">
        <v>1341</v>
      </c>
      <c r="H407" s="16" t="s">
        <v>1342</v>
      </c>
      <c r="I407" s="16" t="s">
        <v>47</v>
      </c>
      <c r="J407" s="16">
        <v>130.99</v>
      </c>
      <c r="K407" s="16">
        <v>1579</v>
      </c>
      <c r="L407" s="16">
        <v>350</v>
      </c>
      <c r="M407" s="8">
        <v>58</v>
      </c>
      <c r="N407" s="21">
        <v>45686</v>
      </c>
      <c r="O407" s="7">
        <f t="shared" si="24"/>
        <v>29</v>
      </c>
      <c r="P407" s="22">
        <f t="shared" si="25"/>
        <v>3</v>
      </c>
      <c r="Q407" s="22">
        <f t="shared" si="26"/>
        <v>31</v>
      </c>
      <c r="R407" s="16">
        <v>20</v>
      </c>
      <c r="S407">
        <v>4.6678446535645604</v>
      </c>
      <c r="T407">
        <v>-74.083909515528902</v>
      </c>
      <c r="U407" s="22">
        <v>20003</v>
      </c>
      <c r="V407" s="22">
        <v>18985</v>
      </c>
      <c r="W407" s="25">
        <v>13786</v>
      </c>
      <c r="X407" s="24">
        <v>13569</v>
      </c>
      <c r="Y407" s="24">
        <v>275763</v>
      </c>
      <c r="Z407" s="24">
        <v>257599</v>
      </c>
      <c r="AA407" s="24">
        <v>43109</v>
      </c>
      <c r="AB407" s="24">
        <v>35655</v>
      </c>
      <c r="AC407" s="24">
        <v>98791</v>
      </c>
      <c r="AD407" s="24">
        <v>90828</v>
      </c>
      <c r="AE407" s="24">
        <v>8416</v>
      </c>
      <c r="AF407" s="24">
        <v>8506</v>
      </c>
      <c r="AG407" s="17">
        <v>0</v>
      </c>
      <c r="AH407" s="16" t="s">
        <v>58</v>
      </c>
      <c r="AI407" s="16" t="s">
        <v>49</v>
      </c>
      <c r="AJ407" s="16" t="s">
        <v>124</v>
      </c>
      <c r="AK407" s="16" t="s">
        <v>51</v>
      </c>
      <c r="AL407" s="25">
        <v>204160</v>
      </c>
      <c r="AM407" s="43">
        <f t="shared" si="27"/>
        <v>64.249179326666152</v>
      </c>
      <c r="AN407" s="16" t="s">
        <v>270</v>
      </c>
      <c r="AO407" s="16" t="s">
        <v>53</v>
      </c>
    </row>
    <row r="408" spans="1:41" ht="14.5" x14ac:dyDescent="0.35">
      <c r="A408" s="27" t="s">
        <v>1343</v>
      </c>
      <c r="B408" s="16" t="s">
        <v>42</v>
      </c>
      <c r="C408" s="16" t="s">
        <v>43</v>
      </c>
      <c r="D408" s="16" t="s">
        <v>44</v>
      </c>
      <c r="E408" s="16" t="s">
        <v>68</v>
      </c>
      <c r="F408" s="16">
        <v>5</v>
      </c>
      <c r="G408" s="30" t="s">
        <v>1344</v>
      </c>
      <c r="H408" s="16">
        <v>0</v>
      </c>
      <c r="I408" s="16" t="s">
        <v>47</v>
      </c>
      <c r="J408" s="16">
        <v>150.1</v>
      </c>
      <c r="K408" s="16">
        <v>385</v>
      </c>
      <c r="L408" s="16">
        <v>181</v>
      </c>
      <c r="M408" s="8">
        <v>0</v>
      </c>
      <c r="N408" s="21">
        <v>40324</v>
      </c>
      <c r="O408" s="7">
        <f t="shared" si="24"/>
        <v>26</v>
      </c>
      <c r="P408" s="22">
        <f t="shared" si="25"/>
        <v>6</v>
      </c>
      <c r="Q408" s="22">
        <f t="shared" si="26"/>
        <v>31</v>
      </c>
      <c r="R408" s="16">
        <v>116</v>
      </c>
      <c r="S408">
        <v>4.6587887958882499</v>
      </c>
      <c r="T408">
        <v>-74.0574785436946</v>
      </c>
      <c r="U408" s="22">
        <v>8986</v>
      </c>
      <c r="V408" s="22">
        <v>16645.166669999999</v>
      </c>
      <c r="W408" s="25">
        <v>11356</v>
      </c>
      <c r="X408" s="24">
        <v>11279</v>
      </c>
      <c r="Y408" s="24">
        <v>102045</v>
      </c>
      <c r="Z408" s="24">
        <v>187743</v>
      </c>
      <c r="AA408" s="42">
        <v>-29259</v>
      </c>
      <c r="AB408" s="24">
        <v>-1627</v>
      </c>
      <c r="AC408" s="24">
        <v>37142</v>
      </c>
      <c r="AD408" s="24">
        <v>68412</v>
      </c>
      <c r="AE408" s="24">
        <v>20425</v>
      </c>
      <c r="AF408" s="24">
        <v>20615</v>
      </c>
      <c r="AG408" s="17">
        <v>0</v>
      </c>
      <c r="AH408" s="16" t="s">
        <v>48</v>
      </c>
      <c r="AI408" s="16" t="s">
        <v>49</v>
      </c>
      <c r="AJ408" s="16" t="s">
        <v>76</v>
      </c>
      <c r="AK408" s="16" t="s">
        <v>51</v>
      </c>
      <c r="AL408" s="25">
        <v>241405</v>
      </c>
      <c r="AM408" s="43">
        <f t="shared" si="27"/>
        <v>136.07594936708861</v>
      </c>
      <c r="AN408" s="16" t="s">
        <v>1345</v>
      </c>
      <c r="AO408" s="16" t="s">
        <v>60</v>
      </c>
    </row>
    <row r="409" spans="1:41" ht="14.5" x14ac:dyDescent="0.35">
      <c r="A409" s="27" t="s">
        <v>1346</v>
      </c>
      <c r="B409" s="16" t="s">
        <v>42</v>
      </c>
      <c r="C409" s="16" t="s">
        <v>43</v>
      </c>
      <c r="D409" s="16" t="s">
        <v>44</v>
      </c>
      <c r="E409" s="16" t="s">
        <v>254</v>
      </c>
      <c r="F409" s="16">
        <v>5</v>
      </c>
      <c r="G409" s="30" t="s">
        <v>1347</v>
      </c>
      <c r="H409" s="16">
        <v>0</v>
      </c>
      <c r="I409" s="16" t="s">
        <v>47</v>
      </c>
      <c r="J409" s="16">
        <v>206.7</v>
      </c>
      <c r="K409" s="16">
        <v>1417</v>
      </c>
      <c r="L409" s="16">
        <v>2747</v>
      </c>
      <c r="M409" s="8">
        <v>63</v>
      </c>
      <c r="N409" s="21">
        <v>45021</v>
      </c>
      <c r="O409" s="7">
        <f t="shared" si="24"/>
        <v>5</v>
      </c>
      <c r="P409" s="22">
        <f t="shared" si="25"/>
        <v>26</v>
      </c>
      <c r="Q409" s="22">
        <f t="shared" si="26"/>
        <v>30</v>
      </c>
      <c r="R409" s="16">
        <v>41</v>
      </c>
      <c r="S409">
        <v>4.68770905901596</v>
      </c>
      <c r="T409">
        <v>-74.047211324942893</v>
      </c>
      <c r="U409" s="22">
        <v>24433</v>
      </c>
      <c r="V409" s="22">
        <v>24651.666669999999</v>
      </c>
      <c r="W409" s="25">
        <v>10646</v>
      </c>
      <c r="X409" s="24">
        <v>10968</v>
      </c>
      <c r="Y409" s="24">
        <v>260112</v>
      </c>
      <c r="Z409" s="24">
        <v>270373</v>
      </c>
      <c r="AA409" s="24">
        <v>15640</v>
      </c>
      <c r="AB409" s="24">
        <v>34593</v>
      </c>
      <c r="AC409" s="24">
        <v>114202</v>
      </c>
      <c r="AD409" s="24">
        <v>115510</v>
      </c>
      <c r="AE409" s="24">
        <v>17538</v>
      </c>
      <c r="AF409" s="24">
        <v>17682</v>
      </c>
      <c r="AG409" s="17">
        <v>0</v>
      </c>
      <c r="AH409" s="16" t="s">
        <v>48</v>
      </c>
      <c r="AI409" s="16" t="s">
        <v>49</v>
      </c>
      <c r="AJ409" s="16" t="s">
        <v>50</v>
      </c>
      <c r="AK409" s="16" t="s">
        <v>51</v>
      </c>
      <c r="AL409" s="25">
        <v>232000</v>
      </c>
      <c r="AM409" s="43">
        <f t="shared" si="27"/>
        <v>84.847605224963715</v>
      </c>
      <c r="AN409" s="16" t="s">
        <v>1348</v>
      </c>
      <c r="AO409" s="16" t="s">
        <v>60</v>
      </c>
    </row>
    <row r="410" spans="1:41" ht="14.5" x14ac:dyDescent="0.35">
      <c r="A410" s="27" t="s">
        <v>1349</v>
      </c>
      <c r="B410" s="16" t="s">
        <v>55</v>
      </c>
      <c r="C410" s="16" t="s">
        <v>419</v>
      </c>
      <c r="D410" s="16" t="s">
        <v>420</v>
      </c>
      <c r="E410" s="16" t="s">
        <v>1350</v>
      </c>
      <c r="F410" s="16">
        <v>3</v>
      </c>
      <c r="G410" s="30" t="s">
        <v>1351</v>
      </c>
      <c r="H410" s="16" t="s">
        <v>1352</v>
      </c>
      <c r="I410" s="16" t="s">
        <v>47</v>
      </c>
      <c r="J410" s="16">
        <v>146.91</v>
      </c>
      <c r="K410" s="16">
        <v>2411</v>
      </c>
      <c r="L410" s="16">
        <v>349</v>
      </c>
      <c r="M410" s="8">
        <v>64</v>
      </c>
      <c r="N410" s="21">
        <v>45469</v>
      </c>
      <c r="O410" s="7">
        <f t="shared" si="24"/>
        <v>26</v>
      </c>
      <c r="P410" s="22">
        <f t="shared" si="25"/>
        <v>5</v>
      </c>
      <c r="Q410" s="22">
        <f t="shared" si="26"/>
        <v>30</v>
      </c>
      <c r="R410" s="16">
        <v>27</v>
      </c>
      <c r="S410">
        <v>4.4480054329450498</v>
      </c>
      <c r="T410">
        <v>-75.157819860337</v>
      </c>
      <c r="U410" s="22">
        <v>13192</v>
      </c>
      <c r="V410" s="22">
        <v>13664.333329999999</v>
      </c>
      <c r="W410" s="25">
        <v>13845</v>
      </c>
      <c r="X410" s="24">
        <v>14292</v>
      </c>
      <c r="Y410" s="24">
        <v>182640</v>
      </c>
      <c r="Z410" s="24">
        <v>195286</v>
      </c>
      <c r="AA410" s="24">
        <v>-3089</v>
      </c>
      <c r="AB410" s="24">
        <v>4556</v>
      </c>
      <c r="AC410" s="24">
        <v>59929</v>
      </c>
      <c r="AD410" s="24">
        <v>62726</v>
      </c>
      <c r="AE410" s="24">
        <v>6306</v>
      </c>
      <c r="AF410" s="24">
        <v>6223</v>
      </c>
      <c r="AG410" s="17">
        <v>0</v>
      </c>
      <c r="AH410" s="16" t="s">
        <v>58</v>
      </c>
      <c r="AI410" s="16" t="s">
        <v>49</v>
      </c>
      <c r="AJ410" s="16" t="s">
        <v>50</v>
      </c>
      <c r="AK410" s="16" t="s">
        <v>51</v>
      </c>
      <c r="AL410" s="25">
        <v>232000</v>
      </c>
      <c r="AM410" s="43">
        <f t="shared" si="27"/>
        <v>42.924239330202163</v>
      </c>
      <c r="AN410" s="16" t="s">
        <v>1353</v>
      </c>
      <c r="AO410" s="16" t="s">
        <v>60</v>
      </c>
    </row>
    <row r="411" spans="1:41" ht="14.5" x14ac:dyDescent="0.35">
      <c r="A411" s="27" t="s">
        <v>1354</v>
      </c>
      <c r="B411" s="16" t="s">
        <v>55</v>
      </c>
      <c r="C411" s="16" t="s">
        <v>43</v>
      </c>
      <c r="D411" s="16" t="s">
        <v>44</v>
      </c>
      <c r="E411" s="16" t="s">
        <v>1050</v>
      </c>
      <c r="F411" s="16">
        <v>3</v>
      </c>
      <c r="G411" s="30" t="s">
        <v>1355</v>
      </c>
      <c r="H411" s="16">
        <v>0</v>
      </c>
      <c r="I411" s="16" t="s">
        <v>47</v>
      </c>
      <c r="J411" s="16">
        <v>158.76</v>
      </c>
      <c r="K411" s="16">
        <v>26</v>
      </c>
      <c r="L411" s="16">
        <v>4932</v>
      </c>
      <c r="M411" s="8">
        <v>0</v>
      </c>
      <c r="N411" s="21">
        <v>42719</v>
      </c>
      <c r="O411" s="7">
        <f t="shared" si="24"/>
        <v>15</v>
      </c>
      <c r="P411" s="22">
        <f t="shared" si="25"/>
        <v>17</v>
      </c>
      <c r="Q411" s="22">
        <f t="shared" si="26"/>
        <v>31</v>
      </c>
      <c r="R411" s="16">
        <v>116</v>
      </c>
      <c r="S411">
        <v>4.6448579755349302</v>
      </c>
      <c r="T411">
        <v>-74.1206362357985</v>
      </c>
      <c r="U411" s="22">
        <v>25725</v>
      </c>
      <c r="V411" s="22">
        <v>25848.666669999999</v>
      </c>
      <c r="W411" s="25">
        <v>12038</v>
      </c>
      <c r="X411" s="24">
        <v>12069</v>
      </c>
      <c r="Y411" s="24">
        <v>309668</v>
      </c>
      <c r="Z411" s="24">
        <v>311973</v>
      </c>
      <c r="AA411" s="24">
        <v>37735</v>
      </c>
      <c r="AB411" s="24">
        <v>39846</v>
      </c>
      <c r="AC411" s="24">
        <v>114182</v>
      </c>
      <c r="AD411" s="24">
        <v>113315</v>
      </c>
      <c r="AE411" s="24">
        <v>15402</v>
      </c>
      <c r="AF411" s="24">
        <v>14921</v>
      </c>
      <c r="AG411" s="17">
        <v>0</v>
      </c>
      <c r="AH411" s="16" t="s">
        <v>48</v>
      </c>
      <c r="AI411" s="16" t="s">
        <v>49</v>
      </c>
      <c r="AJ411" s="16" t="s">
        <v>50</v>
      </c>
      <c r="AK411" s="16" t="s">
        <v>51</v>
      </c>
      <c r="AL411" s="25">
        <v>241405</v>
      </c>
      <c r="AM411" s="43">
        <f t="shared" si="27"/>
        <v>97.014361300075592</v>
      </c>
      <c r="AN411" s="16">
        <v>0</v>
      </c>
      <c r="AO411" s="16" t="s">
        <v>60</v>
      </c>
    </row>
    <row r="412" spans="1:41" ht="14.5" x14ac:dyDescent="0.35">
      <c r="A412" s="27" t="s">
        <v>1356</v>
      </c>
      <c r="B412" s="16" t="s">
        <v>42</v>
      </c>
      <c r="C412" s="16" t="s">
        <v>43</v>
      </c>
      <c r="D412" s="16" t="s">
        <v>44</v>
      </c>
      <c r="E412" s="16" t="s">
        <v>272</v>
      </c>
      <c r="F412" s="16">
        <v>4</v>
      </c>
      <c r="G412" s="30" t="s">
        <v>1357</v>
      </c>
      <c r="H412" s="16" t="s">
        <v>1358</v>
      </c>
      <c r="I412" s="16" t="s">
        <v>47</v>
      </c>
      <c r="J412" s="16">
        <v>123.13</v>
      </c>
      <c r="K412" s="16">
        <v>299</v>
      </c>
      <c r="L412" s="16">
        <v>3577</v>
      </c>
      <c r="M412" s="8">
        <v>0</v>
      </c>
      <c r="N412" s="21">
        <v>42711</v>
      </c>
      <c r="O412" s="7">
        <f t="shared" si="24"/>
        <v>7</v>
      </c>
      <c r="P412" s="22">
        <f t="shared" si="25"/>
        <v>25</v>
      </c>
      <c r="Q412" s="22">
        <f t="shared" si="26"/>
        <v>31</v>
      </c>
      <c r="R412" s="16">
        <v>116</v>
      </c>
      <c r="S412">
        <v>4.6986311321210197</v>
      </c>
      <c r="T412">
        <v>-74.071916390889498</v>
      </c>
      <c r="U412" s="22">
        <v>21411</v>
      </c>
      <c r="V412" s="22">
        <v>23085.5</v>
      </c>
      <c r="W412" s="25">
        <v>9934</v>
      </c>
      <c r="X412" s="24">
        <v>9731</v>
      </c>
      <c r="Y412" s="24">
        <v>212695</v>
      </c>
      <c r="Z412" s="24">
        <v>224642</v>
      </c>
      <c r="AA412" s="24">
        <v>18128</v>
      </c>
      <c r="AB412" s="24">
        <v>21845</v>
      </c>
      <c r="AC412" s="24">
        <v>80543</v>
      </c>
      <c r="AD412" s="24">
        <v>86470</v>
      </c>
      <c r="AE412" s="24">
        <v>13353</v>
      </c>
      <c r="AF412" s="24">
        <v>12993</v>
      </c>
      <c r="AG412" s="17">
        <v>0</v>
      </c>
      <c r="AH412" s="16" t="s">
        <v>136</v>
      </c>
      <c r="AI412" s="16" t="s">
        <v>49</v>
      </c>
      <c r="AJ412" s="16" t="s">
        <v>76</v>
      </c>
      <c r="AK412" s="16" t="s">
        <v>51</v>
      </c>
      <c r="AL412" s="25">
        <v>241405</v>
      </c>
      <c r="AM412" s="43">
        <f t="shared" si="27"/>
        <v>108.44635750832454</v>
      </c>
      <c r="AN412" s="16" t="s">
        <v>274</v>
      </c>
      <c r="AO412" s="16" t="s">
        <v>60</v>
      </c>
    </row>
    <row r="413" spans="1:41" ht="14.5" x14ac:dyDescent="0.35">
      <c r="A413" s="27" t="s">
        <v>1359</v>
      </c>
      <c r="B413" s="16" t="s">
        <v>42</v>
      </c>
      <c r="C413" s="16" t="s">
        <v>43</v>
      </c>
      <c r="D413" s="16" t="s">
        <v>44</v>
      </c>
      <c r="E413" s="16" t="s">
        <v>254</v>
      </c>
      <c r="F413" s="16">
        <v>6</v>
      </c>
      <c r="G413" s="30" t="s">
        <v>1360</v>
      </c>
      <c r="H413" s="16">
        <v>0</v>
      </c>
      <c r="I413" s="16" t="s">
        <v>47</v>
      </c>
      <c r="J413" s="16">
        <v>112.77</v>
      </c>
      <c r="K413" s="16">
        <v>43</v>
      </c>
      <c r="L413" s="16">
        <v>15306</v>
      </c>
      <c r="M413" s="8">
        <v>168</v>
      </c>
      <c r="N413" s="21">
        <v>43754</v>
      </c>
      <c r="O413" s="7">
        <f t="shared" si="24"/>
        <v>16</v>
      </c>
      <c r="P413" s="22">
        <f t="shared" si="25"/>
        <v>16</v>
      </c>
      <c r="Q413" s="22">
        <f t="shared" si="26"/>
        <v>31</v>
      </c>
      <c r="R413" s="16">
        <v>83</v>
      </c>
      <c r="S413">
        <v>4.7021648501568896</v>
      </c>
      <c r="T413">
        <v>-74.043324353710901</v>
      </c>
      <c r="U413" s="22">
        <v>24502</v>
      </c>
      <c r="V413" s="22">
        <v>26365.333330000001</v>
      </c>
      <c r="W413" s="25">
        <v>9985</v>
      </c>
      <c r="X413" s="24">
        <v>10067</v>
      </c>
      <c r="Y413" s="24">
        <v>244646</v>
      </c>
      <c r="Z413" s="24">
        <v>265414</v>
      </c>
      <c r="AA413" s="24">
        <v>26814</v>
      </c>
      <c r="AB413" s="24">
        <v>28625</v>
      </c>
      <c r="AC413" s="24">
        <v>94272</v>
      </c>
      <c r="AD413" s="24">
        <v>99308</v>
      </c>
      <c r="AE413" s="24">
        <v>14487</v>
      </c>
      <c r="AF413" s="24">
        <v>14627</v>
      </c>
      <c r="AG413" s="17">
        <v>0</v>
      </c>
      <c r="AH413" s="16" t="s">
        <v>48</v>
      </c>
      <c r="AI413" s="16" t="s">
        <v>49</v>
      </c>
      <c r="AJ413" s="16" t="s">
        <v>50</v>
      </c>
      <c r="AK413" s="16" t="s">
        <v>51</v>
      </c>
      <c r="AL413" s="25">
        <v>232000</v>
      </c>
      <c r="AM413" s="43">
        <f t="shared" si="27"/>
        <v>128.46501729183294</v>
      </c>
      <c r="AN413" s="16">
        <v>0</v>
      </c>
      <c r="AO413" s="16" t="s">
        <v>53</v>
      </c>
    </row>
    <row r="414" spans="1:41" ht="14.5" x14ac:dyDescent="0.35">
      <c r="A414" s="27" t="s">
        <v>1361</v>
      </c>
      <c r="B414" s="16" t="s">
        <v>55</v>
      </c>
      <c r="C414" s="16" t="s">
        <v>43</v>
      </c>
      <c r="D414" s="16" t="s">
        <v>44</v>
      </c>
      <c r="E414" s="16" t="s">
        <v>947</v>
      </c>
      <c r="F414" s="16">
        <v>3</v>
      </c>
      <c r="G414" s="30" t="s">
        <v>1362</v>
      </c>
      <c r="H414" s="16">
        <v>0</v>
      </c>
      <c r="I414" s="16" t="s">
        <v>47</v>
      </c>
      <c r="J414" s="16">
        <v>140</v>
      </c>
      <c r="K414" s="16">
        <v>2073</v>
      </c>
      <c r="L414" s="16">
        <v>1550</v>
      </c>
      <c r="M414" s="8">
        <v>0</v>
      </c>
      <c r="N414" s="21">
        <v>44719</v>
      </c>
      <c r="O414" s="7">
        <f t="shared" si="24"/>
        <v>7</v>
      </c>
      <c r="P414" s="22">
        <f t="shared" si="25"/>
        <v>24</v>
      </c>
      <c r="Q414" s="22">
        <f t="shared" si="26"/>
        <v>30</v>
      </c>
      <c r="R414" s="16">
        <v>51</v>
      </c>
      <c r="S414">
        <v>4.5932231630726701</v>
      </c>
      <c r="T414">
        <v>-74.141378108500604</v>
      </c>
      <c r="U414" s="22">
        <v>17872</v>
      </c>
      <c r="V414" s="22">
        <v>18378.666669999999</v>
      </c>
      <c r="W414" s="25">
        <v>11979</v>
      </c>
      <c r="X414" s="24">
        <v>12029</v>
      </c>
      <c r="Y414" s="24">
        <v>214089</v>
      </c>
      <c r="Z414" s="24">
        <v>221078</v>
      </c>
      <c r="AA414" s="24">
        <v>15773</v>
      </c>
      <c r="AB414" s="24">
        <v>14644</v>
      </c>
      <c r="AC414" s="24">
        <v>71226</v>
      </c>
      <c r="AD414" s="24">
        <v>72729</v>
      </c>
      <c r="AE414" s="24">
        <v>9567</v>
      </c>
      <c r="AF414" s="24">
        <v>9532</v>
      </c>
      <c r="AG414" s="17">
        <v>0</v>
      </c>
      <c r="AH414" s="16" t="s">
        <v>48</v>
      </c>
      <c r="AI414" s="16" t="s">
        <v>49</v>
      </c>
      <c r="AJ414" s="16" t="s">
        <v>76</v>
      </c>
      <c r="AK414" s="16" t="s">
        <v>51</v>
      </c>
      <c r="AL414" s="25">
        <v>241405</v>
      </c>
      <c r="AM414" s="43">
        <f t="shared" si="27"/>
        <v>68.335714285714289</v>
      </c>
      <c r="AN414" s="16" t="s">
        <v>507</v>
      </c>
      <c r="AO414" s="16" t="s">
        <v>60</v>
      </c>
    </row>
    <row r="415" spans="1:41" ht="14.5" x14ac:dyDescent="0.35">
      <c r="A415" s="27" t="s">
        <v>1363</v>
      </c>
      <c r="B415" s="16" t="s">
        <v>55</v>
      </c>
      <c r="C415" s="16" t="s">
        <v>43</v>
      </c>
      <c r="D415" s="16" t="s">
        <v>44</v>
      </c>
      <c r="E415" s="16" t="s">
        <v>79</v>
      </c>
      <c r="F415" s="16">
        <v>3</v>
      </c>
      <c r="G415" s="30" t="s">
        <v>1364</v>
      </c>
      <c r="H415" s="16" t="s">
        <v>1365</v>
      </c>
      <c r="I415" s="16" t="s">
        <v>102</v>
      </c>
      <c r="J415" s="16">
        <v>119.63</v>
      </c>
      <c r="K415" s="16">
        <v>230</v>
      </c>
      <c r="L415" s="16">
        <v>3670</v>
      </c>
      <c r="M415" s="8">
        <v>174</v>
      </c>
      <c r="N415" s="21">
        <v>45668</v>
      </c>
      <c r="O415" s="7">
        <f t="shared" si="24"/>
        <v>11</v>
      </c>
      <c r="P415" s="22">
        <f t="shared" si="25"/>
        <v>21</v>
      </c>
      <c r="Q415" s="22">
        <f t="shared" si="26"/>
        <v>31</v>
      </c>
      <c r="R415" s="16">
        <v>20</v>
      </c>
      <c r="S415">
        <v>4.6013800732205397</v>
      </c>
      <c r="T415">
        <v>-74.0724106375053</v>
      </c>
      <c r="U415" s="22">
        <v>27012</v>
      </c>
      <c r="V415" s="22">
        <v>27454.333330000001</v>
      </c>
      <c r="W415" s="25">
        <v>9698</v>
      </c>
      <c r="X415" s="24">
        <v>9949</v>
      </c>
      <c r="Y415" s="24">
        <v>261972</v>
      </c>
      <c r="Z415" s="24">
        <v>273145</v>
      </c>
      <c r="AA415" s="24">
        <v>34786</v>
      </c>
      <c r="AB415" s="24">
        <v>27651</v>
      </c>
      <c r="AC415" s="24">
        <v>102714</v>
      </c>
      <c r="AD415" s="24">
        <v>100121</v>
      </c>
      <c r="AE415" s="24">
        <v>12760</v>
      </c>
      <c r="AF415" s="24">
        <v>12830</v>
      </c>
      <c r="AG415" s="17">
        <v>0</v>
      </c>
      <c r="AH415" s="16" t="s">
        <v>82</v>
      </c>
      <c r="AI415" s="16" t="s">
        <v>49</v>
      </c>
      <c r="AJ415" s="16" t="s">
        <v>124</v>
      </c>
      <c r="AK415" s="16" t="s">
        <v>51</v>
      </c>
      <c r="AL415" s="25">
        <v>232000</v>
      </c>
      <c r="AM415" s="43">
        <f t="shared" si="27"/>
        <v>106.66220847613475</v>
      </c>
      <c r="AN415" s="16">
        <v>0</v>
      </c>
      <c r="AO415" s="16" t="s">
        <v>60</v>
      </c>
    </row>
    <row r="416" spans="1:41" ht="14.5" x14ac:dyDescent="0.35">
      <c r="A416" s="27" t="s">
        <v>1366</v>
      </c>
      <c r="B416" s="16" t="s">
        <v>55</v>
      </c>
      <c r="C416" s="16" t="s">
        <v>43</v>
      </c>
      <c r="D416" s="16" t="s">
        <v>44</v>
      </c>
      <c r="E416" s="16" t="s">
        <v>463</v>
      </c>
      <c r="F416" s="16">
        <v>3</v>
      </c>
      <c r="G416" s="30" t="s">
        <v>1367</v>
      </c>
      <c r="H416" s="16" t="s">
        <v>1368</v>
      </c>
      <c r="I416" s="16" t="s">
        <v>102</v>
      </c>
      <c r="J416" s="16">
        <v>176.38</v>
      </c>
      <c r="K416" s="16">
        <v>353</v>
      </c>
      <c r="L416" s="16">
        <v>6720</v>
      </c>
      <c r="M416" s="8">
        <v>177</v>
      </c>
      <c r="N416" s="21">
        <v>46045</v>
      </c>
      <c r="O416" s="7">
        <f t="shared" si="24"/>
        <v>23</v>
      </c>
      <c r="P416" s="22">
        <f t="shared" si="25"/>
        <v>9</v>
      </c>
      <c r="Q416" s="22">
        <f t="shared" si="26"/>
        <v>31</v>
      </c>
      <c r="R416" s="16">
        <v>8</v>
      </c>
      <c r="S416">
        <v>4.61383703619006</v>
      </c>
      <c r="T416">
        <v>-74.069864898694505</v>
      </c>
      <c r="U416" s="22">
        <v>21055</v>
      </c>
      <c r="V416" s="22">
        <v>21594.166669999999</v>
      </c>
      <c r="W416" s="25">
        <v>10451</v>
      </c>
      <c r="X416" s="24">
        <v>10737</v>
      </c>
      <c r="Y416" s="24">
        <v>220055</v>
      </c>
      <c r="Z416" s="24">
        <v>231857</v>
      </c>
      <c r="AA416" s="42">
        <v>6985</v>
      </c>
      <c r="AB416" s="24">
        <v>14389</v>
      </c>
      <c r="AC416" s="24">
        <v>82325</v>
      </c>
      <c r="AD416" s="24">
        <v>84314</v>
      </c>
      <c r="AE416" s="24">
        <v>18692</v>
      </c>
      <c r="AF416" s="24">
        <v>17251</v>
      </c>
      <c r="AG416" s="17">
        <v>1.4387000000000001</v>
      </c>
      <c r="AH416" s="16" t="s">
        <v>82</v>
      </c>
      <c r="AI416" s="16" t="s">
        <v>49</v>
      </c>
      <c r="AJ416" s="16" t="s">
        <v>124</v>
      </c>
      <c r="AK416" s="16" t="s">
        <v>65</v>
      </c>
      <c r="AL416" s="25">
        <v>232000</v>
      </c>
      <c r="AM416" s="43">
        <f t="shared" si="27"/>
        <v>105.97573421022793</v>
      </c>
      <c r="AN416" s="16" t="s">
        <v>632</v>
      </c>
      <c r="AO416" s="16" t="s">
        <v>53</v>
      </c>
    </row>
    <row r="417" spans="1:41" ht="14.5" x14ac:dyDescent="0.35">
      <c r="A417" s="27" t="s">
        <v>1369</v>
      </c>
      <c r="B417" s="16" t="s">
        <v>55</v>
      </c>
      <c r="C417" s="16" t="s">
        <v>43</v>
      </c>
      <c r="D417" s="16" t="s">
        <v>44</v>
      </c>
      <c r="E417" s="16" t="s">
        <v>463</v>
      </c>
      <c r="F417" s="16">
        <v>3</v>
      </c>
      <c r="G417" s="30" t="s">
        <v>1370</v>
      </c>
      <c r="H417" s="16">
        <v>0</v>
      </c>
      <c r="I417" s="16" t="s">
        <v>47</v>
      </c>
      <c r="J417" s="16">
        <v>149.47</v>
      </c>
      <c r="K417" s="16">
        <v>60</v>
      </c>
      <c r="L417" s="16">
        <v>3900</v>
      </c>
      <c r="M417" s="8">
        <v>75</v>
      </c>
      <c r="N417" s="21">
        <v>45441</v>
      </c>
      <c r="O417" s="7">
        <f t="shared" si="24"/>
        <v>29</v>
      </c>
      <c r="P417" s="22">
        <f t="shared" si="25"/>
        <v>3</v>
      </c>
      <c r="Q417" s="22">
        <f t="shared" si="26"/>
        <v>31</v>
      </c>
      <c r="R417" s="16">
        <v>28</v>
      </c>
      <c r="S417">
        <v>4.6227628861783003</v>
      </c>
      <c r="T417">
        <v>-74.066840606204295</v>
      </c>
      <c r="U417" s="22">
        <v>17939</v>
      </c>
      <c r="V417" s="22">
        <v>17546.5</v>
      </c>
      <c r="W417" s="25">
        <v>10295</v>
      </c>
      <c r="X417" s="24">
        <v>10444</v>
      </c>
      <c r="Y417" s="24">
        <v>184687</v>
      </c>
      <c r="Z417" s="24">
        <v>183261</v>
      </c>
      <c r="AA417" s="24">
        <v>10855</v>
      </c>
      <c r="AB417" s="24">
        <v>13271</v>
      </c>
      <c r="AC417" s="24">
        <v>73803</v>
      </c>
      <c r="AD417" s="24">
        <v>72303</v>
      </c>
      <c r="AE417" s="24">
        <v>12715</v>
      </c>
      <c r="AF417" s="24">
        <v>12638</v>
      </c>
      <c r="AG417" s="17">
        <v>0</v>
      </c>
      <c r="AH417" s="16" t="s">
        <v>136</v>
      </c>
      <c r="AI417" s="16" t="s">
        <v>49</v>
      </c>
      <c r="AJ417" s="16" t="s">
        <v>76</v>
      </c>
      <c r="AK417" s="16" t="s">
        <v>51</v>
      </c>
      <c r="AL417" s="25">
        <v>241405</v>
      </c>
      <c r="AM417" s="43">
        <f t="shared" si="27"/>
        <v>85.06723757275708</v>
      </c>
      <c r="AN417" s="16" t="s">
        <v>1188</v>
      </c>
      <c r="AO417" s="16" t="s">
        <v>60</v>
      </c>
    </row>
    <row r="418" spans="1:41" ht="14.5" x14ac:dyDescent="0.35">
      <c r="A418" s="27" t="s">
        <v>1371</v>
      </c>
      <c r="B418" s="16" t="s">
        <v>42</v>
      </c>
      <c r="C418" s="16" t="s">
        <v>43</v>
      </c>
      <c r="D418" s="16" t="s">
        <v>44</v>
      </c>
      <c r="E418" s="16" t="s">
        <v>254</v>
      </c>
      <c r="F418" s="16">
        <v>5</v>
      </c>
      <c r="G418" s="30" t="s">
        <v>1372</v>
      </c>
      <c r="H418" s="16">
        <v>0</v>
      </c>
      <c r="I418" s="16" t="s">
        <v>47</v>
      </c>
      <c r="J418" s="16">
        <v>158.44999999999999</v>
      </c>
      <c r="K418" s="16">
        <v>1156</v>
      </c>
      <c r="L418" s="16">
        <v>973</v>
      </c>
      <c r="M418" s="8">
        <v>80</v>
      </c>
      <c r="N418" s="21">
        <v>44844</v>
      </c>
      <c r="O418" s="7">
        <f t="shared" si="24"/>
        <v>10</v>
      </c>
      <c r="P418" s="22">
        <f t="shared" si="25"/>
        <v>22</v>
      </c>
      <c r="Q418" s="22">
        <f t="shared" si="26"/>
        <v>31</v>
      </c>
      <c r="R418" s="16">
        <v>47</v>
      </c>
      <c r="S418">
        <v>4.6969488878435097</v>
      </c>
      <c r="T418">
        <v>-74.050414942288995</v>
      </c>
      <c r="U418" s="22">
        <v>17673</v>
      </c>
      <c r="V418" s="22">
        <v>17746.166669999999</v>
      </c>
      <c r="W418" s="25">
        <v>11594</v>
      </c>
      <c r="X418" s="24">
        <v>11550</v>
      </c>
      <c r="Y418" s="24">
        <v>204906</v>
      </c>
      <c r="Z418" s="24">
        <v>204970</v>
      </c>
      <c r="AA418" s="24">
        <v>16032</v>
      </c>
      <c r="AB418" s="24">
        <v>12578</v>
      </c>
      <c r="AC418" s="24">
        <v>80406</v>
      </c>
      <c r="AD418" s="24">
        <v>80339</v>
      </c>
      <c r="AE418" s="24">
        <v>17308</v>
      </c>
      <c r="AF418" s="24">
        <v>17134</v>
      </c>
      <c r="AG418" s="17">
        <v>0</v>
      </c>
      <c r="AH418" s="16" t="s">
        <v>64</v>
      </c>
      <c r="AI418" s="16" t="s">
        <v>49</v>
      </c>
      <c r="AJ418" s="16" t="s">
        <v>124</v>
      </c>
      <c r="AK418" s="16" t="s">
        <v>51</v>
      </c>
      <c r="AL418" s="25">
        <v>204160</v>
      </c>
      <c r="AM418" s="43">
        <f t="shared" si="27"/>
        <v>109.23319659198486</v>
      </c>
      <c r="AN418" s="16">
        <v>0</v>
      </c>
      <c r="AO418" s="16" t="s">
        <v>60</v>
      </c>
    </row>
    <row r="419" spans="1:41" ht="14.5" x14ac:dyDescent="0.35">
      <c r="A419" s="27" t="s">
        <v>1373</v>
      </c>
      <c r="B419" s="16" t="s">
        <v>183</v>
      </c>
      <c r="C419" s="16" t="s">
        <v>184</v>
      </c>
      <c r="D419" s="16" t="s">
        <v>185</v>
      </c>
      <c r="E419" s="16" t="s">
        <v>186</v>
      </c>
      <c r="F419" s="16">
        <v>4</v>
      </c>
      <c r="G419" s="30" t="s">
        <v>1374</v>
      </c>
      <c r="H419" s="16" t="s">
        <v>1375</v>
      </c>
      <c r="I419" s="16" t="s">
        <v>47</v>
      </c>
      <c r="J419" s="16">
        <v>131.87</v>
      </c>
      <c r="K419" s="16">
        <v>1144</v>
      </c>
      <c r="L419" s="16">
        <v>1435</v>
      </c>
      <c r="M419" s="8">
        <v>280</v>
      </c>
      <c r="N419" s="21">
        <v>45656</v>
      </c>
      <c r="O419" s="7">
        <f t="shared" si="24"/>
        <v>30</v>
      </c>
      <c r="P419" s="22">
        <f t="shared" si="25"/>
        <v>2</v>
      </c>
      <c r="Q419" s="22">
        <f t="shared" si="26"/>
        <v>31</v>
      </c>
      <c r="R419" s="16">
        <v>21</v>
      </c>
      <c r="S419">
        <v>10.993958614433099</v>
      </c>
      <c r="T419">
        <v>-74.813515064032899</v>
      </c>
      <c r="U419" s="22">
        <v>14405</v>
      </c>
      <c r="V419" s="22">
        <v>13137.5</v>
      </c>
      <c r="W419" s="25">
        <v>11440</v>
      </c>
      <c r="X419" s="24">
        <v>11677</v>
      </c>
      <c r="Y419" s="24">
        <v>164796</v>
      </c>
      <c r="Z419" s="24">
        <v>153408</v>
      </c>
      <c r="AA419" s="42">
        <v>4771</v>
      </c>
      <c r="AB419" s="42">
        <v>-354</v>
      </c>
      <c r="AC419" s="24">
        <v>63284</v>
      </c>
      <c r="AD419" s="24">
        <v>55537</v>
      </c>
      <c r="AE419" s="24">
        <v>8416</v>
      </c>
      <c r="AF419" s="24">
        <v>8506</v>
      </c>
      <c r="AG419" s="17">
        <v>0</v>
      </c>
      <c r="AH419" s="16" t="s">
        <v>58</v>
      </c>
      <c r="AI419" s="16" t="s">
        <v>49</v>
      </c>
      <c r="AJ419" s="16" t="s">
        <v>124</v>
      </c>
      <c r="AK419" s="16" t="s">
        <v>51</v>
      </c>
      <c r="AL419" s="25">
        <v>232000</v>
      </c>
      <c r="AM419" s="43">
        <f t="shared" si="27"/>
        <v>63.820429210586184</v>
      </c>
      <c r="AN419" s="16" t="s">
        <v>1376</v>
      </c>
      <c r="AO419" s="16" t="s">
        <v>53</v>
      </c>
    </row>
    <row r="420" spans="1:41" ht="14.5" x14ac:dyDescent="0.35">
      <c r="A420" s="27" t="s">
        <v>1377</v>
      </c>
      <c r="B420" s="16" t="s">
        <v>42</v>
      </c>
      <c r="C420" s="16" t="s">
        <v>43</v>
      </c>
      <c r="D420" s="16" t="s">
        <v>44</v>
      </c>
      <c r="E420" s="16" t="s">
        <v>68</v>
      </c>
      <c r="F420" s="16">
        <v>5</v>
      </c>
      <c r="G420" s="30" t="s">
        <v>1378</v>
      </c>
      <c r="H420" s="16" t="s">
        <v>1379</v>
      </c>
      <c r="I420" s="16" t="s">
        <v>102</v>
      </c>
      <c r="J420" s="16">
        <v>145.83000000000001</v>
      </c>
      <c r="K420" s="16">
        <v>202</v>
      </c>
      <c r="L420" s="16">
        <v>5500</v>
      </c>
      <c r="M420" s="8">
        <v>128</v>
      </c>
      <c r="N420" s="21">
        <v>45866</v>
      </c>
      <c r="O420" s="7">
        <f t="shared" si="24"/>
        <v>28</v>
      </c>
      <c r="P420" s="22">
        <f t="shared" si="25"/>
        <v>4</v>
      </c>
      <c r="Q420" s="22">
        <f t="shared" si="26"/>
        <v>31</v>
      </c>
      <c r="R420" s="16">
        <v>14</v>
      </c>
      <c r="S420">
        <v>4.65755126968185</v>
      </c>
      <c r="T420">
        <v>-74.056566445337694</v>
      </c>
      <c r="U420" s="22">
        <v>23434</v>
      </c>
      <c r="V420" s="22">
        <v>19735.666669999999</v>
      </c>
      <c r="W420" s="25">
        <v>10417</v>
      </c>
      <c r="X420" s="24">
        <v>10475</v>
      </c>
      <c r="Y420" s="24">
        <v>244107</v>
      </c>
      <c r="Z420" s="24">
        <v>206732</v>
      </c>
      <c r="AA420" s="24">
        <v>35941</v>
      </c>
      <c r="AB420" s="24">
        <v>21244</v>
      </c>
      <c r="AC420" s="24">
        <v>99614</v>
      </c>
      <c r="AD420" s="24">
        <v>81751</v>
      </c>
      <c r="AE420" s="24">
        <v>13530</v>
      </c>
      <c r="AF420" s="24">
        <v>12881</v>
      </c>
      <c r="AG420" s="17">
        <v>1.6075999999999999</v>
      </c>
      <c r="AH420" s="16" t="s">
        <v>130</v>
      </c>
      <c r="AI420" s="16" t="s">
        <v>49</v>
      </c>
      <c r="AJ420" s="16" t="s">
        <v>124</v>
      </c>
      <c r="AK420" s="16" t="s">
        <v>71</v>
      </c>
      <c r="AL420" s="25">
        <v>204160</v>
      </c>
      <c r="AM420" s="43">
        <f t="shared" si="27"/>
        <v>92.779263526023442</v>
      </c>
      <c r="AN420" s="16" t="s">
        <v>731</v>
      </c>
      <c r="AO420" s="16" t="s">
        <v>53</v>
      </c>
    </row>
    <row r="421" spans="1:41" ht="14.5" x14ac:dyDescent="0.35">
      <c r="A421" s="27" t="s">
        <v>1380</v>
      </c>
      <c r="B421" s="16" t="s">
        <v>55</v>
      </c>
      <c r="C421" s="16" t="s">
        <v>43</v>
      </c>
      <c r="D421" s="16" t="s">
        <v>44</v>
      </c>
      <c r="E421" s="16" t="s">
        <v>79</v>
      </c>
      <c r="F421" s="16">
        <v>3</v>
      </c>
      <c r="G421" s="30" t="s">
        <v>1381</v>
      </c>
      <c r="H421" s="16" t="s">
        <v>1382</v>
      </c>
      <c r="I421" s="16" t="s">
        <v>102</v>
      </c>
      <c r="J421" s="16">
        <v>116.85</v>
      </c>
      <c r="K421" s="16">
        <v>935</v>
      </c>
      <c r="L421" s="16">
        <v>2100</v>
      </c>
      <c r="M421" s="8">
        <v>61</v>
      </c>
      <c r="N421" s="21">
        <v>45926</v>
      </c>
      <c r="O421" s="7">
        <f t="shared" si="24"/>
        <v>26</v>
      </c>
      <c r="P421" s="22">
        <f t="shared" si="25"/>
        <v>5</v>
      </c>
      <c r="Q421" s="22">
        <f t="shared" si="26"/>
        <v>30</v>
      </c>
      <c r="R421" s="16">
        <v>12</v>
      </c>
      <c r="S421">
        <v>4.6088441143004699</v>
      </c>
      <c r="T421">
        <v>-74.070393471883506</v>
      </c>
      <c r="U421" s="22">
        <v>21613</v>
      </c>
      <c r="V421" s="22">
        <v>19478.166669999999</v>
      </c>
      <c r="W421" s="25">
        <v>9785</v>
      </c>
      <c r="X421" s="24">
        <v>10317</v>
      </c>
      <c r="Y421" s="24">
        <v>211490</v>
      </c>
      <c r="Z421" s="24">
        <v>200960</v>
      </c>
      <c r="AA421" s="24">
        <v>24941</v>
      </c>
      <c r="AB421" s="24">
        <v>15852</v>
      </c>
      <c r="AC421" s="24">
        <v>79229</v>
      </c>
      <c r="AD421" s="24">
        <v>72754</v>
      </c>
      <c r="AE421" s="24">
        <v>9500</v>
      </c>
      <c r="AF421" s="24">
        <v>9599</v>
      </c>
      <c r="AG421" s="17">
        <v>1.8264</v>
      </c>
      <c r="AH421" s="16" t="s">
        <v>64</v>
      </c>
      <c r="AI421" s="16" t="s">
        <v>49</v>
      </c>
      <c r="AJ421" s="16" t="s">
        <v>124</v>
      </c>
      <c r="AK421" s="16" t="s">
        <v>71</v>
      </c>
      <c r="AL421" s="25">
        <v>204160</v>
      </c>
      <c r="AM421" s="43">
        <f t="shared" si="27"/>
        <v>81.300813008130092</v>
      </c>
      <c r="AN421" s="16" t="s">
        <v>606</v>
      </c>
      <c r="AO421" s="16" t="s">
        <v>60</v>
      </c>
    </row>
    <row r="422" spans="1:41" ht="14.5" x14ac:dyDescent="0.35">
      <c r="A422" s="27" t="s">
        <v>1383</v>
      </c>
      <c r="B422" s="16" t="s">
        <v>42</v>
      </c>
      <c r="C422" s="16" t="s">
        <v>126</v>
      </c>
      <c r="D422" s="16" t="s">
        <v>127</v>
      </c>
      <c r="E422" s="16" t="s">
        <v>1384</v>
      </c>
      <c r="F422" s="16">
        <v>3</v>
      </c>
      <c r="G422" s="30" t="s">
        <v>1385</v>
      </c>
      <c r="H422" s="16">
        <v>0</v>
      </c>
      <c r="I422" s="16" t="s">
        <v>102</v>
      </c>
      <c r="J422" s="16">
        <v>130.74</v>
      </c>
      <c r="K422" s="16">
        <v>2100</v>
      </c>
      <c r="L422" s="16">
        <v>600</v>
      </c>
      <c r="M422" s="8">
        <v>119</v>
      </c>
      <c r="N422" s="21">
        <v>45468</v>
      </c>
      <c r="O422" s="7">
        <f t="shared" si="24"/>
        <v>25</v>
      </c>
      <c r="P422" s="22">
        <f t="shared" si="25"/>
        <v>6</v>
      </c>
      <c r="Q422" s="22">
        <f t="shared" si="26"/>
        <v>30</v>
      </c>
      <c r="R422" s="16">
        <v>27</v>
      </c>
      <c r="S422">
        <v>5.5707301893750998</v>
      </c>
      <c r="T422">
        <v>-73.343159462214203</v>
      </c>
      <c r="U422" s="22">
        <v>16452</v>
      </c>
      <c r="V422" s="22">
        <v>15695.666670000001</v>
      </c>
      <c r="W422" s="25">
        <v>13922</v>
      </c>
      <c r="X422" s="24">
        <v>13672</v>
      </c>
      <c r="Y422" s="24">
        <v>229048</v>
      </c>
      <c r="Z422" s="24">
        <v>214598</v>
      </c>
      <c r="AA422" s="24">
        <v>27374</v>
      </c>
      <c r="AB422" s="24">
        <v>18750</v>
      </c>
      <c r="AC422" s="24">
        <v>81428</v>
      </c>
      <c r="AD422" s="24">
        <v>73504</v>
      </c>
      <c r="AE422" s="24">
        <v>7330</v>
      </c>
      <c r="AF422" s="24">
        <v>7143</v>
      </c>
      <c r="AG422" s="17">
        <v>0</v>
      </c>
      <c r="AH422" s="16" t="s">
        <v>82</v>
      </c>
      <c r="AI422" s="16" t="s">
        <v>49</v>
      </c>
      <c r="AJ422" s="16" t="s">
        <v>124</v>
      </c>
      <c r="AK422" s="16" t="s">
        <v>51</v>
      </c>
      <c r="AL422" s="25">
        <v>204160</v>
      </c>
      <c r="AM422" s="43">
        <f t="shared" si="27"/>
        <v>56.065473458773134</v>
      </c>
      <c r="AN422" s="16" t="s">
        <v>1386</v>
      </c>
      <c r="AO422" s="16" t="s">
        <v>53</v>
      </c>
    </row>
    <row r="423" spans="1:41" ht="14.5" x14ac:dyDescent="0.35">
      <c r="A423" s="27" t="s">
        <v>1387</v>
      </c>
      <c r="B423" s="16" t="s">
        <v>42</v>
      </c>
      <c r="C423" s="16" t="s">
        <v>43</v>
      </c>
      <c r="D423" s="16" t="s">
        <v>44</v>
      </c>
      <c r="E423" s="16" t="s">
        <v>549</v>
      </c>
      <c r="F423" s="16">
        <v>6</v>
      </c>
      <c r="G423" s="30" t="s">
        <v>1388</v>
      </c>
      <c r="H423" s="16">
        <v>0</v>
      </c>
      <c r="I423" s="16" t="s">
        <v>47</v>
      </c>
      <c r="J423" s="16">
        <v>120.5</v>
      </c>
      <c r="K423" s="16">
        <v>1100</v>
      </c>
      <c r="L423" s="16">
        <v>1800</v>
      </c>
      <c r="M423" s="8">
        <v>65</v>
      </c>
      <c r="N423" s="21">
        <v>44761</v>
      </c>
      <c r="O423" s="7">
        <f t="shared" si="24"/>
        <v>19</v>
      </c>
      <c r="P423" s="22">
        <f t="shared" si="25"/>
        <v>13</v>
      </c>
      <c r="Q423" s="22">
        <f t="shared" si="26"/>
        <v>31</v>
      </c>
      <c r="R423" s="16">
        <v>50</v>
      </c>
      <c r="S423">
        <v>4.6590423170538697</v>
      </c>
      <c r="T423">
        <v>-74.052980794879005</v>
      </c>
      <c r="U423" s="22">
        <v>24036</v>
      </c>
      <c r="V423" s="22">
        <v>24399.5</v>
      </c>
      <c r="W423" s="25">
        <v>10667</v>
      </c>
      <c r="X423" s="24">
        <v>10885</v>
      </c>
      <c r="Y423" s="24">
        <v>256385</v>
      </c>
      <c r="Z423" s="24">
        <v>265583</v>
      </c>
      <c r="AA423" s="24">
        <v>35673</v>
      </c>
      <c r="AB423" s="24">
        <v>38103</v>
      </c>
      <c r="AC423" s="24">
        <v>106873</v>
      </c>
      <c r="AD423" s="24">
        <v>108900</v>
      </c>
      <c r="AE423" s="24">
        <v>13685</v>
      </c>
      <c r="AF423" s="24">
        <v>13717</v>
      </c>
      <c r="AG423" s="17">
        <v>0</v>
      </c>
      <c r="AH423" s="16" t="s">
        <v>82</v>
      </c>
      <c r="AI423" s="16" t="s">
        <v>49</v>
      </c>
      <c r="AJ423" s="16" t="s">
        <v>50</v>
      </c>
      <c r="AK423" s="16" t="s">
        <v>51</v>
      </c>
      <c r="AL423" s="25">
        <v>232000</v>
      </c>
      <c r="AM423" s="43">
        <f t="shared" si="27"/>
        <v>113.56846473029046</v>
      </c>
      <c r="AN423" s="16" t="s">
        <v>558</v>
      </c>
      <c r="AO423" s="16" t="s">
        <v>53</v>
      </c>
    </row>
    <row r="424" spans="1:41" ht="14.5" x14ac:dyDescent="0.35">
      <c r="A424" s="27" t="s">
        <v>1389</v>
      </c>
      <c r="B424" s="16" t="s">
        <v>55</v>
      </c>
      <c r="C424" s="16" t="s">
        <v>43</v>
      </c>
      <c r="D424" s="16" t="s">
        <v>44</v>
      </c>
      <c r="E424" s="16" t="s">
        <v>236</v>
      </c>
      <c r="F424" s="16">
        <v>4</v>
      </c>
      <c r="G424" s="30" t="s">
        <v>1390</v>
      </c>
      <c r="H424" s="16" t="s">
        <v>1391</v>
      </c>
      <c r="I424" s="16" t="s">
        <v>47</v>
      </c>
      <c r="J424" s="16">
        <v>100.32</v>
      </c>
      <c r="K424" s="16">
        <v>985</v>
      </c>
      <c r="L424" s="16">
        <v>2200</v>
      </c>
      <c r="M424" s="8">
        <v>237</v>
      </c>
      <c r="N424" s="21">
        <v>45565</v>
      </c>
      <c r="O424" s="7">
        <f t="shared" si="24"/>
        <v>30</v>
      </c>
      <c r="P424" s="22">
        <f t="shared" si="25"/>
        <v>1</v>
      </c>
      <c r="Q424" s="22">
        <f t="shared" si="26"/>
        <v>30</v>
      </c>
      <c r="R424" s="16">
        <v>24</v>
      </c>
      <c r="S424">
        <v>4.6694814727295997</v>
      </c>
      <c r="T424">
        <v>-74.105221070678098</v>
      </c>
      <c r="U424" s="22">
        <v>18704</v>
      </c>
      <c r="V424" s="22">
        <v>16722.833330000001</v>
      </c>
      <c r="W424" s="25">
        <v>11370</v>
      </c>
      <c r="X424" s="24">
        <v>12108</v>
      </c>
      <c r="Y424" s="24">
        <v>212665</v>
      </c>
      <c r="Z424" s="24">
        <v>202473</v>
      </c>
      <c r="AA424" s="24">
        <v>18218</v>
      </c>
      <c r="AB424" s="24">
        <v>15898</v>
      </c>
      <c r="AC424" s="24">
        <v>78757</v>
      </c>
      <c r="AD424" s="24">
        <v>73372</v>
      </c>
      <c r="AE424" s="24">
        <v>10520</v>
      </c>
      <c r="AF424" s="24">
        <v>10627</v>
      </c>
      <c r="AG424" s="17">
        <v>0</v>
      </c>
      <c r="AH424" s="16" t="s">
        <v>136</v>
      </c>
      <c r="AI424" s="16" t="s">
        <v>49</v>
      </c>
      <c r="AJ424" s="16" t="s">
        <v>124</v>
      </c>
      <c r="AK424" s="16" t="s">
        <v>51</v>
      </c>
      <c r="AL424" s="25">
        <v>204160</v>
      </c>
      <c r="AM424" s="43">
        <f t="shared" si="27"/>
        <v>104.86443381180224</v>
      </c>
      <c r="AN424" s="16" t="s">
        <v>370</v>
      </c>
      <c r="AO424" s="16" t="s">
        <v>60</v>
      </c>
    </row>
    <row r="425" spans="1:41" ht="14.5" x14ac:dyDescent="0.35">
      <c r="A425" s="27" t="s">
        <v>1392</v>
      </c>
      <c r="B425" s="16" t="s">
        <v>42</v>
      </c>
      <c r="C425" s="16" t="s">
        <v>43</v>
      </c>
      <c r="D425" s="16" t="s">
        <v>44</v>
      </c>
      <c r="E425" s="16" t="s">
        <v>500</v>
      </c>
      <c r="F425" s="16">
        <v>6</v>
      </c>
      <c r="G425" s="30" t="s">
        <v>1393</v>
      </c>
      <c r="H425" s="16">
        <v>0</v>
      </c>
      <c r="I425" s="16" t="s">
        <v>102</v>
      </c>
      <c r="J425" s="16">
        <v>216.36</v>
      </c>
      <c r="K425" s="16">
        <v>555</v>
      </c>
      <c r="L425" s="16">
        <v>5482</v>
      </c>
      <c r="M425" s="8">
        <v>126</v>
      </c>
      <c r="N425" s="21">
        <v>43852</v>
      </c>
      <c r="O425" s="7">
        <f t="shared" si="24"/>
        <v>22</v>
      </c>
      <c r="P425" s="22">
        <f t="shared" si="25"/>
        <v>10</v>
      </c>
      <c r="Q425" s="22">
        <f t="shared" si="26"/>
        <v>31</v>
      </c>
      <c r="R425" s="16">
        <v>80</v>
      </c>
      <c r="S425">
        <v>4.7317051217843904</v>
      </c>
      <c r="T425">
        <v>-74.023493948380704</v>
      </c>
      <c r="U425" s="22">
        <v>33247</v>
      </c>
      <c r="V425" s="22">
        <v>31056.333330000001</v>
      </c>
      <c r="W425" s="25">
        <v>10628</v>
      </c>
      <c r="X425" s="24">
        <v>10866</v>
      </c>
      <c r="Y425" s="24">
        <v>353354</v>
      </c>
      <c r="Z425" s="24">
        <v>337446</v>
      </c>
      <c r="AA425" s="24">
        <v>54214</v>
      </c>
      <c r="AB425" s="24">
        <v>43247</v>
      </c>
      <c r="AC425" s="24">
        <v>138186</v>
      </c>
      <c r="AD425" s="24">
        <v>131465</v>
      </c>
      <c r="AE425" s="24">
        <v>22360</v>
      </c>
      <c r="AF425" s="24">
        <v>22638</v>
      </c>
      <c r="AG425" s="17">
        <v>0</v>
      </c>
      <c r="AH425" s="16" t="s">
        <v>82</v>
      </c>
      <c r="AI425" s="16" t="s">
        <v>49</v>
      </c>
      <c r="AJ425" s="16" t="s">
        <v>124</v>
      </c>
      <c r="AK425" s="16" t="s">
        <v>51</v>
      </c>
      <c r="AL425" s="25">
        <v>204160</v>
      </c>
      <c r="AM425" s="43">
        <f t="shared" si="27"/>
        <v>103.34627472730634</v>
      </c>
      <c r="AN425" s="16" t="s">
        <v>1394</v>
      </c>
      <c r="AO425" s="16" t="s">
        <v>60</v>
      </c>
    </row>
    <row r="426" spans="1:41" ht="14.5" x14ac:dyDescent="0.35">
      <c r="A426" s="27" t="s">
        <v>1395</v>
      </c>
      <c r="B426" s="16" t="s">
        <v>105</v>
      </c>
      <c r="C426" s="16" t="s">
        <v>112</v>
      </c>
      <c r="D426" s="16" t="s">
        <v>113</v>
      </c>
      <c r="E426" s="16" t="s">
        <v>114</v>
      </c>
      <c r="F426" s="16">
        <v>5</v>
      </c>
      <c r="G426" s="30" t="s">
        <v>1396</v>
      </c>
      <c r="H426" s="16" t="s">
        <v>1397</v>
      </c>
      <c r="I426" s="16" t="s">
        <v>102</v>
      </c>
      <c r="J426" s="16">
        <v>176.94</v>
      </c>
      <c r="K426" s="16">
        <v>1192</v>
      </c>
      <c r="L426" s="16">
        <v>1105</v>
      </c>
      <c r="M426" s="8">
        <v>64</v>
      </c>
      <c r="N426" s="21">
        <v>45686</v>
      </c>
      <c r="O426" s="7">
        <f t="shared" si="24"/>
        <v>29</v>
      </c>
      <c r="P426" s="22">
        <f t="shared" si="25"/>
        <v>3</v>
      </c>
      <c r="Q426" s="22">
        <f t="shared" si="26"/>
        <v>31</v>
      </c>
      <c r="R426" s="16">
        <v>20</v>
      </c>
      <c r="S426">
        <v>3.4003359441180399</v>
      </c>
      <c r="T426">
        <v>-76.544560757091404</v>
      </c>
      <c r="U426" s="22">
        <v>11900</v>
      </c>
      <c r="V426" s="22">
        <v>12390.166670000001</v>
      </c>
      <c r="W426" s="25">
        <v>13208</v>
      </c>
      <c r="X426" s="24">
        <v>12648</v>
      </c>
      <c r="Y426" s="24">
        <v>157178</v>
      </c>
      <c r="Z426" s="24">
        <v>156709</v>
      </c>
      <c r="AA426" s="24">
        <v>-7917</v>
      </c>
      <c r="AB426" s="42">
        <v>-503</v>
      </c>
      <c r="AC426" s="24">
        <v>61727</v>
      </c>
      <c r="AD426" s="24">
        <v>59526</v>
      </c>
      <c r="AE426" s="24">
        <v>11572</v>
      </c>
      <c r="AF426" s="24">
        <v>11686</v>
      </c>
      <c r="AG426" s="17">
        <v>0</v>
      </c>
      <c r="AH426" s="16" t="s">
        <v>58</v>
      </c>
      <c r="AI426" s="16" t="s">
        <v>49</v>
      </c>
      <c r="AJ426" s="16" t="s">
        <v>124</v>
      </c>
      <c r="AK426" s="16" t="s">
        <v>51</v>
      </c>
      <c r="AL426" s="25">
        <v>204160</v>
      </c>
      <c r="AM426" s="43">
        <f t="shared" si="27"/>
        <v>65.400700802531929</v>
      </c>
      <c r="AN426" s="16" t="s">
        <v>513</v>
      </c>
      <c r="AO426" s="16" t="s">
        <v>60</v>
      </c>
    </row>
    <row r="427" spans="1:41" ht="14.5" x14ac:dyDescent="0.35">
      <c r="A427" s="27" t="s">
        <v>1398</v>
      </c>
      <c r="B427" s="16" t="s">
        <v>105</v>
      </c>
      <c r="C427" s="16" t="s">
        <v>157</v>
      </c>
      <c r="D427" s="16" t="s">
        <v>303</v>
      </c>
      <c r="E427" s="16" t="s">
        <v>304</v>
      </c>
      <c r="F427" s="16">
        <v>4</v>
      </c>
      <c r="G427" s="30" t="s">
        <v>1399</v>
      </c>
      <c r="H427" s="16" t="s">
        <v>1400</v>
      </c>
      <c r="I427" s="16" t="s">
        <v>102</v>
      </c>
      <c r="J427" s="16">
        <v>132.80000000000001</v>
      </c>
      <c r="K427" s="16">
        <v>4989</v>
      </c>
      <c r="L427" s="16">
        <v>2424</v>
      </c>
      <c r="M427" s="8">
        <v>103</v>
      </c>
      <c r="N427" s="21">
        <v>45716</v>
      </c>
      <c r="O427" s="7">
        <f t="shared" si="24"/>
        <v>28</v>
      </c>
      <c r="P427" s="22">
        <f t="shared" si="25"/>
        <v>1</v>
      </c>
      <c r="Q427" s="22">
        <f t="shared" si="26"/>
        <v>28</v>
      </c>
      <c r="R427" s="16">
        <v>19</v>
      </c>
      <c r="S427">
        <v>6.1486266532558904</v>
      </c>
      <c r="T427">
        <v>-75.620188956474706</v>
      </c>
      <c r="U427" s="22">
        <v>16369</v>
      </c>
      <c r="V427" s="22">
        <v>15550.5</v>
      </c>
      <c r="W427" s="25">
        <v>13493</v>
      </c>
      <c r="X427" s="24">
        <v>12999</v>
      </c>
      <c r="Y427" s="24">
        <v>220869</v>
      </c>
      <c r="Z427" s="24">
        <v>202142</v>
      </c>
      <c r="AA427" s="24">
        <v>15437</v>
      </c>
      <c r="AB427" s="24">
        <v>16576</v>
      </c>
      <c r="AC427" s="24">
        <v>83331</v>
      </c>
      <c r="AD427" s="24">
        <v>79213</v>
      </c>
      <c r="AE427" s="24">
        <v>13500</v>
      </c>
      <c r="AF427" s="24">
        <v>13632</v>
      </c>
      <c r="AG427" s="17">
        <v>1.2697000000000001</v>
      </c>
      <c r="AH427" s="16" t="s">
        <v>58</v>
      </c>
      <c r="AI427" s="16" t="s">
        <v>49</v>
      </c>
      <c r="AJ427" s="16" t="s">
        <v>50</v>
      </c>
      <c r="AK427" s="16" t="s">
        <v>51</v>
      </c>
      <c r="AL427" s="25">
        <v>232000</v>
      </c>
      <c r="AM427" s="43">
        <f t="shared" si="27"/>
        <v>101.65662650602408</v>
      </c>
      <c r="AN427" s="16" t="s">
        <v>453</v>
      </c>
      <c r="AO427" s="16" t="s">
        <v>60</v>
      </c>
    </row>
    <row r="428" spans="1:41" ht="14.5" x14ac:dyDescent="0.35">
      <c r="A428" s="27" t="s">
        <v>1401</v>
      </c>
      <c r="B428" s="16" t="s">
        <v>55</v>
      </c>
      <c r="C428" s="16" t="s">
        <v>43</v>
      </c>
      <c r="D428" s="16" t="s">
        <v>44</v>
      </c>
      <c r="E428" s="16" t="s">
        <v>85</v>
      </c>
      <c r="F428" s="16">
        <v>3</v>
      </c>
      <c r="G428" s="30" t="s">
        <v>1402</v>
      </c>
      <c r="H428" s="16">
        <v>0</v>
      </c>
      <c r="I428" s="16" t="s">
        <v>47</v>
      </c>
      <c r="J428" s="16">
        <v>81.39</v>
      </c>
      <c r="K428" s="16">
        <v>1269</v>
      </c>
      <c r="L428" s="16">
        <v>1298</v>
      </c>
      <c r="M428" s="8">
        <v>154</v>
      </c>
      <c r="N428" s="21">
        <v>44912</v>
      </c>
      <c r="O428" s="7">
        <f t="shared" si="24"/>
        <v>17</v>
      </c>
      <c r="P428" s="22">
        <f t="shared" si="25"/>
        <v>15</v>
      </c>
      <c r="Q428" s="22">
        <f t="shared" si="26"/>
        <v>31</v>
      </c>
      <c r="R428" s="16">
        <v>45</v>
      </c>
      <c r="S428">
        <v>4.6201822234526899</v>
      </c>
      <c r="T428">
        <v>-74.151480445764193</v>
      </c>
      <c r="U428" s="22">
        <v>20704</v>
      </c>
      <c r="V428" s="22">
        <v>20069.333330000001</v>
      </c>
      <c r="W428" s="25">
        <v>10003</v>
      </c>
      <c r="X428" s="24">
        <v>10824</v>
      </c>
      <c r="Y428" s="24">
        <v>207109</v>
      </c>
      <c r="Z428" s="24">
        <v>217237</v>
      </c>
      <c r="AA428" s="24">
        <v>10357</v>
      </c>
      <c r="AB428" s="24">
        <v>10047</v>
      </c>
      <c r="AC428" s="24">
        <v>66532</v>
      </c>
      <c r="AD428" s="24">
        <v>70999</v>
      </c>
      <c r="AE428" s="24">
        <v>11704</v>
      </c>
      <c r="AF428" s="24">
        <v>11821</v>
      </c>
      <c r="AG428" s="17">
        <v>0</v>
      </c>
      <c r="AH428" s="16" t="s">
        <v>82</v>
      </c>
      <c r="AI428" s="16" t="s">
        <v>49</v>
      </c>
      <c r="AJ428" s="16" t="s">
        <v>124</v>
      </c>
      <c r="AK428" s="16" t="s">
        <v>51</v>
      </c>
      <c r="AL428" s="25">
        <v>204160</v>
      </c>
      <c r="AM428" s="43">
        <f t="shared" si="27"/>
        <v>143.8014498095589</v>
      </c>
      <c r="AN428" s="16" t="s">
        <v>606</v>
      </c>
      <c r="AO428" s="16" t="s">
        <v>53</v>
      </c>
    </row>
    <row r="429" spans="1:41" ht="14.5" x14ac:dyDescent="0.35">
      <c r="A429" s="27" t="s">
        <v>1403</v>
      </c>
      <c r="B429" s="16" t="s">
        <v>105</v>
      </c>
      <c r="C429" s="16" t="s">
        <v>157</v>
      </c>
      <c r="D429" s="16" t="s">
        <v>158</v>
      </c>
      <c r="E429" s="16" t="s">
        <v>263</v>
      </c>
      <c r="F429" s="16">
        <v>5</v>
      </c>
      <c r="G429" s="30" t="s">
        <v>1404</v>
      </c>
      <c r="H429" s="16" t="s">
        <v>1405</v>
      </c>
      <c r="I429" s="16" t="s">
        <v>47</v>
      </c>
      <c r="J429" s="16">
        <v>105.88</v>
      </c>
      <c r="K429" s="16">
        <v>1066</v>
      </c>
      <c r="L429" s="16">
        <v>1138</v>
      </c>
      <c r="M429" s="8">
        <v>51</v>
      </c>
      <c r="N429" s="21">
        <v>45700</v>
      </c>
      <c r="O429" s="7">
        <f t="shared" si="24"/>
        <v>12</v>
      </c>
      <c r="P429" s="22">
        <f t="shared" si="25"/>
        <v>17</v>
      </c>
      <c r="Q429" s="22">
        <f t="shared" si="26"/>
        <v>28</v>
      </c>
      <c r="R429" s="16">
        <v>19</v>
      </c>
      <c r="S429">
        <v>6.2438353161367699</v>
      </c>
      <c r="T429">
        <v>-75.593644031371397</v>
      </c>
      <c r="U429" s="22">
        <v>22043</v>
      </c>
      <c r="V429" s="22">
        <v>19445.666669999999</v>
      </c>
      <c r="W429" s="25">
        <v>12746</v>
      </c>
      <c r="X429" s="24">
        <v>13028</v>
      </c>
      <c r="Y429" s="24">
        <v>280968</v>
      </c>
      <c r="Z429" s="24">
        <v>253345</v>
      </c>
      <c r="AA429" s="24">
        <v>36085</v>
      </c>
      <c r="AB429" s="24">
        <v>26117</v>
      </c>
      <c r="AC429" s="24">
        <v>110066</v>
      </c>
      <c r="AD429" s="24">
        <v>97845</v>
      </c>
      <c r="AE429" s="24">
        <v>16937</v>
      </c>
      <c r="AF429" s="24">
        <v>17098</v>
      </c>
      <c r="AG429" s="17">
        <v>0</v>
      </c>
      <c r="AH429" s="16" t="s">
        <v>58</v>
      </c>
      <c r="AI429" s="16" t="s">
        <v>49</v>
      </c>
      <c r="AJ429" s="16" t="s">
        <v>50</v>
      </c>
      <c r="AK429" s="16" t="s">
        <v>51</v>
      </c>
      <c r="AL429" s="25">
        <v>232000</v>
      </c>
      <c r="AM429" s="43">
        <f t="shared" si="27"/>
        <v>159.96411031356254</v>
      </c>
      <c r="AN429" s="16" t="s">
        <v>1406</v>
      </c>
      <c r="AO429" s="16" t="s">
        <v>60</v>
      </c>
    </row>
    <row r="430" spans="1:41" ht="14.5" x14ac:dyDescent="0.35">
      <c r="A430" s="32" t="s">
        <v>1407</v>
      </c>
      <c r="B430" s="32" t="s">
        <v>55</v>
      </c>
      <c r="C430" s="32" t="s">
        <v>43</v>
      </c>
      <c r="D430" s="32" t="s">
        <v>44</v>
      </c>
      <c r="E430" s="32" t="s">
        <v>1173</v>
      </c>
      <c r="F430" s="33">
        <v>3</v>
      </c>
      <c r="G430" s="30" t="s">
        <v>1408</v>
      </c>
      <c r="H430" s="32" t="s">
        <v>64</v>
      </c>
      <c r="I430" s="32" t="s">
        <v>47</v>
      </c>
      <c r="J430" s="34">
        <v>86.6</v>
      </c>
      <c r="K430" s="33">
        <v>1568</v>
      </c>
      <c r="L430" s="33">
        <v>1180</v>
      </c>
      <c r="M430" s="8">
        <v>96</v>
      </c>
      <c r="N430" s="35">
        <v>46294</v>
      </c>
      <c r="O430" s="7">
        <f t="shared" si="24"/>
        <v>29</v>
      </c>
      <c r="P430" s="22">
        <f t="shared" si="25"/>
        <v>2</v>
      </c>
      <c r="Q430" s="22">
        <f t="shared" si="26"/>
        <v>30</v>
      </c>
      <c r="R430" s="16">
        <v>0</v>
      </c>
      <c r="S430" s="36">
        <v>4.5902099999999999</v>
      </c>
      <c r="T430" s="36">
        <v>-74.105202000000006</v>
      </c>
      <c r="U430" s="22">
        <v>0</v>
      </c>
      <c r="V430" s="22">
        <v>0</v>
      </c>
      <c r="W430" s="25">
        <v>0</v>
      </c>
      <c r="X430" s="24">
        <v>0</v>
      </c>
      <c r="Y430" s="24">
        <v>0</v>
      </c>
      <c r="Z430" s="24">
        <v>0</v>
      </c>
      <c r="AA430" s="24">
        <v>0</v>
      </c>
      <c r="AB430" s="24">
        <v>0</v>
      </c>
      <c r="AC430" s="24">
        <v>0</v>
      </c>
      <c r="AD430" s="24">
        <v>0</v>
      </c>
      <c r="AE430" s="24">
        <v>0</v>
      </c>
      <c r="AF430" s="24">
        <v>0</v>
      </c>
      <c r="AG430" s="16">
        <v>0</v>
      </c>
      <c r="AH430" s="16" t="s">
        <v>64</v>
      </c>
      <c r="AI430" s="31" t="s">
        <v>49</v>
      </c>
      <c r="AJ430" s="31" t="s">
        <v>50</v>
      </c>
      <c r="AK430" s="31" t="s">
        <v>65</v>
      </c>
      <c r="AL430" s="37">
        <v>232000</v>
      </c>
      <c r="AM430" s="43">
        <f t="shared" si="27"/>
        <v>0</v>
      </c>
      <c r="AN430" s="16" t="s">
        <v>1409</v>
      </c>
      <c r="AO430" s="16" t="s">
        <v>60</v>
      </c>
    </row>
    <row r="431" spans="1:41" ht="14.5" x14ac:dyDescent="0.35">
      <c r="A431" s="27" t="s">
        <v>1410</v>
      </c>
      <c r="B431" s="16" t="s">
        <v>105</v>
      </c>
      <c r="C431" s="16" t="s">
        <v>106</v>
      </c>
      <c r="D431" s="16" t="s">
        <v>107</v>
      </c>
      <c r="E431" s="16" t="s">
        <v>1411</v>
      </c>
      <c r="F431" s="16">
        <v>4</v>
      </c>
      <c r="G431" s="30" t="s">
        <v>1412</v>
      </c>
      <c r="H431" s="16">
        <v>0</v>
      </c>
      <c r="I431" s="16" t="s">
        <v>47</v>
      </c>
      <c r="J431" s="16">
        <v>134.99</v>
      </c>
      <c r="K431" s="16">
        <v>842</v>
      </c>
      <c r="L431" s="16">
        <v>1300</v>
      </c>
      <c r="M431" s="8">
        <v>100</v>
      </c>
      <c r="N431" s="21">
        <v>45199</v>
      </c>
      <c r="O431" s="7">
        <f t="shared" si="24"/>
        <v>30</v>
      </c>
      <c r="P431" s="22">
        <f t="shared" si="25"/>
        <v>1</v>
      </c>
      <c r="Q431" s="22">
        <f t="shared" si="26"/>
        <v>30</v>
      </c>
      <c r="R431" s="16">
        <v>36</v>
      </c>
      <c r="S431">
        <v>4.8265475530759296</v>
      </c>
      <c r="T431">
        <v>-75.683986019151803</v>
      </c>
      <c r="U431" s="22">
        <v>14871</v>
      </c>
      <c r="V431" s="22">
        <v>13546.666670000001</v>
      </c>
      <c r="W431" s="25">
        <v>14682</v>
      </c>
      <c r="X431" s="24">
        <v>13454</v>
      </c>
      <c r="Y431" s="24">
        <v>218342</v>
      </c>
      <c r="Z431" s="24">
        <v>182253</v>
      </c>
      <c r="AA431" s="24">
        <v>5963</v>
      </c>
      <c r="AB431" s="24">
        <v>9042</v>
      </c>
      <c r="AC431" s="24">
        <v>84144</v>
      </c>
      <c r="AD431" s="24">
        <v>68701</v>
      </c>
      <c r="AE431" s="24">
        <v>9329</v>
      </c>
      <c r="AF431" s="24">
        <v>9426</v>
      </c>
      <c r="AG431" s="17">
        <v>0</v>
      </c>
      <c r="AH431" s="16" t="s">
        <v>48</v>
      </c>
      <c r="AI431" s="16" t="s">
        <v>49</v>
      </c>
      <c r="AJ431" s="16" t="s">
        <v>76</v>
      </c>
      <c r="AK431" s="16" t="s">
        <v>51</v>
      </c>
      <c r="AL431" s="25">
        <v>241405</v>
      </c>
      <c r="AM431" s="43">
        <f t="shared" si="27"/>
        <v>69.108822875768567</v>
      </c>
      <c r="AN431" s="16">
        <v>0</v>
      </c>
      <c r="AO431" s="16" t="s">
        <v>60</v>
      </c>
    </row>
    <row r="432" spans="1:41" ht="14.5" x14ac:dyDescent="0.35">
      <c r="A432" s="27" t="s">
        <v>1413</v>
      </c>
      <c r="B432" s="16" t="s">
        <v>55</v>
      </c>
      <c r="C432" s="16" t="s">
        <v>43</v>
      </c>
      <c r="D432" s="16" t="s">
        <v>44</v>
      </c>
      <c r="E432" s="16" t="s">
        <v>1414</v>
      </c>
      <c r="F432" s="16">
        <v>4</v>
      </c>
      <c r="G432" s="30" t="s">
        <v>1415</v>
      </c>
      <c r="H432" s="16" t="s">
        <v>1416</v>
      </c>
      <c r="I432" s="16" t="s">
        <v>102</v>
      </c>
      <c r="J432" s="16">
        <v>123.21</v>
      </c>
      <c r="K432" s="16">
        <v>0</v>
      </c>
      <c r="L432" s="16">
        <v>8954</v>
      </c>
      <c r="M432" s="8">
        <v>88</v>
      </c>
      <c r="N432" s="21">
        <v>45808</v>
      </c>
      <c r="O432" s="7">
        <f t="shared" si="24"/>
        <v>31</v>
      </c>
      <c r="P432" s="22">
        <f t="shared" si="25"/>
        <v>1</v>
      </c>
      <c r="Q432" s="22">
        <f t="shared" si="26"/>
        <v>31</v>
      </c>
      <c r="R432" s="16">
        <v>16</v>
      </c>
      <c r="S432">
        <v>4.6871604310971797</v>
      </c>
      <c r="T432">
        <v>-74.126825140708902</v>
      </c>
      <c r="U432" s="22">
        <v>20731</v>
      </c>
      <c r="V432" s="22">
        <v>21434.666669999999</v>
      </c>
      <c r="W432" s="25">
        <v>10426</v>
      </c>
      <c r="X432" s="24">
        <v>10235</v>
      </c>
      <c r="Y432" s="24">
        <v>216138</v>
      </c>
      <c r="Z432" s="24">
        <v>219376</v>
      </c>
      <c r="AA432" s="24">
        <v>20167</v>
      </c>
      <c r="AB432" s="24">
        <v>27728</v>
      </c>
      <c r="AC432" s="24">
        <v>88851</v>
      </c>
      <c r="AD432" s="24">
        <v>90150</v>
      </c>
      <c r="AE432" s="24">
        <v>9900</v>
      </c>
      <c r="AF432" s="24">
        <v>9799</v>
      </c>
      <c r="AG432" s="17">
        <v>1.8178000000000001</v>
      </c>
      <c r="AH432" s="16" t="s">
        <v>82</v>
      </c>
      <c r="AI432" s="16" t="s">
        <v>49</v>
      </c>
      <c r="AJ432" s="16" t="s">
        <v>124</v>
      </c>
      <c r="AK432" s="16" t="s">
        <v>51</v>
      </c>
      <c r="AL432" s="25">
        <v>204160</v>
      </c>
      <c r="AM432" s="43">
        <f t="shared" si="27"/>
        <v>80.350620891161441</v>
      </c>
      <c r="AN432" s="16" t="s">
        <v>410</v>
      </c>
      <c r="AO432" s="16" t="s">
        <v>53</v>
      </c>
    </row>
    <row r="433" spans="1:41" ht="14.5" x14ac:dyDescent="0.35">
      <c r="A433" s="27" t="s">
        <v>1417</v>
      </c>
      <c r="B433" s="16" t="s">
        <v>42</v>
      </c>
      <c r="C433" s="16" t="s">
        <v>43</v>
      </c>
      <c r="D433" s="16" t="s">
        <v>44</v>
      </c>
      <c r="E433" s="16" t="s">
        <v>272</v>
      </c>
      <c r="F433" s="16">
        <v>4</v>
      </c>
      <c r="G433" s="30" t="s">
        <v>1418</v>
      </c>
      <c r="H433" s="16" t="s">
        <v>64</v>
      </c>
      <c r="I433" s="16" t="s">
        <v>102</v>
      </c>
      <c r="J433" s="16">
        <v>136.6</v>
      </c>
      <c r="K433" s="16">
        <v>594</v>
      </c>
      <c r="L433" s="16">
        <v>4338</v>
      </c>
      <c r="M433" s="8">
        <v>95</v>
      </c>
      <c r="N433" s="21">
        <v>46234</v>
      </c>
      <c r="O433" s="7">
        <f t="shared" si="24"/>
        <v>31</v>
      </c>
      <c r="P433" s="22">
        <f t="shared" si="25"/>
        <v>1</v>
      </c>
      <c r="Q433" s="22">
        <f t="shared" si="26"/>
        <v>31</v>
      </c>
      <c r="R433" s="16">
        <v>2</v>
      </c>
      <c r="S433">
        <v>4.6909771433248304</v>
      </c>
      <c r="T433">
        <v>-74.074854110880594</v>
      </c>
      <c r="U433" s="22">
        <v>8109</v>
      </c>
      <c r="V433" s="22">
        <v>4169.5</v>
      </c>
      <c r="W433" s="25">
        <v>11364</v>
      </c>
      <c r="X433" s="24">
        <v>11490</v>
      </c>
      <c r="Y433" s="24">
        <v>92153</v>
      </c>
      <c r="Z433" s="24">
        <v>47909</v>
      </c>
      <c r="AA433" s="42">
        <v>-15643</v>
      </c>
      <c r="AB433" s="42">
        <v>-9860</v>
      </c>
      <c r="AC433" s="24">
        <v>35182</v>
      </c>
      <c r="AD433" s="24">
        <v>20049</v>
      </c>
      <c r="AE433" s="24">
        <v>13600</v>
      </c>
      <c r="AF433" s="24">
        <v>6857</v>
      </c>
      <c r="AG433" s="17">
        <v>0</v>
      </c>
      <c r="AH433" s="16" t="s">
        <v>136</v>
      </c>
      <c r="AI433" s="16" t="s">
        <v>49</v>
      </c>
      <c r="AJ433" s="16" t="s">
        <v>124</v>
      </c>
      <c r="AK433" s="16" t="s">
        <v>65</v>
      </c>
      <c r="AL433" s="25">
        <v>232000</v>
      </c>
      <c r="AM433" s="43">
        <f t="shared" si="27"/>
        <v>99.560761346998547</v>
      </c>
      <c r="AN433" s="16" t="s">
        <v>1419</v>
      </c>
      <c r="AO433" s="16" t="s">
        <v>60</v>
      </c>
    </row>
    <row r="434" spans="1:41" ht="14.5" x14ac:dyDescent="0.35">
      <c r="A434" s="32" t="s">
        <v>1420</v>
      </c>
      <c r="B434" s="32" t="s">
        <v>42</v>
      </c>
      <c r="C434" s="32" t="s">
        <v>43</v>
      </c>
      <c r="D434" s="32" t="s">
        <v>44</v>
      </c>
      <c r="E434" s="32" t="s">
        <v>668</v>
      </c>
      <c r="F434" s="33">
        <v>3</v>
      </c>
      <c r="G434" s="30" t="s">
        <v>1421</v>
      </c>
      <c r="H434" s="32" t="s">
        <v>64</v>
      </c>
      <c r="I434" s="32" t="s">
        <v>102</v>
      </c>
      <c r="J434" s="34">
        <v>123.26</v>
      </c>
      <c r="K434" s="33">
        <v>450</v>
      </c>
      <c r="L434" s="33">
        <v>80</v>
      </c>
      <c r="M434" s="8">
        <v>189</v>
      </c>
      <c r="N434" s="35">
        <v>46293</v>
      </c>
      <c r="O434" s="7">
        <f t="shared" si="24"/>
        <v>28</v>
      </c>
      <c r="P434" s="22">
        <f t="shared" si="25"/>
        <v>3</v>
      </c>
      <c r="Q434" s="22">
        <f t="shared" si="26"/>
        <v>30</v>
      </c>
      <c r="R434" s="16">
        <v>0</v>
      </c>
      <c r="S434" s="36">
        <v>4.731141</v>
      </c>
      <c r="T434" s="36">
        <v>-74.086943000000005</v>
      </c>
      <c r="U434" s="22">
        <v>0</v>
      </c>
      <c r="V434" s="22">
        <v>0</v>
      </c>
      <c r="W434" s="25">
        <v>0</v>
      </c>
      <c r="X434" s="24">
        <v>0</v>
      </c>
      <c r="Y434" s="24">
        <v>0</v>
      </c>
      <c r="Z434" s="24">
        <v>0</v>
      </c>
      <c r="AA434" s="24">
        <v>0</v>
      </c>
      <c r="AB434" s="24">
        <v>0</v>
      </c>
      <c r="AC434" s="24">
        <v>0</v>
      </c>
      <c r="AD434" s="24">
        <v>0</v>
      </c>
      <c r="AE434" s="24">
        <v>0</v>
      </c>
      <c r="AF434" s="24">
        <v>0</v>
      </c>
      <c r="AG434" s="16">
        <v>0</v>
      </c>
      <c r="AH434" s="16" t="s">
        <v>64</v>
      </c>
      <c r="AI434" s="31" t="s">
        <v>49</v>
      </c>
      <c r="AJ434" s="31" t="s">
        <v>76</v>
      </c>
      <c r="AK434" s="31" t="s">
        <v>65</v>
      </c>
      <c r="AL434" s="37">
        <v>241000</v>
      </c>
      <c r="AM434" s="43">
        <f t="shared" si="27"/>
        <v>0</v>
      </c>
      <c r="AN434" s="16" t="s">
        <v>374</v>
      </c>
      <c r="AO434" s="16" t="s">
        <v>60</v>
      </c>
    </row>
    <row r="435" spans="1:41" ht="14.5" x14ac:dyDescent="0.35">
      <c r="A435" s="27" t="s">
        <v>1422</v>
      </c>
      <c r="B435" s="16" t="s">
        <v>119</v>
      </c>
      <c r="C435" s="16" t="s">
        <v>120</v>
      </c>
      <c r="D435" s="16" t="s">
        <v>147</v>
      </c>
      <c r="E435" s="16" t="s">
        <v>148</v>
      </c>
      <c r="F435" s="16">
        <v>3</v>
      </c>
      <c r="G435" s="30" t="s">
        <v>1423</v>
      </c>
      <c r="H435" s="16">
        <v>0</v>
      </c>
      <c r="I435" s="16" t="s">
        <v>102</v>
      </c>
      <c r="J435" s="16">
        <v>112.72</v>
      </c>
      <c r="K435" s="16">
        <v>1352</v>
      </c>
      <c r="L435" s="16">
        <v>340</v>
      </c>
      <c r="M435" s="8">
        <v>39</v>
      </c>
      <c r="N435" s="21">
        <v>44933</v>
      </c>
      <c r="O435" s="7">
        <f t="shared" si="24"/>
        <v>7</v>
      </c>
      <c r="P435" s="22">
        <f t="shared" si="25"/>
        <v>25</v>
      </c>
      <c r="Q435" s="22">
        <f t="shared" si="26"/>
        <v>31</v>
      </c>
      <c r="R435" s="16">
        <v>44</v>
      </c>
      <c r="S435">
        <v>6.9925926156571503</v>
      </c>
      <c r="T435">
        <v>-73.056765424710505</v>
      </c>
      <c r="U435" s="22">
        <v>14556</v>
      </c>
      <c r="V435" s="22">
        <v>15006</v>
      </c>
      <c r="W435" s="25">
        <v>12719</v>
      </c>
      <c r="X435" s="24">
        <v>12633</v>
      </c>
      <c r="Y435" s="24">
        <v>185141</v>
      </c>
      <c r="Z435" s="24">
        <v>189568</v>
      </c>
      <c r="AA435" s="24">
        <v>8401</v>
      </c>
      <c r="AB435" s="24">
        <v>14127</v>
      </c>
      <c r="AC435" s="24">
        <v>63329</v>
      </c>
      <c r="AD435" s="24">
        <v>63496</v>
      </c>
      <c r="AE435" s="24">
        <v>4622</v>
      </c>
      <c r="AF435" s="24">
        <v>4680</v>
      </c>
      <c r="AG435" s="17">
        <v>0</v>
      </c>
      <c r="AH435" s="16" t="s">
        <v>58</v>
      </c>
      <c r="AI435" s="16" t="s">
        <v>49</v>
      </c>
      <c r="AJ435" s="16" t="s">
        <v>50</v>
      </c>
      <c r="AK435" s="16" t="s">
        <v>51</v>
      </c>
      <c r="AL435" s="25">
        <v>232000</v>
      </c>
      <c r="AM435" s="43">
        <f t="shared" si="27"/>
        <v>41.004258339247691</v>
      </c>
      <c r="AN435" s="16" t="s">
        <v>87</v>
      </c>
      <c r="AO435" s="16" t="s">
        <v>60</v>
      </c>
    </row>
    <row r="436" spans="1:41" ht="14.5" x14ac:dyDescent="0.35">
      <c r="A436" s="27" t="s">
        <v>1424</v>
      </c>
      <c r="B436" s="16" t="s">
        <v>55</v>
      </c>
      <c r="C436" s="16" t="s">
        <v>43</v>
      </c>
      <c r="D436" s="16" t="s">
        <v>44</v>
      </c>
      <c r="E436" s="16" t="s">
        <v>647</v>
      </c>
      <c r="F436" s="16">
        <v>4</v>
      </c>
      <c r="G436" s="30" t="s">
        <v>1425</v>
      </c>
      <c r="H436" s="16">
        <v>0</v>
      </c>
      <c r="I436" s="16" t="s">
        <v>47</v>
      </c>
      <c r="J436" s="16">
        <v>359.74</v>
      </c>
      <c r="K436" s="16">
        <v>977</v>
      </c>
      <c r="L436" s="16">
        <v>913</v>
      </c>
      <c r="M436" s="8">
        <v>0</v>
      </c>
      <c r="N436" s="21">
        <v>40977</v>
      </c>
      <c r="O436" s="7">
        <f t="shared" si="24"/>
        <v>9</v>
      </c>
      <c r="P436" s="22">
        <f t="shared" si="25"/>
        <v>23</v>
      </c>
      <c r="Q436" s="22">
        <f t="shared" si="26"/>
        <v>31</v>
      </c>
      <c r="R436" s="16">
        <v>116</v>
      </c>
      <c r="S436">
        <v>4.6326952002176904</v>
      </c>
      <c r="T436">
        <v>-74.069642852109595</v>
      </c>
      <c r="U436" s="22">
        <v>26307</v>
      </c>
      <c r="V436" s="22">
        <v>26832.833330000001</v>
      </c>
      <c r="W436" s="25">
        <v>12796</v>
      </c>
      <c r="X436" s="24">
        <v>12835</v>
      </c>
      <c r="Y436" s="24">
        <v>336618</v>
      </c>
      <c r="Z436" s="24">
        <v>344403</v>
      </c>
      <c r="AA436" s="24">
        <v>29329</v>
      </c>
      <c r="AB436" s="24">
        <v>32624</v>
      </c>
      <c r="AC436" s="24">
        <v>118325</v>
      </c>
      <c r="AD436" s="24">
        <v>118630</v>
      </c>
      <c r="AE436" s="24">
        <v>16000</v>
      </c>
      <c r="AF436" s="24">
        <v>14397</v>
      </c>
      <c r="AG436" s="17">
        <v>0</v>
      </c>
      <c r="AH436" s="16" t="s">
        <v>136</v>
      </c>
      <c r="AI436" s="16" t="s">
        <v>49</v>
      </c>
      <c r="AJ436" s="16" t="s">
        <v>50</v>
      </c>
      <c r="AK436" s="16" t="s">
        <v>51</v>
      </c>
      <c r="AL436" s="25">
        <v>232000</v>
      </c>
      <c r="AM436" s="43">
        <f t="shared" si="27"/>
        <v>44.476566409073222</v>
      </c>
      <c r="AN436" s="16" t="s">
        <v>1426</v>
      </c>
      <c r="AO436" s="16" t="s">
        <v>53</v>
      </c>
    </row>
    <row r="437" spans="1:41" ht="14.5" x14ac:dyDescent="0.35">
      <c r="A437" s="27" t="s">
        <v>1427</v>
      </c>
      <c r="B437" s="16" t="s">
        <v>55</v>
      </c>
      <c r="C437" s="16" t="s">
        <v>43</v>
      </c>
      <c r="D437" s="16" t="s">
        <v>44</v>
      </c>
      <c r="E437" s="16" t="s">
        <v>152</v>
      </c>
      <c r="F437" s="16">
        <v>4</v>
      </c>
      <c r="G437" s="30" t="s">
        <v>1428</v>
      </c>
      <c r="H437" s="16">
        <v>0</v>
      </c>
      <c r="I437" s="16" t="s">
        <v>47</v>
      </c>
      <c r="J437" s="16">
        <v>123.44</v>
      </c>
      <c r="K437" s="16">
        <v>697</v>
      </c>
      <c r="L437" s="16">
        <v>1173</v>
      </c>
      <c r="M437" s="8">
        <v>42</v>
      </c>
      <c r="N437" s="21">
        <v>40808</v>
      </c>
      <c r="O437" s="7">
        <f t="shared" si="24"/>
        <v>22</v>
      </c>
      <c r="P437" s="22">
        <f t="shared" si="25"/>
        <v>9</v>
      </c>
      <c r="Q437" s="22">
        <f t="shared" si="26"/>
        <v>30</v>
      </c>
      <c r="R437" s="16">
        <v>116</v>
      </c>
      <c r="S437">
        <v>4.6445359291123802</v>
      </c>
      <c r="T437">
        <v>-74.067729638337298</v>
      </c>
      <c r="U437" s="22">
        <v>22962</v>
      </c>
      <c r="V437" s="22">
        <v>19553.5</v>
      </c>
      <c r="W437" s="25">
        <v>11250</v>
      </c>
      <c r="X437" s="24">
        <v>11330</v>
      </c>
      <c r="Y437" s="24">
        <v>258321</v>
      </c>
      <c r="Z437" s="24">
        <v>221544</v>
      </c>
      <c r="AA437" s="24">
        <v>32092</v>
      </c>
      <c r="AB437" s="24">
        <v>17003</v>
      </c>
      <c r="AC437" s="24">
        <v>95157</v>
      </c>
      <c r="AD437" s="24">
        <v>79577</v>
      </c>
      <c r="AE437" s="24">
        <v>8408</v>
      </c>
      <c r="AF437" s="24">
        <v>8291</v>
      </c>
      <c r="AG437" s="17">
        <v>0</v>
      </c>
      <c r="AH437" s="16" t="s">
        <v>82</v>
      </c>
      <c r="AI437" s="16" t="s">
        <v>49</v>
      </c>
      <c r="AJ437" s="16" t="s">
        <v>124</v>
      </c>
      <c r="AK437" s="16" t="s">
        <v>51</v>
      </c>
      <c r="AL437" s="25">
        <v>204160</v>
      </c>
      <c r="AM437" s="43">
        <f t="shared" si="27"/>
        <v>68.114063512637713</v>
      </c>
      <c r="AN437" s="16" t="s">
        <v>270</v>
      </c>
      <c r="AO437" s="16" t="s">
        <v>53</v>
      </c>
    </row>
    <row r="438" spans="1:41" ht="14.5" x14ac:dyDescent="0.35">
      <c r="A438" s="27" t="s">
        <v>1429</v>
      </c>
      <c r="B438" s="16" t="s">
        <v>55</v>
      </c>
      <c r="C438" s="16" t="s">
        <v>43</v>
      </c>
      <c r="D438" s="16" t="s">
        <v>44</v>
      </c>
      <c r="E438" s="16" t="s">
        <v>444</v>
      </c>
      <c r="F438" s="16">
        <v>3</v>
      </c>
      <c r="G438" s="30" t="s">
        <v>1430</v>
      </c>
      <c r="H438" s="16">
        <v>0</v>
      </c>
      <c r="I438" s="16" t="s">
        <v>718</v>
      </c>
      <c r="J438" s="16">
        <v>103.77</v>
      </c>
      <c r="K438" s="16">
        <v>122</v>
      </c>
      <c r="L438" s="16">
        <v>2016</v>
      </c>
      <c r="M438" s="8">
        <v>0</v>
      </c>
      <c r="N438" s="21">
        <v>40525</v>
      </c>
      <c r="O438" s="7">
        <f t="shared" si="24"/>
        <v>13</v>
      </c>
      <c r="P438" s="22">
        <f t="shared" si="25"/>
        <v>19</v>
      </c>
      <c r="Q438" s="22">
        <f t="shared" si="26"/>
        <v>31</v>
      </c>
      <c r="R438" s="16">
        <v>116</v>
      </c>
      <c r="S438">
        <v>4.6175881762170201</v>
      </c>
      <c r="T438">
        <v>-74.088454137902502</v>
      </c>
      <c r="U438" s="22">
        <v>25036</v>
      </c>
      <c r="V438" s="22">
        <v>21827.666669999999</v>
      </c>
      <c r="W438" s="25">
        <v>11638</v>
      </c>
      <c r="X438" s="24">
        <v>11380</v>
      </c>
      <c r="Y438" s="24">
        <v>291365</v>
      </c>
      <c r="Z438" s="24">
        <v>248406</v>
      </c>
      <c r="AA438" s="24">
        <v>42222</v>
      </c>
      <c r="AB438" s="24">
        <v>22266</v>
      </c>
      <c r="AC438" s="24">
        <v>109018</v>
      </c>
      <c r="AD438" s="24">
        <v>87699</v>
      </c>
      <c r="AE438" s="24">
        <v>11809</v>
      </c>
      <c r="AF438" s="24">
        <v>11664</v>
      </c>
      <c r="AG438" s="17">
        <v>0</v>
      </c>
      <c r="AH438" s="16" t="s">
        <v>136</v>
      </c>
      <c r="AI438" s="16" t="s">
        <v>49</v>
      </c>
      <c r="AJ438" s="16" t="s">
        <v>50</v>
      </c>
      <c r="AK438" s="16" t="s">
        <v>51</v>
      </c>
      <c r="AL438" s="25">
        <v>232000</v>
      </c>
      <c r="AM438" s="43">
        <f t="shared" si="27"/>
        <v>113.79974944588996</v>
      </c>
      <c r="AN438" s="16" t="s">
        <v>1019</v>
      </c>
      <c r="AO438" s="16" t="s">
        <v>60</v>
      </c>
    </row>
    <row r="439" spans="1:41" ht="14.5" x14ac:dyDescent="0.35">
      <c r="A439" s="27" t="s">
        <v>1431</v>
      </c>
      <c r="B439" s="16" t="s">
        <v>105</v>
      </c>
      <c r="C439" s="16" t="s">
        <v>170</v>
      </c>
      <c r="D439" s="16" t="s">
        <v>171</v>
      </c>
      <c r="E439" s="16" t="s">
        <v>1432</v>
      </c>
      <c r="F439" s="16">
        <v>4</v>
      </c>
      <c r="G439" s="30" t="s">
        <v>1433</v>
      </c>
      <c r="H439" s="16">
        <v>0</v>
      </c>
      <c r="I439" s="16" t="s">
        <v>47</v>
      </c>
      <c r="J439" s="16">
        <v>117.97</v>
      </c>
      <c r="K439" s="16">
        <v>750</v>
      </c>
      <c r="L439" s="16">
        <v>5820</v>
      </c>
      <c r="M439" s="8">
        <v>187</v>
      </c>
      <c r="N439" s="21">
        <v>45471</v>
      </c>
      <c r="O439" s="7">
        <f t="shared" si="24"/>
        <v>28</v>
      </c>
      <c r="P439" s="22">
        <f t="shared" si="25"/>
        <v>3</v>
      </c>
      <c r="Q439" s="22">
        <f t="shared" si="26"/>
        <v>30</v>
      </c>
      <c r="R439" s="16">
        <v>27</v>
      </c>
      <c r="S439">
        <v>5.06364346066648</v>
      </c>
      <c r="T439">
        <v>-75.500364279807499</v>
      </c>
      <c r="U439" s="22">
        <v>15423</v>
      </c>
      <c r="V439" s="22">
        <v>15010.5</v>
      </c>
      <c r="W439" s="25">
        <v>11378</v>
      </c>
      <c r="X439" s="24">
        <v>10697</v>
      </c>
      <c r="Y439" s="24">
        <v>175490</v>
      </c>
      <c r="Z439" s="24">
        <v>160573</v>
      </c>
      <c r="AA439" s="24">
        <v>7807</v>
      </c>
      <c r="AB439" s="24">
        <v>7613</v>
      </c>
      <c r="AC439" s="24">
        <v>69855</v>
      </c>
      <c r="AD439" s="24">
        <v>61470</v>
      </c>
      <c r="AE439" s="24">
        <v>9951</v>
      </c>
      <c r="AF439" s="24">
        <v>9809</v>
      </c>
      <c r="AG439" s="17">
        <v>0</v>
      </c>
      <c r="AH439" s="16" t="s">
        <v>58</v>
      </c>
      <c r="AI439" s="16" t="s">
        <v>49</v>
      </c>
      <c r="AJ439" s="16" t="s">
        <v>124</v>
      </c>
      <c r="AK439" s="16" t="s">
        <v>51</v>
      </c>
      <c r="AL439" s="25">
        <v>204160</v>
      </c>
      <c r="AM439" s="43">
        <f t="shared" si="27"/>
        <v>84.351953886581342</v>
      </c>
      <c r="AN439" s="16" t="s">
        <v>652</v>
      </c>
      <c r="AO439" s="16" t="s">
        <v>53</v>
      </c>
    </row>
    <row r="440" spans="1:41" ht="14.5" x14ac:dyDescent="0.35">
      <c r="A440" s="27" t="s">
        <v>1434</v>
      </c>
      <c r="B440" s="16" t="s">
        <v>42</v>
      </c>
      <c r="C440" s="16" t="s">
        <v>43</v>
      </c>
      <c r="D440" s="16" t="s">
        <v>44</v>
      </c>
      <c r="E440" s="16" t="s">
        <v>458</v>
      </c>
      <c r="F440" s="16">
        <v>3</v>
      </c>
      <c r="G440" s="30" t="s">
        <v>1435</v>
      </c>
      <c r="H440" s="16" t="s">
        <v>1436</v>
      </c>
      <c r="I440" s="16" t="s">
        <v>102</v>
      </c>
      <c r="J440" s="16">
        <v>112.94</v>
      </c>
      <c r="K440" s="16">
        <v>1065</v>
      </c>
      <c r="L440" s="16">
        <v>3082</v>
      </c>
      <c r="M440" s="8">
        <v>92</v>
      </c>
      <c r="N440" s="21">
        <v>45805</v>
      </c>
      <c r="O440" s="7">
        <f t="shared" si="24"/>
        <v>28</v>
      </c>
      <c r="P440" s="22">
        <f t="shared" si="25"/>
        <v>4</v>
      </c>
      <c r="Q440" s="22">
        <f t="shared" si="26"/>
        <v>31</v>
      </c>
      <c r="R440" s="16">
        <v>16</v>
      </c>
      <c r="S440">
        <v>4.7444415034010401</v>
      </c>
      <c r="T440">
        <v>-74.047056574982804</v>
      </c>
      <c r="U440" s="22">
        <v>28779</v>
      </c>
      <c r="V440" s="22">
        <v>27268.5</v>
      </c>
      <c r="W440" s="25">
        <v>9696</v>
      </c>
      <c r="X440" s="24">
        <v>9924</v>
      </c>
      <c r="Y440" s="24">
        <v>279029</v>
      </c>
      <c r="Z440" s="24">
        <v>270609</v>
      </c>
      <c r="AA440" s="24">
        <v>57314</v>
      </c>
      <c r="AB440" s="24">
        <v>51759</v>
      </c>
      <c r="AC440" s="24">
        <v>121150</v>
      </c>
      <c r="AD440" s="24">
        <v>114057</v>
      </c>
      <c r="AE440" s="24">
        <v>7883</v>
      </c>
      <c r="AF440" s="24">
        <v>7827</v>
      </c>
      <c r="AG440" s="17">
        <v>1.6059000000000001</v>
      </c>
      <c r="AH440" s="16" t="s">
        <v>48</v>
      </c>
      <c r="AI440" s="16" t="s">
        <v>49</v>
      </c>
      <c r="AJ440" s="16" t="s">
        <v>76</v>
      </c>
      <c r="AK440" s="16" t="s">
        <v>51</v>
      </c>
      <c r="AL440" s="25">
        <v>241405</v>
      </c>
      <c r="AM440" s="43">
        <f t="shared" si="27"/>
        <v>69.798122897113515</v>
      </c>
      <c r="AN440" s="16" t="s">
        <v>77</v>
      </c>
      <c r="AO440" s="16" t="s">
        <v>60</v>
      </c>
    </row>
    <row r="441" spans="1:41" ht="14.5" x14ac:dyDescent="0.35">
      <c r="A441" s="27" t="s">
        <v>1437</v>
      </c>
      <c r="B441" s="16" t="s">
        <v>42</v>
      </c>
      <c r="C441" s="16" t="s">
        <v>43</v>
      </c>
      <c r="D441" s="16" t="s">
        <v>44</v>
      </c>
      <c r="E441" s="16" t="s">
        <v>344</v>
      </c>
      <c r="F441" s="16">
        <v>3</v>
      </c>
      <c r="G441" s="30" t="s">
        <v>1438</v>
      </c>
      <c r="H441" s="16" t="s">
        <v>1439</v>
      </c>
      <c r="I441" s="16" t="s">
        <v>47</v>
      </c>
      <c r="J441" s="16">
        <v>98.04</v>
      </c>
      <c r="K441" s="16">
        <v>2738</v>
      </c>
      <c r="L441" s="16">
        <v>185</v>
      </c>
      <c r="M441" s="8">
        <v>0</v>
      </c>
      <c r="N441" s="21">
        <v>45625</v>
      </c>
      <c r="O441" s="7">
        <f t="shared" si="24"/>
        <v>29</v>
      </c>
      <c r="P441" s="22">
        <f t="shared" si="25"/>
        <v>2</v>
      </c>
      <c r="Q441" s="22">
        <f t="shared" si="26"/>
        <v>30</v>
      </c>
      <c r="R441" s="16">
        <v>22</v>
      </c>
      <c r="S441">
        <v>4.7058522008928696</v>
      </c>
      <c r="T441">
        <v>-74.096301538976803</v>
      </c>
      <c r="U441" s="22">
        <v>14839</v>
      </c>
      <c r="V441" s="22">
        <v>15027.5</v>
      </c>
      <c r="W441" s="25">
        <v>14224</v>
      </c>
      <c r="X441" s="24">
        <v>13522</v>
      </c>
      <c r="Y441" s="24">
        <v>211069</v>
      </c>
      <c r="Z441" s="24">
        <v>203206</v>
      </c>
      <c r="AA441" s="24">
        <v>14453</v>
      </c>
      <c r="AB441" s="24">
        <v>16209</v>
      </c>
      <c r="AC441" s="24">
        <v>69048</v>
      </c>
      <c r="AD441" s="24">
        <v>66132</v>
      </c>
      <c r="AE441" s="24">
        <v>7890</v>
      </c>
      <c r="AF441" s="24">
        <v>7975</v>
      </c>
      <c r="AG441" s="17">
        <v>0</v>
      </c>
      <c r="AH441" s="16" t="s">
        <v>48</v>
      </c>
      <c r="AI441" s="16" t="s">
        <v>49</v>
      </c>
      <c r="AJ441" s="16" t="s">
        <v>50</v>
      </c>
      <c r="AK441" s="16" t="s">
        <v>51</v>
      </c>
      <c r="AL441" s="25">
        <v>232000</v>
      </c>
      <c r="AM441" s="43">
        <f t="shared" si="27"/>
        <v>80.47735618115054</v>
      </c>
      <c r="AN441" s="16">
        <v>0</v>
      </c>
      <c r="AO441" s="16" t="s">
        <v>60</v>
      </c>
    </row>
    <row r="442" spans="1:41" ht="14.5" x14ac:dyDescent="0.35">
      <c r="A442" s="27" t="s">
        <v>1440</v>
      </c>
      <c r="B442" s="16" t="s">
        <v>55</v>
      </c>
      <c r="C442" s="16" t="s">
        <v>43</v>
      </c>
      <c r="D442" s="16" t="s">
        <v>44</v>
      </c>
      <c r="E442" s="16" t="s">
        <v>531</v>
      </c>
      <c r="F442" s="16">
        <v>3</v>
      </c>
      <c r="G442" s="30" t="s">
        <v>1441</v>
      </c>
      <c r="H442" s="16">
        <v>0</v>
      </c>
      <c r="I442" s="16" t="s">
        <v>47</v>
      </c>
      <c r="J442" s="16">
        <v>117</v>
      </c>
      <c r="K442" s="16">
        <v>971</v>
      </c>
      <c r="L442" s="16">
        <v>1100</v>
      </c>
      <c r="M442" s="8">
        <v>71</v>
      </c>
      <c r="N442" s="21">
        <v>44757</v>
      </c>
      <c r="O442" s="7">
        <f t="shared" si="24"/>
        <v>15</v>
      </c>
      <c r="P442" s="22">
        <f t="shared" si="25"/>
        <v>17</v>
      </c>
      <c r="Q442" s="22">
        <f t="shared" si="26"/>
        <v>31</v>
      </c>
      <c r="R442" s="16">
        <v>50</v>
      </c>
      <c r="S442">
        <v>4.6634555270303499</v>
      </c>
      <c r="T442">
        <v>-74.067967840525</v>
      </c>
      <c r="U442" s="22">
        <v>21535</v>
      </c>
      <c r="V442" s="22">
        <v>21392.5</v>
      </c>
      <c r="W442" s="25">
        <v>11848</v>
      </c>
      <c r="X442" s="24">
        <v>11720</v>
      </c>
      <c r="Y442" s="24">
        <v>255155</v>
      </c>
      <c r="Z442" s="24">
        <v>250722</v>
      </c>
      <c r="AA442" s="24">
        <v>35533</v>
      </c>
      <c r="AB442" s="24">
        <v>33469</v>
      </c>
      <c r="AC442" s="24">
        <v>97655</v>
      </c>
      <c r="AD442" s="24">
        <v>94407</v>
      </c>
      <c r="AE442" s="24">
        <v>10561</v>
      </c>
      <c r="AF442" s="24">
        <v>10075</v>
      </c>
      <c r="AG442" s="17">
        <v>0</v>
      </c>
      <c r="AH442" s="16" t="s">
        <v>48</v>
      </c>
      <c r="AI442" s="16" t="s">
        <v>49</v>
      </c>
      <c r="AJ442" s="16" t="s">
        <v>76</v>
      </c>
      <c r="AK442" s="16" t="s">
        <v>51</v>
      </c>
      <c r="AL442" s="25">
        <v>241405</v>
      </c>
      <c r="AM442" s="43">
        <f t="shared" si="27"/>
        <v>90.26495726495726</v>
      </c>
      <c r="AN442" s="16" t="s">
        <v>165</v>
      </c>
      <c r="AO442" s="16" t="s">
        <v>98</v>
      </c>
    </row>
    <row r="443" spans="1:41" ht="14.5" x14ac:dyDescent="0.35">
      <c r="A443" s="27" t="s">
        <v>1442</v>
      </c>
      <c r="B443" s="16" t="s">
        <v>55</v>
      </c>
      <c r="C443" s="16" t="s">
        <v>93</v>
      </c>
      <c r="D443" s="16" t="s">
        <v>1443</v>
      </c>
      <c r="E443" s="16" t="s">
        <v>1444</v>
      </c>
      <c r="F443" s="16">
        <v>3</v>
      </c>
      <c r="G443" s="30" t="s">
        <v>1445</v>
      </c>
      <c r="H443" s="16" t="s">
        <v>64</v>
      </c>
      <c r="I443" s="16" t="s">
        <v>102</v>
      </c>
      <c r="J443" s="16">
        <v>134.62</v>
      </c>
      <c r="K443" s="16">
        <v>1485</v>
      </c>
      <c r="L443" s="16">
        <v>1100</v>
      </c>
      <c r="M443" s="8">
        <v>116</v>
      </c>
      <c r="N443" s="21">
        <v>46265</v>
      </c>
      <c r="O443" s="7">
        <f t="shared" si="24"/>
        <v>31</v>
      </c>
      <c r="P443" s="22">
        <f t="shared" si="25"/>
        <v>1</v>
      </c>
      <c r="Q443" s="22">
        <f t="shared" si="26"/>
        <v>31</v>
      </c>
      <c r="R443" s="16">
        <v>0</v>
      </c>
      <c r="S443" s="29">
        <v>4.5493139999999999</v>
      </c>
      <c r="T443" s="29">
        <v>-74.536368999999993</v>
      </c>
      <c r="U443" s="22">
        <v>431</v>
      </c>
      <c r="V443" s="22">
        <v>431</v>
      </c>
      <c r="W443" s="25">
        <v>12469</v>
      </c>
      <c r="X443" s="24">
        <v>12469</v>
      </c>
      <c r="Y443" s="24">
        <v>5374</v>
      </c>
      <c r="Z443" s="24">
        <v>5374</v>
      </c>
      <c r="AA443" s="24">
        <v>-10630</v>
      </c>
      <c r="AB443" s="24">
        <v>-10630</v>
      </c>
      <c r="AC443" s="24">
        <v>6004</v>
      </c>
      <c r="AD443" s="24">
        <v>6004</v>
      </c>
      <c r="AE443" s="24">
        <v>0</v>
      </c>
      <c r="AF443" s="24">
        <v>0</v>
      </c>
      <c r="AG443" s="17">
        <v>0</v>
      </c>
      <c r="AH443" s="16" t="s">
        <v>64</v>
      </c>
      <c r="AI443" s="16" t="s">
        <v>49</v>
      </c>
      <c r="AJ443" s="16" t="s">
        <v>50</v>
      </c>
      <c r="AK443" s="16" t="s">
        <v>65</v>
      </c>
      <c r="AL443" s="25">
        <v>204160</v>
      </c>
      <c r="AM443" s="43">
        <f t="shared" si="27"/>
        <v>0</v>
      </c>
      <c r="AN443" s="16" t="s">
        <v>1323</v>
      </c>
      <c r="AO443" s="16" t="s">
        <v>64</v>
      </c>
    </row>
    <row r="444" spans="1:41" ht="14.5" x14ac:dyDescent="0.35">
      <c r="A444" s="27" t="s">
        <v>1446</v>
      </c>
      <c r="B444" s="16" t="s">
        <v>42</v>
      </c>
      <c r="C444" s="16" t="s">
        <v>43</v>
      </c>
      <c r="D444" s="16" t="s">
        <v>44</v>
      </c>
      <c r="E444" s="16" t="s">
        <v>447</v>
      </c>
      <c r="F444" s="16">
        <v>5</v>
      </c>
      <c r="G444" s="30" t="s">
        <v>1447</v>
      </c>
      <c r="H444" s="16" t="s">
        <v>1448</v>
      </c>
      <c r="I444" s="16" t="s">
        <v>47</v>
      </c>
      <c r="J444" s="16">
        <v>118.66</v>
      </c>
      <c r="K444" s="16">
        <v>271</v>
      </c>
      <c r="L444" s="16">
        <v>3920</v>
      </c>
      <c r="M444" s="8">
        <v>90</v>
      </c>
      <c r="N444" s="21">
        <v>45924</v>
      </c>
      <c r="O444" s="7">
        <f t="shared" si="24"/>
        <v>24</v>
      </c>
      <c r="P444" s="22">
        <f t="shared" si="25"/>
        <v>7</v>
      </c>
      <c r="Q444" s="22">
        <f t="shared" si="26"/>
        <v>30</v>
      </c>
      <c r="R444" s="16">
        <v>12</v>
      </c>
      <c r="S444">
        <v>4.68223860597534</v>
      </c>
      <c r="T444">
        <v>-74.059048622525196</v>
      </c>
      <c r="U444" s="22">
        <v>23883</v>
      </c>
      <c r="V444" s="22">
        <v>23921.666669999999</v>
      </c>
      <c r="W444" s="25">
        <v>9721</v>
      </c>
      <c r="X444" s="24">
        <v>9886</v>
      </c>
      <c r="Y444" s="24">
        <v>232164</v>
      </c>
      <c r="Z444" s="24">
        <v>236478</v>
      </c>
      <c r="AA444" s="24">
        <v>31291</v>
      </c>
      <c r="AB444" s="24">
        <v>33633</v>
      </c>
      <c r="AC444" s="24">
        <v>97796</v>
      </c>
      <c r="AD444" s="24">
        <v>97366</v>
      </c>
      <c r="AE444" s="24">
        <v>11056</v>
      </c>
      <c r="AF444" s="24">
        <v>11121</v>
      </c>
      <c r="AG444" s="17">
        <v>1.6625000000000001</v>
      </c>
      <c r="AH444" s="16" t="s">
        <v>136</v>
      </c>
      <c r="AI444" s="16" t="s">
        <v>49</v>
      </c>
      <c r="AJ444" s="16" t="s">
        <v>76</v>
      </c>
      <c r="AK444" s="16" t="s">
        <v>71</v>
      </c>
      <c r="AL444" s="25">
        <v>241405</v>
      </c>
      <c r="AM444" s="43">
        <f t="shared" si="27"/>
        <v>93.173773807517279</v>
      </c>
      <c r="AN444" s="16" t="s">
        <v>1449</v>
      </c>
      <c r="AO444" s="16" t="s">
        <v>60</v>
      </c>
    </row>
    <row r="445" spans="1:41" ht="14.5" x14ac:dyDescent="0.35">
      <c r="A445" s="27" t="s">
        <v>1450</v>
      </c>
      <c r="B445" s="16" t="s">
        <v>55</v>
      </c>
      <c r="C445" s="16" t="s">
        <v>43</v>
      </c>
      <c r="D445" s="16" t="s">
        <v>44</v>
      </c>
      <c r="E445" s="16" t="s">
        <v>705</v>
      </c>
      <c r="F445" s="16">
        <v>3</v>
      </c>
      <c r="G445" s="30" t="s">
        <v>1451</v>
      </c>
      <c r="H445" s="16">
        <v>0</v>
      </c>
      <c r="I445" s="16" t="s">
        <v>102</v>
      </c>
      <c r="J445" s="16">
        <v>134.21</v>
      </c>
      <c r="K445" s="16">
        <v>3528</v>
      </c>
      <c r="L445" s="16">
        <v>80</v>
      </c>
      <c r="M445" s="8">
        <v>55</v>
      </c>
      <c r="N445" s="21">
        <v>45318</v>
      </c>
      <c r="O445" s="7">
        <f t="shared" si="24"/>
        <v>27</v>
      </c>
      <c r="P445" s="22">
        <f t="shared" si="25"/>
        <v>5</v>
      </c>
      <c r="Q445" s="22">
        <f t="shared" si="26"/>
        <v>31</v>
      </c>
      <c r="R445" s="16">
        <v>32</v>
      </c>
      <c r="S445">
        <v>4.7241881568128399</v>
      </c>
      <c r="T445">
        <v>-74.136506082158604</v>
      </c>
      <c r="U445" s="22">
        <v>25462</v>
      </c>
      <c r="V445" s="22">
        <v>25469.666669999999</v>
      </c>
      <c r="W445" s="25">
        <v>14319</v>
      </c>
      <c r="X445" s="24">
        <v>14658</v>
      </c>
      <c r="Y445" s="24">
        <v>364579</v>
      </c>
      <c r="Z445" s="24">
        <v>373340</v>
      </c>
      <c r="AA445" s="24">
        <v>37872</v>
      </c>
      <c r="AB445" s="24">
        <v>47112</v>
      </c>
      <c r="AC445" s="24">
        <v>130643</v>
      </c>
      <c r="AD445" s="24">
        <v>131673</v>
      </c>
      <c r="AE445" s="24">
        <v>19200</v>
      </c>
      <c r="AF445" s="24">
        <v>12896</v>
      </c>
      <c r="AG445" s="17">
        <v>0</v>
      </c>
      <c r="AH445" s="16" t="s">
        <v>82</v>
      </c>
      <c r="AI445" s="16" t="s">
        <v>49</v>
      </c>
      <c r="AJ445" s="16" t="s">
        <v>124</v>
      </c>
      <c r="AK445" s="16" t="s">
        <v>51</v>
      </c>
      <c r="AL445" s="25">
        <v>204160</v>
      </c>
      <c r="AM445" s="43">
        <f t="shared" si="27"/>
        <v>143.05938454660605</v>
      </c>
      <c r="AN445" s="16" t="s">
        <v>91</v>
      </c>
      <c r="AO445" s="16" t="s">
        <v>60</v>
      </c>
    </row>
    <row r="446" spans="1:41" ht="14.5" x14ac:dyDescent="0.35">
      <c r="A446" s="27" t="s">
        <v>1452</v>
      </c>
      <c r="B446" s="16" t="s">
        <v>105</v>
      </c>
      <c r="C446" s="16" t="s">
        <v>157</v>
      </c>
      <c r="D446" s="16" t="s">
        <v>158</v>
      </c>
      <c r="E446" s="16" t="s">
        <v>818</v>
      </c>
      <c r="F446" s="16">
        <v>2</v>
      </c>
      <c r="G446" s="30" t="s">
        <v>1453</v>
      </c>
      <c r="H446" s="16" t="s">
        <v>1454</v>
      </c>
      <c r="I446" s="16" t="s">
        <v>47</v>
      </c>
      <c r="J446" s="16">
        <v>124.97</v>
      </c>
      <c r="K446" s="16">
        <v>630</v>
      </c>
      <c r="L446" s="16">
        <v>4980</v>
      </c>
      <c r="M446" s="8">
        <v>108</v>
      </c>
      <c r="N446" s="21">
        <v>46185</v>
      </c>
      <c r="O446" s="7">
        <f t="shared" si="24"/>
        <v>12</v>
      </c>
      <c r="P446" s="22">
        <f t="shared" si="25"/>
        <v>19</v>
      </c>
      <c r="Q446" s="22">
        <f t="shared" si="26"/>
        <v>30</v>
      </c>
      <c r="R446" s="16">
        <v>3</v>
      </c>
      <c r="S446">
        <v>6.2410754391901504</v>
      </c>
      <c r="T446">
        <v>-75.586164128641897</v>
      </c>
      <c r="U446" s="22">
        <v>14113</v>
      </c>
      <c r="V446" s="22">
        <v>10318.333329999999</v>
      </c>
      <c r="W446" s="25">
        <v>11966</v>
      </c>
      <c r="X446" s="24">
        <v>11822</v>
      </c>
      <c r="Y446" s="24">
        <v>168881</v>
      </c>
      <c r="Z446" s="24">
        <v>121988</v>
      </c>
      <c r="AA446" s="42">
        <v>6749</v>
      </c>
      <c r="AB446" s="42">
        <v>3349</v>
      </c>
      <c r="AC446" s="24">
        <v>65311</v>
      </c>
      <c r="AD446" s="24">
        <v>48596</v>
      </c>
      <c r="AE446" s="24">
        <v>13660</v>
      </c>
      <c r="AF446" s="24">
        <v>6904</v>
      </c>
      <c r="AG446" s="17">
        <v>1.7842</v>
      </c>
      <c r="AH446" s="16" t="s">
        <v>90</v>
      </c>
      <c r="AI446" s="16" t="s">
        <v>49</v>
      </c>
      <c r="AJ446" s="16" t="s">
        <v>124</v>
      </c>
      <c r="AK446" s="16" t="s">
        <v>65</v>
      </c>
      <c r="AL446" s="25">
        <v>204160</v>
      </c>
      <c r="AM446" s="43">
        <f t="shared" si="27"/>
        <v>109.30623349603906</v>
      </c>
      <c r="AN446" s="16" t="s">
        <v>162</v>
      </c>
      <c r="AO446" s="16" t="s">
        <v>53</v>
      </c>
    </row>
    <row r="447" spans="1:41" ht="14.5" x14ac:dyDescent="0.35">
      <c r="A447" s="27" t="s">
        <v>1455</v>
      </c>
      <c r="B447" s="16" t="s">
        <v>119</v>
      </c>
      <c r="C447" s="16" t="s">
        <v>120</v>
      </c>
      <c r="D447" s="16" t="s">
        <v>121</v>
      </c>
      <c r="E447" s="16" t="s">
        <v>122</v>
      </c>
      <c r="F447" s="16">
        <v>3</v>
      </c>
      <c r="G447" s="30" t="s">
        <v>1456</v>
      </c>
      <c r="H447" s="16">
        <v>0</v>
      </c>
      <c r="I447" s="16" t="s">
        <v>47</v>
      </c>
      <c r="J447" s="16">
        <v>75</v>
      </c>
      <c r="K447" s="16">
        <v>269</v>
      </c>
      <c r="L447" s="16">
        <v>350</v>
      </c>
      <c r="M447" s="8">
        <v>0</v>
      </c>
      <c r="N447" s="21">
        <v>42697</v>
      </c>
      <c r="O447" s="7">
        <f t="shared" si="24"/>
        <v>23</v>
      </c>
      <c r="P447" s="22">
        <f t="shared" si="25"/>
        <v>8</v>
      </c>
      <c r="Q447" s="22">
        <f t="shared" si="26"/>
        <v>30</v>
      </c>
      <c r="R447" s="16">
        <v>116</v>
      </c>
      <c r="S447">
        <v>7.1239909722352897</v>
      </c>
      <c r="T447">
        <v>-73.119408305146493</v>
      </c>
      <c r="U447" s="22">
        <v>17026</v>
      </c>
      <c r="V447" s="22">
        <v>15738.333329999999</v>
      </c>
      <c r="W447" s="25">
        <v>9318</v>
      </c>
      <c r="X447" s="24">
        <v>9824</v>
      </c>
      <c r="Y447" s="24">
        <v>158653</v>
      </c>
      <c r="Z447" s="24">
        <v>154614</v>
      </c>
      <c r="AA447" s="42">
        <v>-1196</v>
      </c>
      <c r="AB447" s="24">
        <v>5204</v>
      </c>
      <c r="AC447" s="24">
        <v>58217</v>
      </c>
      <c r="AD447" s="24">
        <v>58559</v>
      </c>
      <c r="AE447" s="24">
        <v>6653</v>
      </c>
      <c r="AF447" s="24">
        <v>6533</v>
      </c>
      <c r="AG447" s="17">
        <v>0</v>
      </c>
      <c r="AH447" s="16" t="s">
        <v>136</v>
      </c>
      <c r="AI447" s="16" t="s">
        <v>49</v>
      </c>
      <c r="AJ447" s="16" t="s">
        <v>76</v>
      </c>
      <c r="AK447" s="16" t="s">
        <v>51</v>
      </c>
      <c r="AL447" s="25">
        <v>241405</v>
      </c>
      <c r="AM447" s="43">
        <f t="shared" si="27"/>
        <v>88.706666666666663</v>
      </c>
      <c r="AN447" s="16" t="s">
        <v>1149</v>
      </c>
      <c r="AO447" s="16" t="s">
        <v>60</v>
      </c>
    </row>
    <row r="448" spans="1:41" ht="14.5" x14ac:dyDescent="0.35">
      <c r="A448" s="27" t="s">
        <v>1457</v>
      </c>
      <c r="B448" s="16" t="s">
        <v>105</v>
      </c>
      <c r="C448" s="16" t="s">
        <v>112</v>
      </c>
      <c r="D448" s="16" t="s">
        <v>113</v>
      </c>
      <c r="E448" s="16" t="s">
        <v>114</v>
      </c>
      <c r="F448" s="16">
        <v>5</v>
      </c>
      <c r="G448" s="30" t="s">
        <v>1458</v>
      </c>
      <c r="H448" s="16" t="s">
        <v>1459</v>
      </c>
      <c r="I448" s="16" t="s">
        <v>102</v>
      </c>
      <c r="J448" s="16">
        <v>144.37</v>
      </c>
      <c r="K448" s="16">
        <v>2031</v>
      </c>
      <c r="L448" s="16">
        <v>1597</v>
      </c>
      <c r="M448" s="8">
        <v>60</v>
      </c>
      <c r="N448" s="21">
        <v>45595</v>
      </c>
      <c r="O448" s="7">
        <f t="shared" si="24"/>
        <v>30</v>
      </c>
      <c r="P448" s="22">
        <f t="shared" si="25"/>
        <v>2</v>
      </c>
      <c r="Q448" s="22">
        <f t="shared" si="26"/>
        <v>31</v>
      </c>
      <c r="R448" s="16">
        <v>23</v>
      </c>
      <c r="S448">
        <v>3.4344184074020201</v>
      </c>
      <c r="T448">
        <v>-76.544653134079198</v>
      </c>
      <c r="U448" s="22">
        <v>15010</v>
      </c>
      <c r="V448" s="22">
        <v>15130.5</v>
      </c>
      <c r="W448" s="25">
        <v>14410</v>
      </c>
      <c r="X448" s="24">
        <v>14452</v>
      </c>
      <c r="Y448" s="24">
        <v>216301</v>
      </c>
      <c r="Z448" s="24">
        <v>218668</v>
      </c>
      <c r="AA448" s="24">
        <v>9634</v>
      </c>
      <c r="AB448" s="24">
        <v>17455</v>
      </c>
      <c r="AC448" s="24">
        <v>84468</v>
      </c>
      <c r="AD448" s="24">
        <v>83417</v>
      </c>
      <c r="AE448" s="24">
        <v>12624</v>
      </c>
      <c r="AF448" s="24">
        <v>12749</v>
      </c>
      <c r="AG448" s="17">
        <v>0</v>
      </c>
      <c r="AH448" s="16" t="s">
        <v>58</v>
      </c>
      <c r="AI448" s="16" t="s">
        <v>49</v>
      </c>
      <c r="AJ448" s="16" t="s">
        <v>50</v>
      </c>
      <c r="AK448" s="16" t="s">
        <v>51</v>
      </c>
      <c r="AL448" s="25">
        <v>232000</v>
      </c>
      <c r="AM448" s="43">
        <f t="shared" si="27"/>
        <v>87.441989332963914</v>
      </c>
      <c r="AN448" s="16" t="s">
        <v>1460</v>
      </c>
      <c r="AO448" s="16" t="s">
        <v>53</v>
      </c>
    </row>
    <row r="449" spans="1:41" ht="14.5" x14ac:dyDescent="0.35">
      <c r="A449" s="27" t="s">
        <v>1461</v>
      </c>
      <c r="B449" s="16" t="s">
        <v>119</v>
      </c>
      <c r="C449" s="16" t="s">
        <v>120</v>
      </c>
      <c r="D449" s="16" t="s">
        <v>738</v>
      </c>
      <c r="E449" s="16" t="s">
        <v>739</v>
      </c>
      <c r="F449" s="16">
        <v>3</v>
      </c>
      <c r="G449" s="30" t="s">
        <v>1462</v>
      </c>
      <c r="H449" s="16">
        <v>0</v>
      </c>
      <c r="I449" s="16" t="s">
        <v>47</v>
      </c>
      <c r="J449" s="16">
        <v>144.62</v>
      </c>
      <c r="K449" s="16">
        <v>671</v>
      </c>
      <c r="L449" s="16">
        <v>620</v>
      </c>
      <c r="M449" s="8">
        <v>62</v>
      </c>
      <c r="N449" s="21">
        <v>45288</v>
      </c>
      <c r="O449" s="7">
        <f t="shared" si="24"/>
        <v>28</v>
      </c>
      <c r="P449" s="22">
        <f t="shared" si="25"/>
        <v>4</v>
      </c>
      <c r="Q449" s="22">
        <f t="shared" si="26"/>
        <v>31</v>
      </c>
      <c r="R449" s="16">
        <v>33</v>
      </c>
      <c r="S449">
        <v>7.0587217430498699</v>
      </c>
      <c r="T449">
        <v>-73.170713833477095</v>
      </c>
      <c r="U449" s="22">
        <v>26343</v>
      </c>
      <c r="V449" s="22">
        <v>26177.666669999999</v>
      </c>
      <c r="W449" s="25">
        <v>11034</v>
      </c>
      <c r="X449" s="24">
        <v>12151</v>
      </c>
      <c r="Y449" s="24">
        <v>290680</v>
      </c>
      <c r="Z449" s="24">
        <v>318095</v>
      </c>
      <c r="AA449" s="24">
        <v>27633</v>
      </c>
      <c r="AB449" s="24">
        <v>34202</v>
      </c>
      <c r="AC449" s="24">
        <v>104693</v>
      </c>
      <c r="AD449" s="24">
        <v>111020</v>
      </c>
      <c r="AE449" s="24">
        <v>10491</v>
      </c>
      <c r="AF449" s="24">
        <v>10598</v>
      </c>
      <c r="AG449" s="17">
        <v>0</v>
      </c>
      <c r="AH449" s="16" t="s">
        <v>58</v>
      </c>
      <c r="AI449" s="16" t="s">
        <v>49</v>
      </c>
      <c r="AJ449" s="16" t="s">
        <v>124</v>
      </c>
      <c r="AK449" s="16" t="s">
        <v>51</v>
      </c>
      <c r="AL449" s="25">
        <v>204160</v>
      </c>
      <c r="AM449" s="43">
        <f t="shared" si="27"/>
        <v>72.541833771262617</v>
      </c>
      <c r="AN449" s="16" t="s">
        <v>145</v>
      </c>
      <c r="AO449" s="16" t="s">
        <v>53</v>
      </c>
    </row>
    <row r="450" spans="1:41" ht="14.5" x14ac:dyDescent="0.35">
      <c r="A450" s="27" t="s">
        <v>1463</v>
      </c>
      <c r="B450" s="16" t="s">
        <v>55</v>
      </c>
      <c r="C450" s="16" t="s">
        <v>43</v>
      </c>
      <c r="D450" s="16" t="s">
        <v>44</v>
      </c>
      <c r="E450" s="16" t="s">
        <v>811</v>
      </c>
      <c r="F450" s="16">
        <v>3</v>
      </c>
      <c r="G450" s="30" t="s">
        <v>1464</v>
      </c>
      <c r="H450" s="16" t="s">
        <v>1465</v>
      </c>
      <c r="I450" s="16" t="s">
        <v>102</v>
      </c>
      <c r="J450" s="16">
        <v>342.04</v>
      </c>
      <c r="K450" s="16">
        <v>680</v>
      </c>
      <c r="L450" s="16">
        <v>2650</v>
      </c>
      <c r="M450" s="8">
        <v>115</v>
      </c>
      <c r="N450" s="21">
        <v>46044</v>
      </c>
      <c r="O450" s="7">
        <f t="shared" ref="O450:O513" si="28">DAY(N450)</f>
        <v>22</v>
      </c>
      <c r="P450" s="22">
        <f t="shared" ref="P450:P513" si="29">Q450-O450+1</f>
        <v>10</v>
      </c>
      <c r="Q450" s="22">
        <f t="shared" ref="Q450:Q513" si="30">DAY(EOMONTH(N450,0))</f>
        <v>31</v>
      </c>
      <c r="R450" s="16">
        <v>8</v>
      </c>
      <c r="S450">
        <v>4.60358618794546</v>
      </c>
      <c r="T450">
        <v>-74.065222373752107</v>
      </c>
      <c r="U450" s="22">
        <v>18924</v>
      </c>
      <c r="V450" s="22">
        <v>14898.333329999999</v>
      </c>
      <c r="W450" s="25">
        <v>10877</v>
      </c>
      <c r="X450" s="24">
        <v>11347</v>
      </c>
      <c r="Y450" s="24">
        <v>205828</v>
      </c>
      <c r="Z450" s="24">
        <v>169055</v>
      </c>
      <c r="AA450" s="42">
        <v>-802</v>
      </c>
      <c r="AB450" s="42">
        <v>-24279</v>
      </c>
      <c r="AC450" s="24">
        <v>88264</v>
      </c>
      <c r="AD450" s="24">
        <v>70185</v>
      </c>
      <c r="AE450" s="24">
        <v>19000</v>
      </c>
      <c r="AF450" s="24">
        <v>21012</v>
      </c>
      <c r="AG450" s="17">
        <v>1.161</v>
      </c>
      <c r="AH450" s="16" t="s">
        <v>136</v>
      </c>
      <c r="AI450" s="16" t="s">
        <v>49</v>
      </c>
      <c r="AJ450" s="16" t="s">
        <v>50</v>
      </c>
      <c r="AK450" s="16" t="s">
        <v>65</v>
      </c>
      <c r="AL450" s="25">
        <v>241405</v>
      </c>
      <c r="AM450" s="43">
        <f t="shared" ref="AM450:AM513" si="31">AE450/J450</f>
        <v>55.549058589638634</v>
      </c>
      <c r="AN450" s="16" t="s">
        <v>1466</v>
      </c>
      <c r="AO450" s="16" t="s">
        <v>53</v>
      </c>
    </row>
    <row r="451" spans="1:41" ht="14.5" x14ac:dyDescent="0.35">
      <c r="A451" s="27" t="s">
        <v>1467</v>
      </c>
      <c r="B451" s="16" t="s">
        <v>119</v>
      </c>
      <c r="C451" s="16" t="s">
        <v>120</v>
      </c>
      <c r="D451" s="16" t="s">
        <v>220</v>
      </c>
      <c r="E451" s="16" t="s">
        <v>221</v>
      </c>
      <c r="F451" s="16">
        <v>3</v>
      </c>
      <c r="G451" s="30" t="s">
        <v>1468</v>
      </c>
      <c r="H451" s="16">
        <v>0</v>
      </c>
      <c r="I451" s="16" t="s">
        <v>47</v>
      </c>
      <c r="J451" s="16">
        <v>110.29</v>
      </c>
      <c r="K451" s="16">
        <v>1015</v>
      </c>
      <c r="L451" s="16">
        <v>5029</v>
      </c>
      <c r="M451" s="8">
        <v>0</v>
      </c>
      <c r="N451" s="21">
        <v>44036</v>
      </c>
      <c r="O451" s="7">
        <f t="shared" si="28"/>
        <v>24</v>
      </c>
      <c r="P451" s="22">
        <f t="shared" si="29"/>
        <v>8</v>
      </c>
      <c r="Q451" s="22">
        <f t="shared" si="30"/>
        <v>31</v>
      </c>
      <c r="R451" s="16">
        <v>74</v>
      </c>
      <c r="S451">
        <v>7.0629066855194598</v>
      </c>
      <c r="T451">
        <v>-73.086336859334807</v>
      </c>
      <c r="U451" s="22">
        <v>26907</v>
      </c>
      <c r="V451" s="22">
        <v>26923</v>
      </c>
      <c r="W451" s="25">
        <v>10130</v>
      </c>
      <c r="X451" s="24">
        <v>10284</v>
      </c>
      <c r="Y451" s="24">
        <v>272566</v>
      </c>
      <c r="Z451" s="24">
        <v>276883</v>
      </c>
      <c r="AA451" s="24">
        <v>38084</v>
      </c>
      <c r="AB451" s="24">
        <v>40567</v>
      </c>
      <c r="AC451" s="24">
        <v>100514</v>
      </c>
      <c r="AD451" s="24">
        <v>102958</v>
      </c>
      <c r="AE451" s="24">
        <v>8068</v>
      </c>
      <c r="AF451" s="24">
        <v>8220</v>
      </c>
      <c r="AG451" s="17">
        <v>0</v>
      </c>
      <c r="AH451" s="16" t="s">
        <v>58</v>
      </c>
      <c r="AI451" s="16" t="s">
        <v>49</v>
      </c>
      <c r="AJ451" s="16" t="s">
        <v>50</v>
      </c>
      <c r="AK451" s="16" t="s">
        <v>51</v>
      </c>
      <c r="AL451" s="25">
        <v>232000</v>
      </c>
      <c r="AM451" s="43">
        <f t="shared" si="31"/>
        <v>73.152597696980678</v>
      </c>
      <c r="AN451" s="16" t="s">
        <v>1339</v>
      </c>
      <c r="AO451" s="16" t="s">
        <v>60</v>
      </c>
    </row>
    <row r="452" spans="1:41" ht="14.5" x14ac:dyDescent="0.35">
      <c r="A452" s="27" t="s">
        <v>1469</v>
      </c>
      <c r="B452" s="16" t="s">
        <v>55</v>
      </c>
      <c r="C452" s="16" t="s">
        <v>43</v>
      </c>
      <c r="D452" s="16" t="s">
        <v>44</v>
      </c>
      <c r="E452" s="16" t="s">
        <v>1470</v>
      </c>
      <c r="F452" s="16">
        <v>2</v>
      </c>
      <c r="G452" s="30" t="s">
        <v>1471</v>
      </c>
      <c r="H452" s="16" t="s">
        <v>1472</v>
      </c>
      <c r="I452" s="16" t="s">
        <v>47</v>
      </c>
      <c r="J452" s="16">
        <v>174.41</v>
      </c>
      <c r="K452" s="16">
        <v>1800</v>
      </c>
      <c r="L452" s="16">
        <v>4370</v>
      </c>
      <c r="M452" s="8">
        <v>110</v>
      </c>
      <c r="N452" s="21">
        <v>46172</v>
      </c>
      <c r="O452" s="7">
        <f t="shared" si="28"/>
        <v>30</v>
      </c>
      <c r="P452" s="22">
        <f t="shared" si="29"/>
        <v>2</v>
      </c>
      <c r="Q452" s="22">
        <f t="shared" si="30"/>
        <v>31</v>
      </c>
      <c r="R452" s="16">
        <v>4</v>
      </c>
      <c r="S452">
        <v>4.6953678434090298</v>
      </c>
      <c r="T452">
        <v>-74.158832834944207</v>
      </c>
      <c r="U452" s="22">
        <v>16114</v>
      </c>
      <c r="V452" s="22">
        <v>11477.25</v>
      </c>
      <c r="W452" s="25">
        <v>14840</v>
      </c>
      <c r="X452" s="24">
        <v>14929</v>
      </c>
      <c r="Y452" s="24">
        <v>239123</v>
      </c>
      <c r="Z452" s="24">
        <v>171343</v>
      </c>
      <c r="AA452" s="24">
        <v>34948</v>
      </c>
      <c r="AB452" s="24">
        <v>16444</v>
      </c>
      <c r="AC452" s="24">
        <v>86004</v>
      </c>
      <c r="AD452" s="24">
        <v>62540</v>
      </c>
      <c r="AE452" s="24">
        <v>5500</v>
      </c>
      <c r="AF452" s="24">
        <v>4553</v>
      </c>
      <c r="AG452" s="17">
        <v>1.0548999999999999</v>
      </c>
      <c r="AH452" s="16" t="s">
        <v>58</v>
      </c>
      <c r="AI452" s="16" t="s">
        <v>49</v>
      </c>
      <c r="AJ452" s="16" t="s">
        <v>50</v>
      </c>
      <c r="AK452" s="16" t="s">
        <v>65</v>
      </c>
      <c r="AL452" s="25">
        <v>232000</v>
      </c>
      <c r="AM452" s="43">
        <f t="shared" si="31"/>
        <v>31.53488905452669</v>
      </c>
      <c r="AN452" s="16">
        <v>0</v>
      </c>
      <c r="AO452" s="16" t="s">
        <v>60</v>
      </c>
    </row>
    <row r="453" spans="1:41" ht="14.5" x14ac:dyDescent="0.35">
      <c r="A453" s="27" t="s">
        <v>1473</v>
      </c>
      <c r="B453" s="16" t="s">
        <v>55</v>
      </c>
      <c r="C453" s="16" t="s">
        <v>93</v>
      </c>
      <c r="D453" s="16" t="s">
        <v>846</v>
      </c>
      <c r="E453" s="16" t="s">
        <v>847</v>
      </c>
      <c r="F453" s="16">
        <v>3</v>
      </c>
      <c r="G453" s="30" t="s">
        <v>1474</v>
      </c>
      <c r="H453" s="16">
        <v>0</v>
      </c>
      <c r="I453" s="16" t="s">
        <v>47</v>
      </c>
      <c r="J453" s="16">
        <v>98.18</v>
      </c>
      <c r="K453" s="16">
        <v>2505</v>
      </c>
      <c r="L453" s="16">
        <v>2665</v>
      </c>
      <c r="M453" s="8">
        <v>45</v>
      </c>
      <c r="N453" s="21">
        <v>45378</v>
      </c>
      <c r="O453" s="7">
        <f t="shared" si="28"/>
        <v>27</v>
      </c>
      <c r="P453" s="22">
        <f t="shared" si="29"/>
        <v>5</v>
      </c>
      <c r="Q453" s="22">
        <f t="shared" si="30"/>
        <v>31</v>
      </c>
      <c r="R453" s="16">
        <v>30</v>
      </c>
      <c r="S453">
        <v>4.7175082578948304</v>
      </c>
      <c r="T453">
        <v>-74.228650659428993</v>
      </c>
      <c r="U453" s="22">
        <v>14973</v>
      </c>
      <c r="V453" s="22">
        <v>13687.833329999999</v>
      </c>
      <c r="W453" s="25">
        <v>13410</v>
      </c>
      <c r="X453" s="24">
        <v>14606</v>
      </c>
      <c r="Y453" s="24">
        <v>200794</v>
      </c>
      <c r="Z453" s="24">
        <v>199927</v>
      </c>
      <c r="AA453" s="24">
        <v>16972</v>
      </c>
      <c r="AB453" s="24">
        <v>15609</v>
      </c>
      <c r="AC453" s="24">
        <v>67145</v>
      </c>
      <c r="AD453" s="24">
        <v>65009</v>
      </c>
      <c r="AE453" s="24">
        <v>8375</v>
      </c>
      <c r="AF453" s="24">
        <v>8464</v>
      </c>
      <c r="AG453" s="17">
        <v>0</v>
      </c>
      <c r="AH453" s="16" t="s">
        <v>58</v>
      </c>
      <c r="AI453" s="16" t="s">
        <v>49</v>
      </c>
      <c r="AJ453" s="16" t="s">
        <v>50</v>
      </c>
      <c r="AK453" s="16" t="s">
        <v>51</v>
      </c>
      <c r="AL453" s="25">
        <v>232000</v>
      </c>
      <c r="AM453" s="43">
        <f t="shared" si="31"/>
        <v>85.302505601955588</v>
      </c>
      <c r="AN453" s="16" t="s">
        <v>488</v>
      </c>
      <c r="AO453" s="16" t="s">
        <v>60</v>
      </c>
    </row>
    <row r="454" spans="1:41" ht="14.5" x14ac:dyDescent="0.35">
      <c r="A454" s="27" t="s">
        <v>1475</v>
      </c>
      <c r="B454" s="16" t="s">
        <v>55</v>
      </c>
      <c r="C454" s="16" t="s">
        <v>43</v>
      </c>
      <c r="D454" s="16" t="s">
        <v>44</v>
      </c>
      <c r="E454" s="16" t="s">
        <v>311</v>
      </c>
      <c r="F454" s="16">
        <v>4</v>
      </c>
      <c r="G454" s="30" t="s">
        <v>1476</v>
      </c>
      <c r="H454" s="16">
        <v>0</v>
      </c>
      <c r="I454" s="16" t="s">
        <v>47</v>
      </c>
      <c r="J454" s="16">
        <v>247.56</v>
      </c>
      <c r="K454" s="16">
        <v>651</v>
      </c>
      <c r="L454" s="16">
        <v>1616</v>
      </c>
      <c r="M454" s="8">
        <v>149</v>
      </c>
      <c r="N454" s="21">
        <v>44797</v>
      </c>
      <c r="O454" s="7">
        <f t="shared" si="28"/>
        <v>24</v>
      </c>
      <c r="P454" s="22">
        <f t="shared" si="29"/>
        <v>8</v>
      </c>
      <c r="Q454" s="22">
        <f t="shared" si="30"/>
        <v>31</v>
      </c>
      <c r="R454" s="16">
        <v>49</v>
      </c>
      <c r="S454">
        <v>4.6669534040920304</v>
      </c>
      <c r="T454">
        <v>-74.119010242516595</v>
      </c>
      <c r="U454" s="22">
        <v>22774</v>
      </c>
      <c r="V454" s="22">
        <v>22328.166669999999</v>
      </c>
      <c r="W454" s="25">
        <v>12399</v>
      </c>
      <c r="X454" s="24">
        <v>12538</v>
      </c>
      <c r="Y454" s="24">
        <v>282372</v>
      </c>
      <c r="Z454" s="24">
        <v>279948</v>
      </c>
      <c r="AA454" s="24">
        <v>37450</v>
      </c>
      <c r="AB454" s="24">
        <v>34604</v>
      </c>
      <c r="AC454" s="24">
        <v>102627</v>
      </c>
      <c r="AD454" s="24">
        <v>98206</v>
      </c>
      <c r="AE454" s="24">
        <v>12301</v>
      </c>
      <c r="AF454" s="24">
        <v>12007</v>
      </c>
      <c r="AG454" s="17">
        <v>0</v>
      </c>
      <c r="AH454" s="16" t="s">
        <v>48</v>
      </c>
      <c r="AI454" s="16" t="s">
        <v>49</v>
      </c>
      <c r="AJ454" s="16" t="s">
        <v>50</v>
      </c>
      <c r="AK454" s="16" t="s">
        <v>51</v>
      </c>
      <c r="AL454" s="25">
        <v>232000</v>
      </c>
      <c r="AM454" s="43">
        <f t="shared" si="31"/>
        <v>49.688964291484893</v>
      </c>
      <c r="AN454" s="16" t="s">
        <v>1477</v>
      </c>
      <c r="AO454" s="16" t="s">
        <v>60</v>
      </c>
    </row>
    <row r="455" spans="1:41" ht="14.5" x14ac:dyDescent="0.35">
      <c r="A455" s="27" t="s">
        <v>1478</v>
      </c>
      <c r="B455" s="16" t="s">
        <v>105</v>
      </c>
      <c r="C455" s="16" t="s">
        <v>106</v>
      </c>
      <c r="D455" s="16" t="s">
        <v>107</v>
      </c>
      <c r="E455" s="16" t="s">
        <v>798</v>
      </c>
      <c r="F455" s="16">
        <v>4</v>
      </c>
      <c r="G455" s="30" t="s">
        <v>1479</v>
      </c>
      <c r="H455" s="16">
        <v>0</v>
      </c>
      <c r="I455" s="16" t="s">
        <v>47</v>
      </c>
      <c r="J455" s="16">
        <v>154.30000000000001</v>
      </c>
      <c r="K455" s="16">
        <v>2897</v>
      </c>
      <c r="L455" s="16">
        <v>593</v>
      </c>
      <c r="M455" s="8">
        <v>62</v>
      </c>
      <c r="N455" s="21">
        <v>45077</v>
      </c>
      <c r="O455" s="7">
        <f t="shared" si="28"/>
        <v>31</v>
      </c>
      <c r="P455" s="22">
        <f t="shared" si="29"/>
        <v>1</v>
      </c>
      <c r="Q455" s="22">
        <f t="shared" si="30"/>
        <v>31</v>
      </c>
      <c r="R455" s="16">
        <v>40</v>
      </c>
      <c r="S455">
        <v>4.8267164233531199</v>
      </c>
      <c r="T455">
        <v>-75.6883647788746</v>
      </c>
      <c r="U455" s="22">
        <v>4066</v>
      </c>
      <c r="V455" s="22">
        <v>11156</v>
      </c>
      <c r="W455" s="25">
        <v>15603</v>
      </c>
      <c r="X455" s="24">
        <v>14927</v>
      </c>
      <c r="Y455" s="24">
        <v>63442</v>
      </c>
      <c r="Z455" s="24">
        <v>166530</v>
      </c>
      <c r="AA455" s="24">
        <v>-198234</v>
      </c>
      <c r="AB455" s="24">
        <v>-25343</v>
      </c>
      <c r="AC455" s="24">
        <v>-115917</v>
      </c>
      <c r="AD455" s="24">
        <v>35658</v>
      </c>
      <c r="AE455" s="24">
        <v>9666</v>
      </c>
      <c r="AF455" s="24">
        <v>9655</v>
      </c>
      <c r="AG455" s="17">
        <v>0</v>
      </c>
      <c r="AH455" s="16" t="s">
        <v>64</v>
      </c>
      <c r="AI455" s="16" t="s">
        <v>49</v>
      </c>
      <c r="AJ455" s="16" t="s">
        <v>50</v>
      </c>
      <c r="AK455" s="16" t="s">
        <v>51</v>
      </c>
      <c r="AL455" s="25">
        <v>232000</v>
      </c>
      <c r="AM455" s="43">
        <f t="shared" si="31"/>
        <v>62.644199611147108</v>
      </c>
      <c r="AN455" s="16" t="s">
        <v>825</v>
      </c>
      <c r="AO455" s="16" t="s">
        <v>53</v>
      </c>
    </row>
    <row r="456" spans="1:41" ht="14.5" x14ac:dyDescent="0.35">
      <c r="A456" s="27" t="s">
        <v>1480</v>
      </c>
      <c r="B456" s="16" t="s">
        <v>55</v>
      </c>
      <c r="C456" s="16" t="s">
        <v>43</v>
      </c>
      <c r="D456" s="16" t="s">
        <v>44</v>
      </c>
      <c r="E456" s="16" t="s">
        <v>1173</v>
      </c>
      <c r="F456" s="16">
        <v>3</v>
      </c>
      <c r="G456" s="30" t="s">
        <v>1481</v>
      </c>
      <c r="H456" s="16">
        <v>0</v>
      </c>
      <c r="I456" s="16" t="s">
        <v>47</v>
      </c>
      <c r="J456" s="16">
        <v>80.72</v>
      </c>
      <c r="K456" s="16">
        <v>845</v>
      </c>
      <c r="L456" s="16">
        <v>0</v>
      </c>
      <c r="M456" s="8">
        <v>0</v>
      </c>
      <c r="N456" s="21">
        <v>44466</v>
      </c>
      <c r="O456" s="7">
        <f t="shared" si="28"/>
        <v>27</v>
      </c>
      <c r="P456" s="22">
        <f t="shared" si="29"/>
        <v>4</v>
      </c>
      <c r="Q456" s="22">
        <f t="shared" si="30"/>
        <v>30</v>
      </c>
      <c r="R456" s="16">
        <v>60</v>
      </c>
      <c r="S456">
        <v>4.5837652567172196</v>
      </c>
      <c r="T456">
        <v>-74.101594288081998</v>
      </c>
      <c r="U456" s="22">
        <v>19270</v>
      </c>
      <c r="V456" s="22">
        <v>21236.5</v>
      </c>
      <c r="W456" s="25">
        <v>13209</v>
      </c>
      <c r="X456" s="24">
        <v>12666</v>
      </c>
      <c r="Y456" s="24">
        <v>254543</v>
      </c>
      <c r="Z456" s="24">
        <v>268989</v>
      </c>
      <c r="AA456" s="24">
        <v>22468</v>
      </c>
      <c r="AB456" s="24">
        <v>25515</v>
      </c>
      <c r="AC456" s="24">
        <v>83158</v>
      </c>
      <c r="AD456" s="24">
        <v>86331</v>
      </c>
      <c r="AE456" s="24">
        <v>9232</v>
      </c>
      <c r="AF456" s="24">
        <v>9073</v>
      </c>
      <c r="AG456" s="17">
        <v>0</v>
      </c>
      <c r="AH456" s="16" t="s">
        <v>136</v>
      </c>
      <c r="AI456" s="16" t="s">
        <v>49</v>
      </c>
      <c r="AJ456" s="16" t="s">
        <v>50</v>
      </c>
      <c r="AK456" s="16" t="s">
        <v>51</v>
      </c>
      <c r="AL456" s="25">
        <v>232000</v>
      </c>
      <c r="AM456" s="43">
        <f t="shared" si="31"/>
        <v>114.37066402378593</v>
      </c>
      <c r="AN456" s="16">
        <v>0</v>
      </c>
      <c r="AO456" s="16" t="s">
        <v>60</v>
      </c>
    </row>
    <row r="457" spans="1:41" ht="14.5" x14ac:dyDescent="0.35">
      <c r="A457" s="27" t="s">
        <v>1482</v>
      </c>
      <c r="B457" s="16" t="s">
        <v>42</v>
      </c>
      <c r="C457" s="16" t="s">
        <v>43</v>
      </c>
      <c r="D457" s="16" t="s">
        <v>44</v>
      </c>
      <c r="E457" s="16" t="s">
        <v>399</v>
      </c>
      <c r="F457" s="16">
        <v>4</v>
      </c>
      <c r="G457" s="30" t="s">
        <v>1483</v>
      </c>
      <c r="H457" s="16">
        <v>0</v>
      </c>
      <c r="I457" s="16" t="s">
        <v>47</v>
      </c>
      <c r="J457" s="16">
        <v>124.12</v>
      </c>
      <c r="K457" s="16">
        <v>1403</v>
      </c>
      <c r="L457" s="16">
        <v>0</v>
      </c>
      <c r="M457" s="8">
        <v>0</v>
      </c>
      <c r="N457" s="21">
        <v>44537</v>
      </c>
      <c r="O457" s="7">
        <f t="shared" si="28"/>
        <v>7</v>
      </c>
      <c r="P457" s="22">
        <f t="shared" si="29"/>
        <v>25</v>
      </c>
      <c r="Q457" s="22">
        <f t="shared" si="30"/>
        <v>31</v>
      </c>
      <c r="R457" s="16">
        <v>57</v>
      </c>
      <c r="S457">
        <v>4.7174807912882697</v>
      </c>
      <c r="T457">
        <v>-74.069331525599793</v>
      </c>
      <c r="U457" s="22">
        <v>15158</v>
      </c>
      <c r="V457" s="22">
        <v>15657.833329999999</v>
      </c>
      <c r="W457" s="25">
        <v>12024</v>
      </c>
      <c r="X457" s="24">
        <v>11681</v>
      </c>
      <c r="Y457" s="24">
        <v>182254</v>
      </c>
      <c r="Z457" s="24">
        <v>182905</v>
      </c>
      <c r="AA457" s="24">
        <v>11353</v>
      </c>
      <c r="AB457" s="24">
        <v>14249</v>
      </c>
      <c r="AC457" s="24">
        <v>64583</v>
      </c>
      <c r="AD457" s="24">
        <v>67460</v>
      </c>
      <c r="AE457" s="24">
        <v>10988</v>
      </c>
      <c r="AF457" s="24">
        <v>11100</v>
      </c>
      <c r="AG457" s="17">
        <v>0</v>
      </c>
      <c r="AH457" s="16" t="s">
        <v>934</v>
      </c>
      <c r="AI457" s="16" t="s">
        <v>49</v>
      </c>
      <c r="AJ457" s="16" t="s">
        <v>50</v>
      </c>
      <c r="AK457" s="16" t="s">
        <v>51</v>
      </c>
      <c r="AL457" s="25">
        <v>232000</v>
      </c>
      <c r="AM457" s="43">
        <f t="shared" si="31"/>
        <v>88.527231711247182</v>
      </c>
      <c r="AN457" s="16" t="s">
        <v>503</v>
      </c>
      <c r="AO457" s="16" t="s">
        <v>60</v>
      </c>
    </row>
    <row r="458" spans="1:41" ht="14.5" x14ac:dyDescent="0.35">
      <c r="A458" s="27" t="s">
        <v>1484</v>
      </c>
      <c r="B458" s="16" t="s">
        <v>55</v>
      </c>
      <c r="C458" s="16" t="s">
        <v>93</v>
      </c>
      <c r="D458" s="16" t="s">
        <v>884</v>
      </c>
      <c r="E458" s="16" t="s">
        <v>885</v>
      </c>
      <c r="F458" s="16">
        <v>3</v>
      </c>
      <c r="G458" s="30" t="s">
        <v>1485</v>
      </c>
      <c r="H458" s="16" t="s">
        <v>1486</v>
      </c>
      <c r="I458" s="16" t="s">
        <v>102</v>
      </c>
      <c r="J458" s="16">
        <v>120</v>
      </c>
      <c r="K458" s="16">
        <v>1388</v>
      </c>
      <c r="L458" s="16">
        <v>914</v>
      </c>
      <c r="M458" s="8">
        <v>180</v>
      </c>
      <c r="N458" s="21">
        <v>46171</v>
      </c>
      <c r="O458" s="7">
        <f t="shared" si="28"/>
        <v>29</v>
      </c>
      <c r="P458" s="22">
        <f t="shared" si="29"/>
        <v>3</v>
      </c>
      <c r="Q458" s="22">
        <f t="shared" si="30"/>
        <v>31</v>
      </c>
      <c r="R458" s="16">
        <v>4</v>
      </c>
      <c r="S458">
        <v>5.01093642937004</v>
      </c>
      <c r="T458">
        <v>-74.470455609092397</v>
      </c>
      <c r="U458" s="22">
        <v>14990</v>
      </c>
      <c r="V458" s="22">
        <v>11597.75</v>
      </c>
      <c r="W458" s="25">
        <v>12715</v>
      </c>
      <c r="X458" s="24">
        <v>13337</v>
      </c>
      <c r="Y458" s="24">
        <v>190595</v>
      </c>
      <c r="Z458" s="24">
        <v>154680</v>
      </c>
      <c r="AA458" s="24">
        <v>14709</v>
      </c>
      <c r="AB458" s="24">
        <v>10350</v>
      </c>
      <c r="AC458" s="24">
        <v>71125</v>
      </c>
      <c r="AD458" s="24">
        <v>57630</v>
      </c>
      <c r="AE458" s="24">
        <v>8000</v>
      </c>
      <c r="AF458" s="24">
        <v>4030</v>
      </c>
      <c r="AG458" s="17">
        <v>1.9841</v>
      </c>
      <c r="AH458" s="16" t="s">
        <v>136</v>
      </c>
      <c r="AI458" s="16" t="s">
        <v>49</v>
      </c>
      <c r="AJ458" s="16" t="s">
        <v>50</v>
      </c>
      <c r="AK458" s="16" t="s">
        <v>65</v>
      </c>
      <c r="AL458" s="25">
        <v>232000</v>
      </c>
      <c r="AM458" s="43">
        <f t="shared" si="31"/>
        <v>66.666666666666671</v>
      </c>
      <c r="AN458" s="16" t="s">
        <v>1487</v>
      </c>
      <c r="AO458" s="16" t="s">
        <v>60</v>
      </c>
    </row>
    <row r="459" spans="1:41" ht="14.5" x14ac:dyDescent="0.35">
      <c r="A459" s="27" t="s">
        <v>1488</v>
      </c>
      <c r="B459" s="16" t="s">
        <v>55</v>
      </c>
      <c r="C459" s="16" t="s">
        <v>43</v>
      </c>
      <c r="D459" s="16" t="s">
        <v>44</v>
      </c>
      <c r="E459" s="16" t="s">
        <v>444</v>
      </c>
      <c r="F459" s="16">
        <v>3</v>
      </c>
      <c r="G459" s="30" t="s">
        <v>1489</v>
      </c>
      <c r="H459" s="16" t="s">
        <v>64</v>
      </c>
      <c r="I459" s="16" t="s">
        <v>102</v>
      </c>
      <c r="J459" s="16">
        <v>82.43</v>
      </c>
      <c r="K459" s="16">
        <v>527</v>
      </c>
      <c r="L459" s="16">
        <v>1706</v>
      </c>
      <c r="M459" s="8">
        <v>107</v>
      </c>
      <c r="N459" s="21">
        <v>46234</v>
      </c>
      <c r="O459" s="7">
        <f t="shared" si="28"/>
        <v>31</v>
      </c>
      <c r="P459" s="22">
        <f t="shared" si="29"/>
        <v>1</v>
      </c>
      <c r="Q459" s="22">
        <f t="shared" si="30"/>
        <v>31</v>
      </c>
      <c r="R459" s="16">
        <v>2</v>
      </c>
      <c r="S459">
        <v>4.6061479364922899</v>
      </c>
      <c r="T459">
        <v>-74.0909030592683</v>
      </c>
      <c r="U459" s="22">
        <v>8799</v>
      </c>
      <c r="V459" s="22">
        <v>4530.5</v>
      </c>
      <c r="W459" s="25">
        <v>10420</v>
      </c>
      <c r="X459" s="24">
        <v>10429</v>
      </c>
      <c r="Y459" s="24">
        <v>91685</v>
      </c>
      <c r="Z459" s="24">
        <v>47248</v>
      </c>
      <c r="AA459" s="42">
        <v>-3337</v>
      </c>
      <c r="AB459" s="42">
        <v>-4890</v>
      </c>
      <c r="AC459" s="24">
        <v>33063</v>
      </c>
      <c r="AD459" s="24">
        <v>18888</v>
      </c>
      <c r="AE459" s="24">
        <v>3117</v>
      </c>
      <c r="AF459" s="24">
        <v>1616</v>
      </c>
      <c r="AG459" s="17">
        <v>0</v>
      </c>
      <c r="AH459" s="16" t="s">
        <v>58</v>
      </c>
      <c r="AI459" s="16" t="s">
        <v>49</v>
      </c>
      <c r="AJ459" s="16" t="s">
        <v>124</v>
      </c>
      <c r="AK459" s="16" t="s">
        <v>65</v>
      </c>
      <c r="AL459" s="25">
        <v>232000</v>
      </c>
      <c r="AM459" s="43">
        <f t="shared" si="31"/>
        <v>37.813902705325731</v>
      </c>
      <c r="AN459" s="16" t="s">
        <v>507</v>
      </c>
      <c r="AO459" s="16" t="s">
        <v>60</v>
      </c>
    </row>
    <row r="460" spans="1:41" ht="14.5" x14ac:dyDescent="0.35">
      <c r="A460" s="27" t="s">
        <v>1490</v>
      </c>
      <c r="B460" s="16" t="s">
        <v>105</v>
      </c>
      <c r="C460" s="16" t="s">
        <v>112</v>
      </c>
      <c r="D460" s="16" t="s">
        <v>113</v>
      </c>
      <c r="E460" s="16" t="s">
        <v>268</v>
      </c>
      <c r="F460" s="16">
        <v>3</v>
      </c>
      <c r="G460" s="30" t="s">
        <v>1491</v>
      </c>
      <c r="H460" s="16">
        <v>0</v>
      </c>
      <c r="I460" s="16" t="s">
        <v>47</v>
      </c>
      <c r="J460" s="16">
        <v>122.06</v>
      </c>
      <c r="K460" s="16">
        <v>520</v>
      </c>
      <c r="L460" s="16">
        <v>1979</v>
      </c>
      <c r="M460" s="8">
        <v>45</v>
      </c>
      <c r="N460" s="21">
        <v>45322</v>
      </c>
      <c r="O460" s="7">
        <f t="shared" si="28"/>
        <v>31</v>
      </c>
      <c r="P460" s="22">
        <f t="shared" si="29"/>
        <v>1</v>
      </c>
      <c r="Q460" s="22">
        <f t="shared" si="30"/>
        <v>31</v>
      </c>
      <c r="R460" s="16">
        <v>32</v>
      </c>
      <c r="S460">
        <v>3.4657888992186301</v>
      </c>
      <c r="T460">
        <v>-76.525471812142001</v>
      </c>
      <c r="U460" s="22">
        <v>12701</v>
      </c>
      <c r="V460" s="22">
        <v>13371.166670000001</v>
      </c>
      <c r="W460" s="25">
        <v>12247</v>
      </c>
      <c r="X460" s="24">
        <v>11250</v>
      </c>
      <c r="Y460" s="24">
        <v>155552</v>
      </c>
      <c r="Z460" s="24">
        <v>150428</v>
      </c>
      <c r="AA460" s="42">
        <v>-8562</v>
      </c>
      <c r="AB460" s="24">
        <v>1577</v>
      </c>
      <c r="AC460" s="24">
        <v>57617</v>
      </c>
      <c r="AD460" s="24">
        <v>56357</v>
      </c>
      <c r="AE460" s="24">
        <v>9197</v>
      </c>
      <c r="AF460" s="24">
        <v>9290</v>
      </c>
      <c r="AG460" s="17">
        <v>0</v>
      </c>
      <c r="AH460" s="16" t="s">
        <v>130</v>
      </c>
      <c r="AI460" s="16" t="s">
        <v>49</v>
      </c>
      <c r="AJ460" s="16" t="s">
        <v>124</v>
      </c>
      <c r="AK460" s="16" t="s">
        <v>51</v>
      </c>
      <c r="AL460" s="25">
        <v>204160</v>
      </c>
      <c r="AM460" s="43">
        <f t="shared" si="31"/>
        <v>75.348189415041787</v>
      </c>
      <c r="AN460" s="16" t="s">
        <v>390</v>
      </c>
      <c r="AO460" s="16" t="s">
        <v>60</v>
      </c>
    </row>
    <row r="461" spans="1:41" ht="14.5" x14ac:dyDescent="0.35">
      <c r="A461" s="27" t="s">
        <v>1492</v>
      </c>
      <c r="B461" s="16" t="s">
        <v>105</v>
      </c>
      <c r="C461" s="16" t="s">
        <v>112</v>
      </c>
      <c r="D461" s="16" t="s">
        <v>113</v>
      </c>
      <c r="E461" s="16" t="s">
        <v>114</v>
      </c>
      <c r="F461" s="16">
        <v>4</v>
      </c>
      <c r="G461" s="30" t="s">
        <v>1493</v>
      </c>
      <c r="H461" s="16" t="s">
        <v>1494</v>
      </c>
      <c r="I461" s="16" t="s">
        <v>47</v>
      </c>
      <c r="J461" s="16">
        <v>120</v>
      </c>
      <c r="K461" s="16">
        <v>1638</v>
      </c>
      <c r="L461" s="16">
        <v>1667</v>
      </c>
      <c r="M461" s="8">
        <v>54</v>
      </c>
      <c r="N461" s="21">
        <v>45800</v>
      </c>
      <c r="O461" s="7">
        <f t="shared" si="28"/>
        <v>23</v>
      </c>
      <c r="P461" s="22">
        <f t="shared" si="29"/>
        <v>9</v>
      </c>
      <c r="Q461" s="22">
        <f t="shared" si="30"/>
        <v>31</v>
      </c>
      <c r="R461" s="16">
        <v>16</v>
      </c>
      <c r="S461">
        <v>3.4276408552584399</v>
      </c>
      <c r="T461">
        <v>-76.540466142647503</v>
      </c>
      <c r="U461" s="22">
        <v>10702</v>
      </c>
      <c r="V461" s="22">
        <v>14404.833329999999</v>
      </c>
      <c r="W461" s="25">
        <v>12263</v>
      </c>
      <c r="X461" s="24">
        <v>11812</v>
      </c>
      <c r="Y461" s="24">
        <v>131240</v>
      </c>
      <c r="Z461" s="24">
        <v>170145</v>
      </c>
      <c r="AA461" s="24">
        <v>-28668</v>
      </c>
      <c r="AB461" s="24">
        <v>1644</v>
      </c>
      <c r="AC461" s="24">
        <v>41425</v>
      </c>
      <c r="AD461" s="24">
        <v>63429</v>
      </c>
      <c r="AE461" s="24">
        <v>10510</v>
      </c>
      <c r="AF461" s="24">
        <v>10453</v>
      </c>
      <c r="AG461" s="17">
        <v>1.1292</v>
      </c>
      <c r="AH461" s="16" t="s">
        <v>58</v>
      </c>
      <c r="AI461" s="16" t="s">
        <v>49</v>
      </c>
      <c r="AJ461" s="16" t="s">
        <v>50</v>
      </c>
      <c r="AK461" s="16" t="s">
        <v>51</v>
      </c>
      <c r="AL461" s="25">
        <v>232000</v>
      </c>
      <c r="AM461" s="43">
        <f t="shared" si="31"/>
        <v>87.583333333333329</v>
      </c>
      <c r="AN461" s="16" t="s">
        <v>1495</v>
      </c>
      <c r="AO461" s="16" t="s">
        <v>53</v>
      </c>
    </row>
    <row r="462" spans="1:41" ht="14.5" x14ac:dyDescent="0.35">
      <c r="A462" s="27" t="s">
        <v>1496</v>
      </c>
      <c r="B462" s="16" t="s">
        <v>55</v>
      </c>
      <c r="C462" s="16" t="s">
        <v>43</v>
      </c>
      <c r="D462" s="16" t="s">
        <v>44</v>
      </c>
      <c r="E462" s="16" t="s">
        <v>634</v>
      </c>
      <c r="F462" s="16">
        <v>4</v>
      </c>
      <c r="G462" s="30" t="s">
        <v>1497</v>
      </c>
      <c r="H462" s="16">
        <v>0</v>
      </c>
      <c r="I462" s="16" t="s">
        <v>47</v>
      </c>
      <c r="J462" s="16">
        <v>122.77</v>
      </c>
      <c r="K462" s="16">
        <v>2283</v>
      </c>
      <c r="L462" s="16">
        <v>670</v>
      </c>
      <c r="M462" s="8">
        <v>63</v>
      </c>
      <c r="N462" s="21">
        <v>45289</v>
      </c>
      <c r="O462" s="7">
        <f t="shared" si="28"/>
        <v>29</v>
      </c>
      <c r="P462" s="22">
        <f t="shared" si="29"/>
        <v>3</v>
      </c>
      <c r="Q462" s="22">
        <f t="shared" si="30"/>
        <v>31</v>
      </c>
      <c r="R462" s="16">
        <v>33</v>
      </c>
      <c r="S462">
        <v>4.6260690588621003</v>
      </c>
      <c r="T462">
        <v>-74.086246979579599</v>
      </c>
      <c r="U462" s="22">
        <v>14290</v>
      </c>
      <c r="V462" s="22">
        <v>14536.5</v>
      </c>
      <c r="W462" s="25">
        <v>12388</v>
      </c>
      <c r="X462" s="24">
        <v>12686</v>
      </c>
      <c r="Y462" s="24">
        <v>177021</v>
      </c>
      <c r="Z462" s="24">
        <v>184415</v>
      </c>
      <c r="AA462" s="24">
        <v>5432</v>
      </c>
      <c r="AB462" s="24">
        <v>11015</v>
      </c>
      <c r="AC462" s="24">
        <v>66218</v>
      </c>
      <c r="AD462" s="24">
        <v>67533</v>
      </c>
      <c r="AE462" s="24">
        <v>12200</v>
      </c>
      <c r="AF462" s="24">
        <v>12321</v>
      </c>
      <c r="AG462" s="17">
        <v>0</v>
      </c>
      <c r="AH462" s="16" t="s">
        <v>136</v>
      </c>
      <c r="AI462" s="16" t="s">
        <v>49</v>
      </c>
      <c r="AJ462" s="16" t="s">
        <v>76</v>
      </c>
      <c r="AK462" s="16" t="s">
        <v>51</v>
      </c>
      <c r="AL462" s="25">
        <v>241405</v>
      </c>
      <c r="AM462" s="43">
        <f t="shared" si="31"/>
        <v>99.372810947299826</v>
      </c>
      <c r="AN462" s="16" t="s">
        <v>1095</v>
      </c>
      <c r="AO462" s="16" t="s">
        <v>60</v>
      </c>
    </row>
    <row r="463" spans="1:41" ht="14.5" x14ac:dyDescent="0.35">
      <c r="A463" s="27" t="s">
        <v>1498</v>
      </c>
      <c r="B463" s="16" t="s">
        <v>55</v>
      </c>
      <c r="C463" s="16" t="s">
        <v>43</v>
      </c>
      <c r="D463" s="16" t="s">
        <v>44</v>
      </c>
      <c r="E463" s="16" t="s">
        <v>1499</v>
      </c>
      <c r="F463" s="16">
        <v>3</v>
      </c>
      <c r="G463" s="30" t="s">
        <v>1500</v>
      </c>
      <c r="H463" s="16">
        <v>0</v>
      </c>
      <c r="I463" s="16" t="s">
        <v>102</v>
      </c>
      <c r="J463" s="16">
        <v>142.49</v>
      </c>
      <c r="K463" s="16">
        <v>2314</v>
      </c>
      <c r="L463" s="16">
        <v>331</v>
      </c>
      <c r="M463" s="8">
        <v>60</v>
      </c>
      <c r="N463" s="21">
        <v>45260</v>
      </c>
      <c r="O463" s="7">
        <f t="shared" si="28"/>
        <v>30</v>
      </c>
      <c r="P463" s="22">
        <f t="shared" si="29"/>
        <v>1</v>
      </c>
      <c r="Q463" s="22">
        <f t="shared" si="30"/>
        <v>30</v>
      </c>
      <c r="R463" s="16">
        <v>34</v>
      </c>
      <c r="S463">
        <v>4.6439762358018202</v>
      </c>
      <c r="T463">
        <v>-74.153602514256605</v>
      </c>
      <c r="U463" s="22">
        <v>29765</v>
      </c>
      <c r="V463" s="22">
        <v>28246.166669999999</v>
      </c>
      <c r="W463" s="25">
        <v>17536</v>
      </c>
      <c r="X463" s="24">
        <v>17828</v>
      </c>
      <c r="Y463" s="24">
        <v>521944</v>
      </c>
      <c r="Z463" s="24">
        <v>503565</v>
      </c>
      <c r="AA463" s="24">
        <v>83850</v>
      </c>
      <c r="AB463" s="24">
        <v>72243</v>
      </c>
      <c r="AC463" s="24">
        <v>169686</v>
      </c>
      <c r="AD463" s="24">
        <v>160591</v>
      </c>
      <c r="AE463" s="24">
        <v>11693</v>
      </c>
      <c r="AF463" s="24">
        <v>11907</v>
      </c>
      <c r="AG463" s="17">
        <v>0</v>
      </c>
      <c r="AH463" s="16" t="s">
        <v>136</v>
      </c>
      <c r="AI463" s="16" t="s">
        <v>49</v>
      </c>
      <c r="AJ463" s="16" t="s">
        <v>76</v>
      </c>
      <c r="AK463" s="16" t="s">
        <v>51</v>
      </c>
      <c r="AL463" s="25">
        <v>241405</v>
      </c>
      <c r="AM463" s="43">
        <f t="shared" si="31"/>
        <v>82.061899080637232</v>
      </c>
      <c r="AN463" s="16" t="s">
        <v>1501</v>
      </c>
      <c r="AO463" s="16" t="s">
        <v>60</v>
      </c>
    </row>
    <row r="464" spans="1:41" ht="14.5" x14ac:dyDescent="0.35">
      <c r="A464" s="27" t="s">
        <v>1502</v>
      </c>
      <c r="B464" s="16" t="s">
        <v>55</v>
      </c>
      <c r="C464" s="16" t="s">
        <v>43</v>
      </c>
      <c r="D464" s="16" t="s">
        <v>44</v>
      </c>
      <c r="E464" s="16" t="s">
        <v>1503</v>
      </c>
      <c r="F464" s="16">
        <v>3</v>
      </c>
      <c r="G464" s="30" t="s">
        <v>1504</v>
      </c>
      <c r="H464" s="16" t="s">
        <v>1505</v>
      </c>
      <c r="I464" s="16" t="s">
        <v>47</v>
      </c>
      <c r="J464" s="16">
        <v>96.9</v>
      </c>
      <c r="K464" s="16">
        <v>447</v>
      </c>
      <c r="L464" s="16">
        <v>2250</v>
      </c>
      <c r="M464" s="8">
        <v>79</v>
      </c>
      <c r="N464" s="21">
        <v>45836</v>
      </c>
      <c r="O464" s="7">
        <f t="shared" si="28"/>
        <v>28</v>
      </c>
      <c r="P464" s="22">
        <f t="shared" si="29"/>
        <v>3</v>
      </c>
      <c r="Q464" s="22">
        <f t="shared" si="30"/>
        <v>30</v>
      </c>
      <c r="R464" s="16">
        <v>15</v>
      </c>
      <c r="S464">
        <v>4.5985245103184802</v>
      </c>
      <c r="T464">
        <v>-74.153889508882401</v>
      </c>
      <c r="U464" s="22">
        <v>21449</v>
      </c>
      <c r="V464" s="22">
        <v>20061</v>
      </c>
      <c r="W464" s="25">
        <v>10310</v>
      </c>
      <c r="X464" s="24">
        <v>10503</v>
      </c>
      <c r="Y464" s="24">
        <v>221133</v>
      </c>
      <c r="Z464" s="24">
        <v>210706</v>
      </c>
      <c r="AA464" s="24">
        <v>26532</v>
      </c>
      <c r="AB464" s="24">
        <v>23936</v>
      </c>
      <c r="AC464" s="24">
        <v>83758</v>
      </c>
      <c r="AD464" s="24">
        <v>79264</v>
      </c>
      <c r="AE464" s="24">
        <v>9459</v>
      </c>
      <c r="AF464" s="24">
        <v>9319</v>
      </c>
      <c r="AG464" s="17">
        <v>1.6951000000000001</v>
      </c>
      <c r="AH464" s="16" t="s">
        <v>58</v>
      </c>
      <c r="AI464" s="16" t="s">
        <v>49</v>
      </c>
      <c r="AJ464" s="16" t="s">
        <v>124</v>
      </c>
      <c r="AK464" s="16" t="s">
        <v>51</v>
      </c>
      <c r="AL464" s="25">
        <v>204160</v>
      </c>
      <c r="AM464" s="43">
        <f t="shared" si="31"/>
        <v>97.616099071207429</v>
      </c>
      <c r="AN464" s="16" t="s">
        <v>1506</v>
      </c>
      <c r="AO464" s="16" t="s">
        <v>60</v>
      </c>
    </row>
    <row r="465" spans="1:41" ht="14.5" x14ac:dyDescent="0.35">
      <c r="A465" s="27" t="s">
        <v>1507</v>
      </c>
      <c r="B465" s="16" t="s">
        <v>55</v>
      </c>
      <c r="C465" s="16" t="s">
        <v>43</v>
      </c>
      <c r="D465" s="16" t="s">
        <v>44</v>
      </c>
      <c r="E465" s="16" t="s">
        <v>466</v>
      </c>
      <c r="F465" s="16">
        <v>4</v>
      </c>
      <c r="G465" s="30" t="s">
        <v>1508</v>
      </c>
      <c r="H465" s="16" t="s">
        <v>1509</v>
      </c>
      <c r="I465" s="16" t="s">
        <v>47</v>
      </c>
      <c r="J465" s="16">
        <v>112.71</v>
      </c>
      <c r="K465" s="16">
        <v>2287</v>
      </c>
      <c r="L465" s="16">
        <v>410</v>
      </c>
      <c r="M465" s="8">
        <v>40</v>
      </c>
      <c r="N465" s="21">
        <v>45836</v>
      </c>
      <c r="O465" s="7">
        <f t="shared" si="28"/>
        <v>28</v>
      </c>
      <c r="P465" s="22">
        <f t="shared" si="29"/>
        <v>3</v>
      </c>
      <c r="Q465" s="22">
        <f t="shared" si="30"/>
        <v>30</v>
      </c>
      <c r="R465" s="16">
        <v>15</v>
      </c>
      <c r="S465">
        <v>4.6493825420221002</v>
      </c>
      <c r="T465">
        <v>-74.090151854317099</v>
      </c>
      <c r="U465" s="22">
        <v>13402</v>
      </c>
      <c r="V465" s="22">
        <v>13202</v>
      </c>
      <c r="W465" s="25">
        <v>12499</v>
      </c>
      <c r="X465" s="24">
        <v>12869</v>
      </c>
      <c r="Y465" s="24">
        <v>167506</v>
      </c>
      <c r="Z465" s="24">
        <v>169902</v>
      </c>
      <c r="AA465" s="24">
        <v>8833</v>
      </c>
      <c r="AB465" s="24">
        <v>6847</v>
      </c>
      <c r="AC465" s="24">
        <v>61510</v>
      </c>
      <c r="AD465" s="24">
        <v>60036</v>
      </c>
      <c r="AE465" s="24">
        <v>9459</v>
      </c>
      <c r="AF465" s="24">
        <v>9314</v>
      </c>
      <c r="AG465" s="17">
        <v>1.1092</v>
      </c>
      <c r="AH465" s="16" t="s">
        <v>136</v>
      </c>
      <c r="AI465" s="16" t="s">
        <v>49</v>
      </c>
      <c r="AJ465" s="16" t="s">
        <v>76</v>
      </c>
      <c r="AK465" s="16" t="s">
        <v>51</v>
      </c>
      <c r="AL465" s="25">
        <v>241405</v>
      </c>
      <c r="AM465" s="43">
        <f t="shared" si="31"/>
        <v>83.923343092893276</v>
      </c>
      <c r="AN465" s="16" t="s">
        <v>1510</v>
      </c>
      <c r="AO465" s="16" t="s">
        <v>60</v>
      </c>
    </row>
    <row r="466" spans="1:41" ht="14.5" x14ac:dyDescent="0.35">
      <c r="A466" s="27" t="s">
        <v>1511</v>
      </c>
      <c r="B466" s="16" t="s">
        <v>55</v>
      </c>
      <c r="C466" s="16" t="s">
        <v>93</v>
      </c>
      <c r="D466" s="16" t="s">
        <v>1512</v>
      </c>
      <c r="E466" s="16" t="s">
        <v>1513</v>
      </c>
      <c r="F466" s="16">
        <v>4</v>
      </c>
      <c r="G466" s="30" t="s">
        <v>1514</v>
      </c>
      <c r="H466" s="16">
        <v>0</v>
      </c>
      <c r="I466" s="16" t="s">
        <v>47</v>
      </c>
      <c r="J466" s="16">
        <v>198.38</v>
      </c>
      <c r="K466" s="16">
        <v>2603</v>
      </c>
      <c r="L466" s="16">
        <v>445</v>
      </c>
      <c r="M466" s="8">
        <v>135</v>
      </c>
      <c r="N466" s="21">
        <v>45168</v>
      </c>
      <c r="O466" s="7">
        <f t="shared" si="28"/>
        <v>30</v>
      </c>
      <c r="P466" s="22">
        <f t="shared" si="29"/>
        <v>2</v>
      </c>
      <c r="Q466" s="22">
        <f t="shared" si="30"/>
        <v>31</v>
      </c>
      <c r="R466" s="16">
        <v>37</v>
      </c>
      <c r="S466">
        <v>4.2865820178847001</v>
      </c>
      <c r="T466">
        <v>-74.775229404128496</v>
      </c>
      <c r="U466" s="22">
        <v>18020</v>
      </c>
      <c r="V466" s="22">
        <v>16172.166670000001</v>
      </c>
      <c r="W466" s="25">
        <v>19131</v>
      </c>
      <c r="X466" s="24">
        <v>20063</v>
      </c>
      <c r="Y466" s="24">
        <v>344739</v>
      </c>
      <c r="Z466" s="24">
        <v>324458</v>
      </c>
      <c r="AA466" s="24">
        <v>35814</v>
      </c>
      <c r="AB466" s="24">
        <v>30186</v>
      </c>
      <c r="AC466" s="24">
        <v>117337</v>
      </c>
      <c r="AD466" s="24">
        <v>105520</v>
      </c>
      <c r="AE466" s="24">
        <v>8216</v>
      </c>
      <c r="AF466" s="24">
        <v>7980</v>
      </c>
      <c r="AG466" s="17">
        <v>0</v>
      </c>
      <c r="AH466" s="16" t="s">
        <v>136</v>
      </c>
      <c r="AI466" s="16" t="s">
        <v>49</v>
      </c>
      <c r="AJ466" s="16" t="s">
        <v>76</v>
      </c>
      <c r="AK466" s="16" t="s">
        <v>51</v>
      </c>
      <c r="AL466" s="25">
        <v>232000</v>
      </c>
      <c r="AM466" s="43">
        <f t="shared" si="31"/>
        <v>41.415465268676279</v>
      </c>
      <c r="AN466" s="16" t="s">
        <v>1515</v>
      </c>
      <c r="AO466" s="16" t="s">
        <v>60</v>
      </c>
    </row>
    <row r="467" spans="1:41" ht="14.5" x14ac:dyDescent="0.35">
      <c r="A467" s="27" t="s">
        <v>1516</v>
      </c>
      <c r="B467" s="16" t="s">
        <v>55</v>
      </c>
      <c r="C467" s="16" t="s">
        <v>419</v>
      </c>
      <c r="D467" s="16" t="s">
        <v>420</v>
      </c>
      <c r="E467" s="16" t="s">
        <v>1517</v>
      </c>
      <c r="F467" s="16">
        <v>5</v>
      </c>
      <c r="G467" s="30" t="s">
        <v>1518</v>
      </c>
      <c r="H467" s="16">
        <v>0</v>
      </c>
      <c r="I467" s="16" t="s">
        <v>47</v>
      </c>
      <c r="J467" s="16">
        <v>183.43</v>
      </c>
      <c r="K467" s="16">
        <v>1450</v>
      </c>
      <c r="L467" s="16">
        <v>1024</v>
      </c>
      <c r="M467" s="8">
        <v>48</v>
      </c>
      <c r="N467" s="21">
        <v>45443</v>
      </c>
      <c r="O467" s="7">
        <f t="shared" si="28"/>
        <v>31</v>
      </c>
      <c r="P467" s="22">
        <f t="shared" si="29"/>
        <v>1</v>
      </c>
      <c r="Q467" s="22">
        <f t="shared" si="30"/>
        <v>31</v>
      </c>
      <c r="R467" s="16">
        <v>28</v>
      </c>
      <c r="S467">
        <v>4.4338377118859897</v>
      </c>
      <c r="T467">
        <v>-75.210585795080306</v>
      </c>
      <c r="U467" s="22">
        <v>24124</v>
      </c>
      <c r="V467" s="22">
        <v>22845.166669999999</v>
      </c>
      <c r="W467" s="25">
        <v>13473</v>
      </c>
      <c r="X467" s="24">
        <v>13986</v>
      </c>
      <c r="Y467" s="24">
        <v>325021</v>
      </c>
      <c r="Z467" s="24">
        <v>319521</v>
      </c>
      <c r="AA467" s="24">
        <v>30253</v>
      </c>
      <c r="AB467" s="24">
        <v>30069</v>
      </c>
      <c r="AC467" s="24">
        <v>118550</v>
      </c>
      <c r="AD467" s="24">
        <v>113865</v>
      </c>
      <c r="AE467" s="24">
        <v>8292</v>
      </c>
      <c r="AF467" s="24">
        <v>8231</v>
      </c>
      <c r="AG467" s="17">
        <v>0</v>
      </c>
      <c r="AH467" s="16" t="s">
        <v>58</v>
      </c>
      <c r="AI467" s="16" t="s">
        <v>49</v>
      </c>
      <c r="AJ467" s="16" t="s">
        <v>50</v>
      </c>
      <c r="AK467" s="16" t="s">
        <v>51</v>
      </c>
      <c r="AL467" s="25">
        <v>232000</v>
      </c>
      <c r="AM467" s="43">
        <f t="shared" si="31"/>
        <v>45.205255410783401</v>
      </c>
      <c r="AN467" s="16" t="s">
        <v>1519</v>
      </c>
      <c r="AO467" s="16" t="s">
        <v>53</v>
      </c>
    </row>
    <row r="468" spans="1:41" ht="14.5" x14ac:dyDescent="0.35">
      <c r="A468" s="27" t="s">
        <v>1520</v>
      </c>
      <c r="B468" s="16" t="s">
        <v>105</v>
      </c>
      <c r="C468" s="16" t="s">
        <v>157</v>
      </c>
      <c r="D468" s="16" t="s">
        <v>158</v>
      </c>
      <c r="E468" s="16" t="s">
        <v>159</v>
      </c>
      <c r="F468" s="16">
        <v>4</v>
      </c>
      <c r="G468" s="30" t="s">
        <v>1521</v>
      </c>
      <c r="H468" s="16" t="s">
        <v>1522</v>
      </c>
      <c r="I468" s="16" t="s">
        <v>102</v>
      </c>
      <c r="J468" s="16">
        <v>203.78</v>
      </c>
      <c r="K468" s="16">
        <v>0</v>
      </c>
      <c r="L468" s="16">
        <v>5020</v>
      </c>
      <c r="M468" s="8">
        <v>130</v>
      </c>
      <c r="N468" s="21">
        <v>45955</v>
      </c>
      <c r="O468" s="7">
        <f t="shared" si="28"/>
        <v>25</v>
      </c>
      <c r="P468" s="22">
        <f t="shared" si="29"/>
        <v>7</v>
      </c>
      <c r="Q468" s="22">
        <f t="shared" si="30"/>
        <v>31</v>
      </c>
      <c r="R468" s="16">
        <v>11</v>
      </c>
      <c r="S468">
        <v>6.2445880374201899</v>
      </c>
      <c r="T468">
        <v>-75.576878642005894</v>
      </c>
      <c r="U468" s="22">
        <v>21062</v>
      </c>
      <c r="V468" s="22">
        <v>16873.833330000001</v>
      </c>
      <c r="W468" s="25">
        <v>13874</v>
      </c>
      <c r="X468" s="24">
        <v>12657</v>
      </c>
      <c r="Y468" s="24">
        <v>292210</v>
      </c>
      <c r="Z468" s="24">
        <v>213566</v>
      </c>
      <c r="AA468" s="24">
        <v>43223</v>
      </c>
      <c r="AB468" s="24">
        <v>18278</v>
      </c>
      <c r="AC468" s="24">
        <v>115453</v>
      </c>
      <c r="AD468" s="24">
        <v>85382</v>
      </c>
      <c r="AE468" s="24">
        <v>12000</v>
      </c>
      <c r="AF468" s="24">
        <v>12120</v>
      </c>
      <c r="AG468" s="17">
        <v>1.9554</v>
      </c>
      <c r="AH468" s="16" t="s">
        <v>64</v>
      </c>
      <c r="AI468" s="16" t="s">
        <v>49</v>
      </c>
      <c r="AJ468" s="16" t="s">
        <v>124</v>
      </c>
      <c r="AK468" s="16" t="s">
        <v>71</v>
      </c>
      <c r="AL468" s="25">
        <v>204160</v>
      </c>
      <c r="AM468" s="43">
        <f t="shared" si="31"/>
        <v>58.88703503778585</v>
      </c>
      <c r="AN468" s="16" t="s">
        <v>410</v>
      </c>
      <c r="AO468" s="16" t="s">
        <v>53</v>
      </c>
    </row>
    <row r="469" spans="1:41" ht="14.5" x14ac:dyDescent="0.35">
      <c r="A469" s="27" t="s">
        <v>1523</v>
      </c>
      <c r="B469" s="16" t="s">
        <v>55</v>
      </c>
      <c r="C469" s="16" t="s">
        <v>43</v>
      </c>
      <c r="D469" s="16" t="s">
        <v>44</v>
      </c>
      <c r="E469" s="16" t="s">
        <v>473</v>
      </c>
      <c r="F469" s="16">
        <v>4</v>
      </c>
      <c r="G469" s="30" t="s">
        <v>1524</v>
      </c>
      <c r="H469" s="16">
        <v>0</v>
      </c>
      <c r="I469" s="16" t="s">
        <v>102</v>
      </c>
      <c r="J469" s="16">
        <v>205.06</v>
      </c>
      <c r="K469" s="16">
        <v>1454</v>
      </c>
      <c r="L469" s="16">
        <v>942</v>
      </c>
      <c r="M469" s="8">
        <v>0</v>
      </c>
      <c r="N469" s="21">
        <v>41132</v>
      </c>
      <c r="O469" s="7">
        <f t="shared" si="28"/>
        <v>11</v>
      </c>
      <c r="P469" s="22">
        <f t="shared" si="29"/>
        <v>21</v>
      </c>
      <c r="Q469" s="22">
        <f t="shared" si="30"/>
        <v>31</v>
      </c>
      <c r="R469" s="16">
        <v>116</v>
      </c>
      <c r="S469">
        <v>4.6324284214869502</v>
      </c>
      <c r="T469">
        <v>-74.066261706633398</v>
      </c>
      <c r="U469" s="22">
        <v>19217</v>
      </c>
      <c r="V469" s="22">
        <v>19585.166669999999</v>
      </c>
      <c r="W469" s="25">
        <v>10484</v>
      </c>
      <c r="X469" s="24">
        <v>10585</v>
      </c>
      <c r="Y469" s="24">
        <v>201469</v>
      </c>
      <c r="Z469" s="24">
        <v>207307</v>
      </c>
      <c r="AA469" s="42">
        <v>6510</v>
      </c>
      <c r="AB469" s="24">
        <v>1040</v>
      </c>
      <c r="AC469" s="24">
        <v>75214</v>
      </c>
      <c r="AD469" s="24">
        <v>74704</v>
      </c>
      <c r="AE469" s="24">
        <v>19866</v>
      </c>
      <c r="AF469" s="24">
        <v>20117</v>
      </c>
      <c r="AG469" s="17">
        <v>0</v>
      </c>
      <c r="AH469" s="16" t="s">
        <v>64</v>
      </c>
      <c r="AI469" s="16" t="s">
        <v>49</v>
      </c>
      <c r="AJ469" s="16" t="s">
        <v>124</v>
      </c>
      <c r="AK469" s="16" t="s">
        <v>51</v>
      </c>
      <c r="AL469" s="25">
        <v>204160</v>
      </c>
      <c r="AM469" s="43">
        <f t="shared" si="31"/>
        <v>96.878962254949769</v>
      </c>
      <c r="AN469" s="16">
        <v>0</v>
      </c>
      <c r="AO469" s="16" t="s">
        <v>60</v>
      </c>
    </row>
    <row r="470" spans="1:41" ht="14.5" x14ac:dyDescent="0.35">
      <c r="A470" s="27" t="s">
        <v>1525</v>
      </c>
      <c r="B470" s="16" t="s">
        <v>105</v>
      </c>
      <c r="C470" s="16" t="s">
        <v>106</v>
      </c>
      <c r="D470" s="16" t="s">
        <v>298</v>
      </c>
      <c r="E470" s="16" t="s">
        <v>662</v>
      </c>
      <c r="F470" s="16">
        <v>4</v>
      </c>
      <c r="G470" s="30" t="s">
        <v>1526</v>
      </c>
      <c r="H470" s="16">
        <v>0</v>
      </c>
      <c r="I470" s="16" t="s">
        <v>47</v>
      </c>
      <c r="J470" s="16">
        <v>223</v>
      </c>
      <c r="K470" s="16">
        <v>455</v>
      </c>
      <c r="L470" s="16">
        <v>167</v>
      </c>
      <c r="M470" s="8">
        <v>64</v>
      </c>
      <c r="N470" s="21">
        <v>44820</v>
      </c>
      <c r="O470" s="7">
        <f t="shared" si="28"/>
        <v>16</v>
      </c>
      <c r="P470" s="22">
        <f t="shared" si="29"/>
        <v>15</v>
      </c>
      <c r="Q470" s="22">
        <f t="shared" si="30"/>
        <v>30</v>
      </c>
      <c r="R470" s="16">
        <v>48</v>
      </c>
      <c r="S470">
        <v>4.8108188616866396</v>
      </c>
      <c r="T470">
        <v>-75.738810668527506</v>
      </c>
      <c r="U470" s="22">
        <v>18073</v>
      </c>
      <c r="V470" s="22">
        <v>18554.5</v>
      </c>
      <c r="W470" s="25">
        <v>15592</v>
      </c>
      <c r="X470" s="24">
        <v>14391</v>
      </c>
      <c r="Y470" s="24">
        <v>281802</v>
      </c>
      <c r="Z470" s="24">
        <v>267021</v>
      </c>
      <c r="AA470" s="24">
        <v>4208</v>
      </c>
      <c r="AB470" s="24">
        <v>23322</v>
      </c>
      <c r="AC470" s="24">
        <v>100818</v>
      </c>
      <c r="AD470" s="24">
        <v>100188</v>
      </c>
      <c r="AE470" s="24">
        <v>10457</v>
      </c>
      <c r="AF470" s="24">
        <v>10519</v>
      </c>
      <c r="AG470" s="17">
        <v>0</v>
      </c>
      <c r="AH470" s="16" t="s">
        <v>48</v>
      </c>
      <c r="AI470" s="16" t="s">
        <v>49</v>
      </c>
      <c r="AJ470" s="16" t="s">
        <v>76</v>
      </c>
      <c r="AK470" s="16" t="s">
        <v>51</v>
      </c>
      <c r="AL470" s="25">
        <v>241405</v>
      </c>
      <c r="AM470" s="43">
        <f t="shared" si="31"/>
        <v>46.892376681614351</v>
      </c>
      <c r="AN470" s="16" t="s">
        <v>424</v>
      </c>
      <c r="AO470" s="16" t="s">
        <v>53</v>
      </c>
    </row>
    <row r="471" spans="1:41" ht="14.5" x14ac:dyDescent="0.35">
      <c r="A471" s="27" t="s">
        <v>1527</v>
      </c>
      <c r="B471" s="16" t="s">
        <v>183</v>
      </c>
      <c r="C471" s="16" t="s">
        <v>184</v>
      </c>
      <c r="D471" s="16" t="s">
        <v>185</v>
      </c>
      <c r="E471" s="16" t="s">
        <v>186</v>
      </c>
      <c r="F471" s="16">
        <v>4</v>
      </c>
      <c r="G471" s="30" t="s">
        <v>1528</v>
      </c>
      <c r="H471" s="16" t="s">
        <v>1529</v>
      </c>
      <c r="I471" s="16" t="s">
        <v>102</v>
      </c>
      <c r="J471" s="16">
        <v>110.25</v>
      </c>
      <c r="K471" s="16">
        <v>1962</v>
      </c>
      <c r="L471" s="16">
        <v>345</v>
      </c>
      <c r="M471" s="8">
        <v>71</v>
      </c>
      <c r="N471" s="21">
        <v>45775</v>
      </c>
      <c r="O471" s="7">
        <f t="shared" si="28"/>
        <v>28</v>
      </c>
      <c r="P471" s="22">
        <f t="shared" si="29"/>
        <v>3</v>
      </c>
      <c r="Q471" s="22">
        <f t="shared" si="30"/>
        <v>30</v>
      </c>
      <c r="R471" s="16">
        <v>17</v>
      </c>
      <c r="S471">
        <v>10.9872404563671</v>
      </c>
      <c r="T471">
        <v>-74.789915032533003</v>
      </c>
      <c r="U471" s="22">
        <v>17927</v>
      </c>
      <c r="V471" s="22">
        <v>16455</v>
      </c>
      <c r="W471" s="25">
        <v>14184</v>
      </c>
      <c r="X471" s="24">
        <v>14034</v>
      </c>
      <c r="Y471" s="24">
        <v>254280</v>
      </c>
      <c r="Z471" s="24">
        <v>230937</v>
      </c>
      <c r="AA471" s="24">
        <v>22171</v>
      </c>
      <c r="AB471" s="24">
        <v>16432</v>
      </c>
      <c r="AC471" s="24">
        <v>90793</v>
      </c>
      <c r="AD471" s="24">
        <v>82276</v>
      </c>
      <c r="AE471" s="24">
        <v>8408</v>
      </c>
      <c r="AF471" s="24">
        <v>8421</v>
      </c>
      <c r="AG471" s="17">
        <v>1.4013</v>
      </c>
      <c r="AH471" s="16" t="s">
        <v>58</v>
      </c>
      <c r="AI471" s="16" t="s">
        <v>49</v>
      </c>
      <c r="AJ471" s="16" t="s">
        <v>50</v>
      </c>
      <c r="AK471" s="16" t="s">
        <v>51</v>
      </c>
      <c r="AL471" s="25">
        <v>232000</v>
      </c>
      <c r="AM471" s="43">
        <f t="shared" si="31"/>
        <v>76.263038548752832</v>
      </c>
      <c r="AN471" s="16">
        <v>0</v>
      </c>
      <c r="AO471" s="16" t="s">
        <v>53</v>
      </c>
    </row>
    <row r="472" spans="1:41" ht="14.5" x14ac:dyDescent="0.35">
      <c r="A472" s="27" t="s">
        <v>1530</v>
      </c>
      <c r="B472" s="16" t="s">
        <v>55</v>
      </c>
      <c r="C472" s="16" t="s">
        <v>43</v>
      </c>
      <c r="D472" s="16" t="s">
        <v>44</v>
      </c>
      <c r="E472" s="16" t="s">
        <v>473</v>
      </c>
      <c r="F472" s="16">
        <v>4</v>
      </c>
      <c r="G472" s="30" t="s">
        <v>1531</v>
      </c>
      <c r="H472" s="16">
        <v>0</v>
      </c>
      <c r="I472" s="16" t="s">
        <v>102</v>
      </c>
      <c r="J472" s="16">
        <v>112.58</v>
      </c>
      <c r="K472" s="16">
        <v>1144</v>
      </c>
      <c r="L472" s="16">
        <v>3280</v>
      </c>
      <c r="M472" s="8">
        <v>111</v>
      </c>
      <c r="N472" s="21">
        <v>45443</v>
      </c>
      <c r="O472" s="7">
        <f t="shared" si="28"/>
        <v>31</v>
      </c>
      <c r="P472" s="22">
        <f t="shared" si="29"/>
        <v>1</v>
      </c>
      <c r="Q472" s="22">
        <f t="shared" si="30"/>
        <v>31</v>
      </c>
      <c r="R472" s="16">
        <v>28</v>
      </c>
      <c r="S472">
        <v>4.6507917816116402</v>
      </c>
      <c r="T472">
        <v>-74.058780993903795</v>
      </c>
      <c r="U472" s="22">
        <v>26874</v>
      </c>
      <c r="V472" s="22">
        <v>27664.5</v>
      </c>
      <c r="W472" s="25">
        <v>9706</v>
      </c>
      <c r="X472" s="24">
        <v>9863</v>
      </c>
      <c r="Y472" s="24">
        <v>260827</v>
      </c>
      <c r="Z472" s="24">
        <v>272861</v>
      </c>
      <c r="AA472" s="24">
        <v>31235</v>
      </c>
      <c r="AB472" s="24">
        <v>40213</v>
      </c>
      <c r="AC472" s="24">
        <v>104631</v>
      </c>
      <c r="AD472" s="24">
        <v>109240</v>
      </c>
      <c r="AE472" s="24">
        <v>13862</v>
      </c>
      <c r="AF472" s="24">
        <v>13727</v>
      </c>
      <c r="AG472" s="17">
        <v>0</v>
      </c>
      <c r="AH472" s="16" t="s">
        <v>64</v>
      </c>
      <c r="AI472" s="16" t="s">
        <v>49</v>
      </c>
      <c r="AJ472" s="16" t="s">
        <v>50</v>
      </c>
      <c r="AK472" s="16" t="s">
        <v>51</v>
      </c>
      <c r="AL472" s="25">
        <v>232000</v>
      </c>
      <c r="AM472" s="43">
        <f t="shared" si="31"/>
        <v>123.13021851128087</v>
      </c>
      <c r="AN472" s="16">
        <v>0</v>
      </c>
      <c r="AO472" s="16" t="s">
        <v>60</v>
      </c>
    </row>
    <row r="473" spans="1:41" ht="14.5" x14ac:dyDescent="0.35">
      <c r="A473" s="27" t="s">
        <v>1532</v>
      </c>
      <c r="B473" s="16" t="s">
        <v>183</v>
      </c>
      <c r="C473" s="16" t="s">
        <v>184</v>
      </c>
      <c r="D473" s="16" t="s">
        <v>185</v>
      </c>
      <c r="E473" s="16" t="s">
        <v>186</v>
      </c>
      <c r="F473" s="16">
        <v>5</v>
      </c>
      <c r="G473" s="30" t="s">
        <v>1533</v>
      </c>
      <c r="H473" s="16">
        <v>0</v>
      </c>
      <c r="I473" s="16" t="s">
        <v>47</v>
      </c>
      <c r="J473" s="16">
        <v>103.53</v>
      </c>
      <c r="K473" s="16">
        <v>1888</v>
      </c>
      <c r="L473" s="16">
        <v>2500</v>
      </c>
      <c r="M473" s="8">
        <v>138</v>
      </c>
      <c r="N473" s="21">
        <v>45402</v>
      </c>
      <c r="O473" s="7">
        <f t="shared" si="28"/>
        <v>20</v>
      </c>
      <c r="P473" s="22">
        <f t="shared" si="29"/>
        <v>11</v>
      </c>
      <c r="Q473" s="22">
        <f t="shared" si="30"/>
        <v>30</v>
      </c>
      <c r="R473" s="16">
        <v>29</v>
      </c>
      <c r="S473">
        <v>11.004725353371001</v>
      </c>
      <c r="T473">
        <v>-74.814367265580103</v>
      </c>
      <c r="U473" s="22">
        <v>15328</v>
      </c>
      <c r="V473" s="22">
        <v>14877.5</v>
      </c>
      <c r="W473" s="25">
        <v>12002</v>
      </c>
      <c r="X473" s="24">
        <v>11941</v>
      </c>
      <c r="Y473" s="24">
        <v>183967</v>
      </c>
      <c r="Z473" s="24">
        <v>177647</v>
      </c>
      <c r="AA473" s="24">
        <v>8776</v>
      </c>
      <c r="AB473" s="24">
        <v>3566</v>
      </c>
      <c r="AC473" s="24">
        <v>70567</v>
      </c>
      <c r="AD473" s="24">
        <v>65447</v>
      </c>
      <c r="AE473" s="24">
        <v>9453</v>
      </c>
      <c r="AF473" s="24">
        <v>10392</v>
      </c>
      <c r="AG473" s="17">
        <v>0</v>
      </c>
      <c r="AH473" s="16" t="s">
        <v>136</v>
      </c>
      <c r="AI473" s="16" t="s">
        <v>49</v>
      </c>
      <c r="AJ473" s="16" t="s">
        <v>50</v>
      </c>
      <c r="AK473" s="16" t="s">
        <v>51</v>
      </c>
      <c r="AL473" s="25">
        <v>232000</v>
      </c>
      <c r="AM473" s="43">
        <f t="shared" si="31"/>
        <v>91.306867574616049</v>
      </c>
      <c r="AN473" s="16" t="s">
        <v>1534</v>
      </c>
      <c r="AO473" s="16" t="s">
        <v>60</v>
      </c>
    </row>
    <row r="474" spans="1:41" ht="14.5" x14ac:dyDescent="0.35">
      <c r="A474" s="27" t="s">
        <v>1535</v>
      </c>
      <c r="B474" s="16" t="s">
        <v>55</v>
      </c>
      <c r="C474" s="16" t="s">
        <v>43</v>
      </c>
      <c r="D474" s="16" t="s">
        <v>44</v>
      </c>
      <c r="E474" s="16" t="s">
        <v>1173</v>
      </c>
      <c r="F474" s="16">
        <v>3</v>
      </c>
      <c r="G474" s="30" t="s">
        <v>1536</v>
      </c>
      <c r="H474" s="16">
        <v>0</v>
      </c>
      <c r="I474" s="16" t="s">
        <v>47</v>
      </c>
      <c r="J474" s="16">
        <v>91.07</v>
      </c>
      <c r="K474" s="16">
        <v>839</v>
      </c>
      <c r="L474" s="16">
        <v>0</v>
      </c>
      <c r="M474" s="8">
        <v>0</v>
      </c>
      <c r="N474" s="21">
        <v>44558</v>
      </c>
      <c r="O474" s="7">
        <f t="shared" si="28"/>
        <v>28</v>
      </c>
      <c r="P474" s="22">
        <f t="shared" si="29"/>
        <v>4</v>
      </c>
      <c r="Q474" s="22">
        <f t="shared" si="30"/>
        <v>31</v>
      </c>
      <c r="R474" s="16">
        <v>57</v>
      </c>
      <c r="S474">
        <v>4.5860263642144803</v>
      </c>
      <c r="T474">
        <v>-74.102401133650503</v>
      </c>
      <c r="U474" s="22">
        <v>17119</v>
      </c>
      <c r="V474" s="22">
        <v>18328.333330000001</v>
      </c>
      <c r="W474" s="25">
        <v>11441</v>
      </c>
      <c r="X474" s="24">
        <v>10832</v>
      </c>
      <c r="Y474" s="24">
        <v>195859</v>
      </c>
      <c r="Z474" s="24">
        <v>198533</v>
      </c>
      <c r="AA474" s="24">
        <v>9884</v>
      </c>
      <c r="AB474" s="24">
        <v>7520</v>
      </c>
      <c r="AC474" s="24">
        <v>66867</v>
      </c>
      <c r="AD474" s="24">
        <v>65057</v>
      </c>
      <c r="AE474" s="24">
        <v>10988</v>
      </c>
      <c r="AF474" s="24">
        <v>11100</v>
      </c>
      <c r="AG474" s="17">
        <v>0</v>
      </c>
      <c r="AH474" s="16" t="s">
        <v>82</v>
      </c>
      <c r="AI474" s="16" t="s">
        <v>49</v>
      </c>
      <c r="AJ474" s="16" t="s">
        <v>124</v>
      </c>
      <c r="AK474" s="16" t="s">
        <v>51</v>
      </c>
      <c r="AL474" s="25">
        <v>204160</v>
      </c>
      <c r="AM474" s="43">
        <f t="shared" si="31"/>
        <v>120.65444163830021</v>
      </c>
      <c r="AN474" s="16" t="s">
        <v>1537</v>
      </c>
      <c r="AO474" s="16" t="s">
        <v>53</v>
      </c>
    </row>
    <row r="475" spans="1:41" ht="14.5" x14ac:dyDescent="0.35">
      <c r="A475" s="27" t="s">
        <v>1538</v>
      </c>
      <c r="B475" s="16" t="s">
        <v>42</v>
      </c>
      <c r="C475" s="16" t="s">
        <v>43</v>
      </c>
      <c r="D475" s="16" t="s">
        <v>44</v>
      </c>
      <c r="E475" s="16" t="s">
        <v>865</v>
      </c>
      <c r="F475" s="16">
        <v>3</v>
      </c>
      <c r="G475" s="30" t="s">
        <v>1539</v>
      </c>
      <c r="H475" s="16">
        <v>0</v>
      </c>
      <c r="I475" s="16" t="s">
        <v>47</v>
      </c>
      <c r="J475" s="16">
        <v>324.74</v>
      </c>
      <c r="K475" s="16">
        <v>1411</v>
      </c>
      <c r="L475" s="16">
        <v>3675</v>
      </c>
      <c r="M475" s="8">
        <v>0</v>
      </c>
      <c r="N475" s="21">
        <v>41159</v>
      </c>
      <c r="O475" s="7">
        <f t="shared" si="28"/>
        <v>7</v>
      </c>
      <c r="P475" s="22">
        <f t="shared" si="29"/>
        <v>24</v>
      </c>
      <c r="Q475" s="22">
        <f t="shared" si="30"/>
        <v>30</v>
      </c>
      <c r="R475" s="16">
        <v>116</v>
      </c>
      <c r="S475">
        <v>4.7406909378961002</v>
      </c>
      <c r="T475">
        <v>-74.084391502375794</v>
      </c>
      <c r="U475" s="22">
        <v>20400</v>
      </c>
      <c r="V475" s="22">
        <v>19586.333330000001</v>
      </c>
      <c r="W475" s="25">
        <v>11002</v>
      </c>
      <c r="X475" s="24">
        <v>11060</v>
      </c>
      <c r="Y475" s="24">
        <v>224430</v>
      </c>
      <c r="Z475" s="24">
        <v>216616</v>
      </c>
      <c r="AA475" s="24">
        <v>25360</v>
      </c>
      <c r="AB475" s="24">
        <v>21437</v>
      </c>
      <c r="AC475" s="24">
        <v>81305</v>
      </c>
      <c r="AD475" s="24">
        <v>77611</v>
      </c>
      <c r="AE475" s="24">
        <v>9329</v>
      </c>
      <c r="AF475" s="24">
        <v>9139</v>
      </c>
      <c r="AG475" s="17">
        <v>0</v>
      </c>
      <c r="AH475" s="16" t="s">
        <v>82</v>
      </c>
      <c r="AI475" s="16" t="s">
        <v>49</v>
      </c>
      <c r="AJ475" s="16" t="s">
        <v>124</v>
      </c>
      <c r="AK475" s="16" t="s">
        <v>51</v>
      </c>
      <c r="AL475" s="25">
        <v>204160</v>
      </c>
      <c r="AM475" s="43">
        <f t="shared" si="31"/>
        <v>28.727597462585454</v>
      </c>
      <c r="AN475" s="16" t="s">
        <v>279</v>
      </c>
      <c r="AO475" s="16" t="s">
        <v>53</v>
      </c>
    </row>
    <row r="476" spans="1:41" ht="14.5" x14ac:dyDescent="0.35">
      <c r="A476" s="27" t="s">
        <v>1540</v>
      </c>
      <c r="B476" s="16" t="s">
        <v>105</v>
      </c>
      <c r="C476" s="16" t="s">
        <v>106</v>
      </c>
      <c r="D476" s="16" t="s">
        <v>298</v>
      </c>
      <c r="E476" s="16" t="s">
        <v>619</v>
      </c>
      <c r="F476" s="16">
        <v>6</v>
      </c>
      <c r="G476" s="30" t="s">
        <v>1541</v>
      </c>
      <c r="H476" s="16" t="s">
        <v>1542</v>
      </c>
      <c r="I476" s="16" t="s">
        <v>102</v>
      </c>
      <c r="J476" s="16">
        <v>112.68</v>
      </c>
      <c r="K476" s="16">
        <v>1876</v>
      </c>
      <c r="L476" s="16">
        <v>918</v>
      </c>
      <c r="M476" s="8">
        <v>130</v>
      </c>
      <c r="N476" s="21">
        <v>45565</v>
      </c>
      <c r="O476" s="7">
        <f t="shared" si="28"/>
        <v>30</v>
      </c>
      <c r="P476" s="22">
        <f t="shared" si="29"/>
        <v>1</v>
      </c>
      <c r="Q476" s="22">
        <f t="shared" si="30"/>
        <v>30</v>
      </c>
      <c r="R476" s="16">
        <v>24</v>
      </c>
      <c r="S476">
        <v>4.7965969907943604</v>
      </c>
      <c r="T476">
        <v>-75.690783958135796</v>
      </c>
      <c r="U476" s="22">
        <v>15259</v>
      </c>
      <c r="V476" s="22">
        <v>17601.833330000001</v>
      </c>
      <c r="W476" s="25">
        <v>14282</v>
      </c>
      <c r="X476" s="24">
        <v>12957</v>
      </c>
      <c r="Y476" s="24">
        <v>217932</v>
      </c>
      <c r="Z476" s="24">
        <v>228071</v>
      </c>
      <c r="AA476" s="24">
        <v>6905</v>
      </c>
      <c r="AB476" s="24">
        <v>22580</v>
      </c>
      <c r="AC476" s="24">
        <v>83231</v>
      </c>
      <c r="AD476" s="24">
        <v>87482</v>
      </c>
      <c r="AE476" s="24">
        <v>10257</v>
      </c>
      <c r="AF476" s="24">
        <v>10362</v>
      </c>
      <c r="AG476" s="17">
        <v>0</v>
      </c>
      <c r="AH476" s="16" t="s">
        <v>136</v>
      </c>
      <c r="AI476" s="16" t="s">
        <v>49</v>
      </c>
      <c r="AJ476" s="16" t="s">
        <v>50</v>
      </c>
      <c r="AK476" s="16" t="s">
        <v>51</v>
      </c>
      <c r="AL476" s="25">
        <v>232000</v>
      </c>
      <c r="AM476" s="43">
        <f t="shared" si="31"/>
        <v>91.02768903088392</v>
      </c>
      <c r="AN476" s="16">
        <v>0</v>
      </c>
      <c r="AO476" s="16" t="s">
        <v>60</v>
      </c>
    </row>
    <row r="477" spans="1:41" ht="14.5" x14ac:dyDescent="0.35">
      <c r="A477" s="27" t="s">
        <v>1543</v>
      </c>
      <c r="B477" s="16" t="s">
        <v>55</v>
      </c>
      <c r="C477" s="16" t="s">
        <v>43</v>
      </c>
      <c r="D477" s="16" t="s">
        <v>44</v>
      </c>
      <c r="E477" s="16" t="s">
        <v>705</v>
      </c>
      <c r="F477" s="16">
        <v>2</v>
      </c>
      <c r="G477" s="30" t="s">
        <v>1544</v>
      </c>
      <c r="H477" s="16">
        <v>0</v>
      </c>
      <c r="I477" s="16" t="s">
        <v>47</v>
      </c>
      <c r="J477" s="16">
        <v>74.33</v>
      </c>
      <c r="K477" s="16">
        <v>3131</v>
      </c>
      <c r="L477" s="16">
        <v>510</v>
      </c>
      <c r="M477" s="8">
        <v>0</v>
      </c>
      <c r="N477" s="21">
        <v>45408</v>
      </c>
      <c r="O477" s="7">
        <f t="shared" si="28"/>
        <v>26</v>
      </c>
      <c r="P477" s="22">
        <f t="shared" si="29"/>
        <v>5</v>
      </c>
      <c r="Q477" s="22">
        <f t="shared" si="30"/>
        <v>30</v>
      </c>
      <c r="R477" s="16">
        <v>29</v>
      </c>
      <c r="S477">
        <v>4.7064502361628202</v>
      </c>
      <c r="T477">
        <v>-74.123391968703402</v>
      </c>
      <c r="U477" s="22">
        <v>15561</v>
      </c>
      <c r="V477" s="22">
        <v>14811.166670000001</v>
      </c>
      <c r="W477" s="25">
        <v>15820</v>
      </c>
      <c r="X477" s="24">
        <v>15764</v>
      </c>
      <c r="Y477" s="24">
        <v>246171</v>
      </c>
      <c r="Z477" s="24">
        <v>233488</v>
      </c>
      <c r="AA477" s="24">
        <v>19724</v>
      </c>
      <c r="AB477" s="24">
        <v>18151</v>
      </c>
      <c r="AC477" s="24">
        <v>76090</v>
      </c>
      <c r="AD477" s="24">
        <v>72320</v>
      </c>
      <c r="AE477" s="24">
        <v>5307</v>
      </c>
      <c r="AF477" s="24">
        <v>5334</v>
      </c>
      <c r="AG477" s="17">
        <v>0</v>
      </c>
      <c r="AH477" s="16" t="s">
        <v>58</v>
      </c>
      <c r="AI477" s="16" t="s">
        <v>49</v>
      </c>
      <c r="AJ477" s="16" t="s">
        <v>50</v>
      </c>
      <c r="AK477" s="16" t="s">
        <v>51</v>
      </c>
      <c r="AL477" s="25">
        <v>232000</v>
      </c>
      <c r="AM477" s="43">
        <f t="shared" si="31"/>
        <v>71.397820530068614</v>
      </c>
      <c r="AN477" s="16">
        <v>0</v>
      </c>
      <c r="AO477" s="16" t="s">
        <v>60</v>
      </c>
    </row>
    <row r="478" spans="1:41" ht="14.5" x14ac:dyDescent="0.35">
      <c r="A478" s="27" t="s">
        <v>1545</v>
      </c>
      <c r="B478" s="16" t="s">
        <v>105</v>
      </c>
      <c r="C478" s="16" t="s">
        <v>106</v>
      </c>
      <c r="D478" s="16" t="s">
        <v>298</v>
      </c>
      <c r="E478" s="16" t="s">
        <v>596</v>
      </c>
      <c r="F478" s="16">
        <v>3</v>
      </c>
      <c r="G478" s="30" t="s">
        <v>1546</v>
      </c>
      <c r="H478" s="16">
        <v>0</v>
      </c>
      <c r="I478" s="16" t="s">
        <v>47</v>
      </c>
      <c r="J478" s="16">
        <v>208.24</v>
      </c>
      <c r="K478" s="16">
        <v>700</v>
      </c>
      <c r="L478" s="16">
        <v>96</v>
      </c>
      <c r="M478" s="8">
        <v>45</v>
      </c>
      <c r="N478" s="21">
        <v>44954</v>
      </c>
      <c r="O478" s="7">
        <f t="shared" si="28"/>
        <v>28</v>
      </c>
      <c r="P478" s="22">
        <f t="shared" si="29"/>
        <v>4</v>
      </c>
      <c r="Q478" s="22">
        <f t="shared" si="30"/>
        <v>31</v>
      </c>
      <c r="R478" s="16">
        <v>44</v>
      </c>
      <c r="S478">
        <v>4.8005339529962203</v>
      </c>
      <c r="T478">
        <v>-75.708739500917304</v>
      </c>
      <c r="U478" s="22">
        <v>20454</v>
      </c>
      <c r="V478" s="22">
        <v>18136.166669999999</v>
      </c>
      <c r="W478" s="25">
        <v>14458</v>
      </c>
      <c r="X478" s="24">
        <v>14186</v>
      </c>
      <c r="Y478" s="24">
        <v>295725</v>
      </c>
      <c r="Z478" s="24">
        <v>257273</v>
      </c>
      <c r="AA478" s="24">
        <v>17661</v>
      </c>
      <c r="AB478" s="24">
        <v>21852</v>
      </c>
      <c r="AC478" s="24">
        <v>109813</v>
      </c>
      <c r="AD478" s="24">
        <v>92877</v>
      </c>
      <c r="AE478" s="24">
        <v>10404</v>
      </c>
      <c r="AF478" s="24">
        <v>10510</v>
      </c>
      <c r="AG478" s="17">
        <v>0</v>
      </c>
      <c r="AH478" s="16" t="s">
        <v>82</v>
      </c>
      <c r="AI478" s="16" t="s">
        <v>49</v>
      </c>
      <c r="AJ478" s="16" t="s">
        <v>50</v>
      </c>
      <c r="AK478" s="16" t="s">
        <v>51</v>
      </c>
      <c r="AL478" s="25">
        <v>232000</v>
      </c>
      <c r="AM478" s="43">
        <f t="shared" si="31"/>
        <v>49.961582789089512</v>
      </c>
      <c r="AN478" s="16" t="s">
        <v>91</v>
      </c>
      <c r="AO478" s="16" t="s">
        <v>53</v>
      </c>
    </row>
    <row r="479" spans="1:41" ht="14.5" x14ac:dyDescent="0.35">
      <c r="A479" s="27" t="s">
        <v>1547</v>
      </c>
      <c r="B479" s="16" t="s">
        <v>105</v>
      </c>
      <c r="C479" s="16" t="s">
        <v>112</v>
      </c>
      <c r="D479" s="16" t="s">
        <v>113</v>
      </c>
      <c r="E479" s="16" t="s">
        <v>735</v>
      </c>
      <c r="F479" s="16">
        <v>5</v>
      </c>
      <c r="G479" s="30" t="s">
        <v>1548</v>
      </c>
      <c r="H479" s="16" t="s">
        <v>1549</v>
      </c>
      <c r="I479" s="16" t="s">
        <v>47</v>
      </c>
      <c r="J479" s="16">
        <v>111.82</v>
      </c>
      <c r="K479" s="16">
        <v>3410</v>
      </c>
      <c r="L479" s="16">
        <v>309</v>
      </c>
      <c r="M479" s="8">
        <v>118</v>
      </c>
      <c r="N479" s="21">
        <v>45832</v>
      </c>
      <c r="O479" s="7">
        <f t="shared" si="28"/>
        <v>24</v>
      </c>
      <c r="P479" s="22">
        <f t="shared" si="29"/>
        <v>7</v>
      </c>
      <c r="Q479" s="22">
        <f t="shared" si="30"/>
        <v>30</v>
      </c>
      <c r="R479" s="16">
        <v>15</v>
      </c>
      <c r="S479">
        <v>3.37546699544597</v>
      </c>
      <c r="T479">
        <v>-76.519011227295707</v>
      </c>
      <c r="U479" s="22">
        <v>9849</v>
      </c>
      <c r="V479" s="22">
        <v>15401.833329999999</v>
      </c>
      <c r="W479" s="25">
        <v>14137</v>
      </c>
      <c r="X479" s="24">
        <v>14383</v>
      </c>
      <c r="Y479" s="24">
        <v>139237</v>
      </c>
      <c r="Z479" s="24">
        <v>221517</v>
      </c>
      <c r="AA479" s="24">
        <v>-32474</v>
      </c>
      <c r="AB479" s="24">
        <v>14765</v>
      </c>
      <c r="AC479" s="24">
        <v>46931</v>
      </c>
      <c r="AD479" s="24">
        <v>84030</v>
      </c>
      <c r="AE479" s="24">
        <v>12747</v>
      </c>
      <c r="AF479" s="24">
        <v>12906</v>
      </c>
      <c r="AG479" s="17">
        <v>1.4318</v>
      </c>
      <c r="AH479" s="16" t="s">
        <v>136</v>
      </c>
      <c r="AI479" s="16" t="s">
        <v>49</v>
      </c>
      <c r="AJ479" s="16" t="s">
        <v>76</v>
      </c>
      <c r="AK479" s="16" t="s">
        <v>51</v>
      </c>
      <c r="AL479" s="25">
        <v>241405</v>
      </c>
      <c r="AM479" s="43">
        <f t="shared" si="31"/>
        <v>113.99570738687177</v>
      </c>
      <c r="AN479" s="16" t="s">
        <v>1116</v>
      </c>
      <c r="AO479" s="16" t="s">
        <v>98</v>
      </c>
    </row>
    <row r="480" spans="1:41" ht="14.5" x14ac:dyDescent="0.35">
      <c r="A480" s="27" t="s">
        <v>1550</v>
      </c>
      <c r="B480" s="16" t="s">
        <v>55</v>
      </c>
      <c r="C480" s="16" t="s">
        <v>43</v>
      </c>
      <c r="D480" s="16" t="s">
        <v>44</v>
      </c>
      <c r="E480" s="16" t="s">
        <v>531</v>
      </c>
      <c r="F480" s="16">
        <v>4</v>
      </c>
      <c r="G480" s="30" t="s">
        <v>1551</v>
      </c>
      <c r="H480" s="16">
        <v>0</v>
      </c>
      <c r="I480" s="16" t="s">
        <v>47</v>
      </c>
      <c r="J480" s="16">
        <v>110.17</v>
      </c>
      <c r="K480" s="16">
        <v>1178</v>
      </c>
      <c r="L480" s="16">
        <v>1050</v>
      </c>
      <c r="M480" s="8">
        <v>84</v>
      </c>
      <c r="N480" s="21">
        <v>44553</v>
      </c>
      <c r="O480" s="7">
        <f t="shared" si="28"/>
        <v>23</v>
      </c>
      <c r="P480" s="22">
        <f t="shared" si="29"/>
        <v>9</v>
      </c>
      <c r="Q480" s="22">
        <f t="shared" si="30"/>
        <v>31</v>
      </c>
      <c r="R480" s="16">
        <v>57</v>
      </c>
      <c r="S480">
        <v>4.6743327402325496</v>
      </c>
      <c r="T480">
        <v>-74.062851337859499</v>
      </c>
      <c r="U480" s="22">
        <v>17271</v>
      </c>
      <c r="V480" s="22">
        <v>17561.333330000001</v>
      </c>
      <c r="W480" s="25">
        <v>11815</v>
      </c>
      <c r="X480" s="24">
        <v>12073</v>
      </c>
      <c r="Y480" s="24">
        <v>204050</v>
      </c>
      <c r="Z480" s="24">
        <v>212018</v>
      </c>
      <c r="AA480" s="24">
        <v>21444</v>
      </c>
      <c r="AB480" s="24">
        <v>20405</v>
      </c>
      <c r="AC480" s="24">
        <v>76945</v>
      </c>
      <c r="AD480" s="24">
        <v>75824</v>
      </c>
      <c r="AE480" s="24">
        <v>10508</v>
      </c>
      <c r="AF480" s="24">
        <v>10615</v>
      </c>
      <c r="AG480" s="17">
        <v>0</v>
      </c>
      <c r="AH480" s="16" t="s">
        <v>82</v>
      </c>
      <c r="AI480" s="16" t="s">
        <v>49</v>
      </c>
      <c r="AJ480" s="16" t="s">
        <v>50</v>
      </c>
      <c r="AK480" s="16" t="s">
        <v>51</v>
      </c>
      <c r="AL480" s="25">
        <v>232000</v>
      </c>
      <c r="AM480" s="43">
        <f t="shared" si="31"/>
        <v>95.379867477534717</v>
      </c>
      <c r="AN480" s="16" t="s">
        <v>296</v>
      </c>
      <c r="AO480" s="16" t="s">
        <v>60</v>
      </c>
    </row>
    <row r="481" spans="1:41" ht="14.5" x14ac:dyDescent="0.35">
      <c r="A481" s="27" t="s">
        <v>1552</v>
      </c>
      <c r="B481" s="16" t="s">
        <v>105</v>
      </c>
      <c r="C481" s="16" t="s">
        <v>106</v>
      </c>
      <c r="D481" s="16" t="s">
        <v>107</v>
      </c>
      <c r="E481" s="16" t="s">
        <v>291</v>
      </c>
      <c r="F481" s="16">
        <v>4</v>
      </c>
      <c r="G481" s="30" t="s">
        <v>1553</v>
      </c>
      <c r="H481" s="16">
        <v>0</v>
      </c>
      <c r="I481" s="16" t="s">
        <v>47</v>
      </c>
      <c r="J481" s="16">
        <v>121.13</v>
      </c>
      <c r="K481" s="16">
        <v>2190</v>
      </c>
      <c r="L481" s="16">
        <v>1120</v>
      </c>
      <c r="M481" s="8">
        <v>62</v>
      </c>
      <c r="N481" s="21">
        <v>45259</v>
      </c>
      <c r="O481" s="7">
        <f t="shared" si="28"/>
        <v>29</v>
      </c>
      <c r="P481" s="22">
        <f t="shared" si="29"/>
        <v>2</v>
      </c>
      <c r="Q481" s="22">
        <f t="shared" si="30"/>
        <v>30</v>
      </c>
      <c r="R481" s="16">
        <v>34</v>
      </c>
      <c r="S481">
        <v>4.8278352163195901</v>
      </c>
      <c r="T481">
        <v>-75.680975806521701</v>
      </c>
      <c r="U481" s="22">
        <v>15116</v>
      </c>
      <c r="V481" s="22">
        <v>13399.833329999999</v>
      </c>
      <c r="W481" s="25">
        <v>13056</v>
      </c>
      <c r="X481" s="24">
        <v>12265</v>
      </c>
      <c r="Y481" s="24">
        <v>197348</v>
      </c>
      <c r="Z481" s="24">
        <v>164342</v>
      </c>
      <c r="AA481" s="42">
        <v>6330</v>
      </c>
      <c r="AB481" s="42">
        <v>617</v>
      </c>
      <c r="AC481" s="24">
        <v>73411</v>
      </c>
      <c r="AD481" s="24">
        <v>58417</v>
      </c>
      <c r="AE481" s="24">
        <v>9772</v>
      </c>
      <c r="AF481" s="24">
        <v>9873</v>
      </c>
      <c r="AG481" s="17">
        <v>0</v>
      </c>
      <c r="AH481" s="16" t="s">
        <v>136</v>
      </c>
      <c r="AI481" s="16" t="s">
        <v>49</v>
      </c>
      <c r="AJ481" s="16" t="s">
        <v>50</v>
      </c>
      <c r="AK481" s="16" t="s">
        <v>51</v>
      </c>
      <c r="AL481" s="25">
        <v>232000</v>
      </c>
      <c r="AM481" s="43">
        <f t="shared" si="31"/>
        <v>80.673656402212501</v>
      </c>
      <c r="AN481" s="16" t="s">
        <v>1554</v>
      </c>
      <c r="AO481" s="16" t="s">
        <v>53</v>
      </c>
    </row>
    <row r="482" spans="1:41" ht="14.5" x14ac:dyDescent="0.35">
      <c r="A482" s="27" t="s">
        <v>1555</v>
      </c>
      <c r="B482" s="16" t="s">
        <v>105</v>
      </c>
      <c r="C482" s="16" t="s">
        <v>112</v>
      </c>
      <c r="D482" s="16" t="s">
        <v>113</v>
      </c>
      <c r="E482" s="16" t="s">
        <v>268</v>
      </c>
      <c r="F482" s="16">
        <v>4</v>
      </c>
      <c r="G482" s="30" t="s">
        <v>1556</v>
      </c>
      <c r="H482" s="16">
        <v>0</v>
      </c>
      <c r="I482" s="16" t="s">
        <v>47</v>
      </c>
      <c r="J482" s="16">
        <v>127.86</v>
      </c>
      <c r="K482" s="16">
        <v>1336</v>
      </c>
      <c r="L482" s="16">
        <v>89</v>
      </c>
      <c r="M482" s="8">
        <v>60</v>
      </c>
      <c r="N482" s="21">
        <v>45471</v>
      </c>
      <c r="O482" s="7">
        <f t="shared" si="28"/>
        <v>28</v>
      </c>
      <c r="P482" s="22">
        <f t="shared" si="29"/>
        <v>3</v>
      </c>
      <c r="Q482" s="22">
        <f t="shared" si="30"/>
        <v>30</v>
      </c>
      <c r="R482" s="16">
        <v>27</v>
      </c>
      <c r="S482">
        <v>3.48535843515304</v>
      </c>
      <c r="T482">
        <v>-76.512289757915497</v>
      </c>
      <c r="U482" s="22">
        <v>17691</v>
      </c>
      <c r="V482" s="22">
        <v>16631.833330000001</v>
      </c>
      <c r="W482" s="25">
        <v>14729</v>
      </c>
      <c r="X482" s="24">
        <v>14011</v>
      </c>
      <c r="Y482" s="24">
        <v>260567</v>
      </c>
      <c r="Z482" s="24">
        <v>233035</v>
      </c>
      <c r="AA482" s="24">
        <v>19973</v>
      </c>
      <c r="AB482" s="24">
        <v>18987</v>
      </c>
      <c r="AC482" s="24">
        <v>99512</v>
      </c>
      <c r="AD482" s="24">
        <v>87118</v>
      </c>
      <c r="AE482" s="24">
        <v>9398</v>
      </c>
      <c r="AF482" s="24">
        <v>9257</v>
      </c>
      <c r="AG482" s="17">
        <v>0</v>
      </c>
      <c r="AH482" s="16" t="s">
        <v>136</v>
      </c>
      <c r="AI482" s="16" t="s">
        <v>49</v>
      </c>
      <c r="AJ482" s="16" t="s">
        <v>50</v>
      </c>
      <c r="AK482" s="16" t="s">
        <v>51</v>
      </c>
      <c r="AL482" s="25">
        <v>232000</v>
      </c>
      <c r="AM482" s="43">
        <f t="shared" si="31"/>
        <v>73.502268105740654</v>
      </c>
      <c r="AN482" s="16" t="s">
        <v>477</v>
      </c>
      <c r="AO482" s="16" t="s">
        <v>60</v>
      </c>
    </row>
    <row r="483" spans="1:41" ht="14.5" x14ac:dyDescent="0.35">
      <c r="A483" s="27" t="s">
        <v>1557</v>
      </c>
      <c r="B483" s="16" t="s">
        <v>55</v>
      </c>
      <c r="C483" s="16" t="s">
        <v>43</v>
      </c>
      <c r="D483" s="16" t="s">
        <v>44</v>
      </c>
      <c r="E483" s="16" t="s">
        <v>62</v>
      </c>
      <c r="F483" s="16">
        <v>4</v>
      </c>
      <c r="G483" s="30" t="s">
        <v>1558</v>
      </c>
      <c r="H483" s="16">
        <v>0</v>
      </c>
      <c r="I483" s="16" t="s">
        <v>47</v>
      </c>
      <c r="J483" s="16">
        <v>121.17</v>
      </c>
      <c r="K483" s="16">
        <v>3923</v>
      </c>
      <c r="L483" s="16">
        <v>1806</v>
      </c>
      <c r="M483" s="8">
        <v>0</v>
      </c>
      <c r="N483" s="21">
        <v>44708</v>
      </c>
      <c r="O483" s="7">
        <f t="shared" si="28"/>
        <v>27</v>
      </c>
      <c r="P483" s="22">
        <f t="shared" si="29"/>
        <v>5</v>
      </c>
      <c r="Q483" s="22">
        <f t="shared" si="30"/>
        <v>31</v>
      </c>
      <c r="R483" s="16">
        <v>52</v>
      </c>
      <c r="S483">
        <v>4.6316693095355097</v>
      </c>
      <c r="T483">
        <v>-74.064040836982997</v>
      </c>
      <c r="U483" s="22">
        <v>23615</v>
      </c>
      <c r="V483" s="22">
        <v>22319.333330000001</v>
      </c>
      <c r="W483" s="25">
        <v>11978</v>
      </c>
      <c r="X483" s="24">
        <v>12252</v>
      </c>
      <c r="Y483" s="24">
        <v>282848</v>
      </c>
      <c r="Z483" s="24">
        <v>273451</v>
      </c>
      <c r="AA483" s="24">
        <v>26582</v>
      </c>
      <c r="AB483" s="24">
        <v>21866</v>
      </c>
      <c r="AC483" s="24">
        <v>106033</v>
      </c>
      <c r="AD483" s="24">
        <v>100071</v>
      </c>
      <c r="AE483" s="24">
        <v>20502</v>
      </c>
      <c r="AF483" s="24">
        <v>20423</v>
      </c>
      <c r="AG483" s="17">
        <v>0</v>
      </c>
      <c r="AH483" s="16" t="s">
        <v>58</v>
      </c>
      <c r="AI483" s="16" t="s">
        <v>49</v>
      </c>
      <c r="AJ483" s="16" t="s">
        <v>50</v>
      </c>
      <c r="AK483" s="16" t="s">
        <v>51</v>
      </c>
      <c r="AL483" s="25">
        <v>232000</v>
      </c>
      <c r="AM483" s="43">
        <f t="shared" si="31"/>
        <v>169.20029710324337</v>
      </c>
      <c r="AN483" s="16" t="s">
        <v>328</v>
      </c>
      <c r="AO483" s="16" t="s">
        <v>60</v>
      </c>
    </row>
    <row r="484" spans="1:41" ht="14.5" x14ac:dyDescent="0.35">
      <c r="A484" s="27" t="s">
        <v>1559</v>
      </c>
      <c r="B484" s="16" t="s">
        <v>105</v>
      </c>
      <c r="C484" s="16" t="s">
        <v>177</v>
      </c>
      <c r="D484" s="16" t="s">
        <v>178</v>
      </c>
      <c r="E484" s="16" t="s">
        <v>179</v>
      </c>
      <c r="F484" s="16">
        <v>5</v>
      </c>
      <c r="G484" s="30" t="s">
        <v>1560</v>
      </c>
      <c r="H484" s="16" t="s">
        <v>1561</v>
      </c>
      <c r="I484" s="16" t="s">
        <v>47</v>
      </c>
      <c r="J484" s="16">
        <v>120.26</v>
      </c>
      <c r="K484" s="16">
        <v>1313</v>
      </c>
      <c r="L484" s="16">
        <v>2263</v>
      </c>
      <c r="M484" s="8">
        <v>47</v>
      </c>
      <c r="N484" s="21">
        <v>45528</v>
      </c>
      <c r="O484" s="7">
        <f t="shared" si="28"/>
        <v>24</v>
      </c>
      <c r="P484" s="22">
        <f t="shared" si="29"/>
        <v>8</v>
      </c>
      <c r="Q484" s="22">
        <f t="shared" si="30"/>
        <v>31</v>
      </c>
      <c r="R484" s="16">
        <v>25</v>
      </c>
      <c r="S484">
        <v>4.5574318657637498</v>
      </c>
      <c r="T484">
        <v>-75.656215157589898</v>
      </c>
      <c r="U484" s="22">
        <v>13716</v>
      </c>
      <c r="V484" s="22">
        <v>12541.333329999999</v>
      </c>
      <c r="W484" s="25">
        <v>11203</v>
      </c>
      <c r="X484" s="24">
        <v>12148</v>
      </c>
      <c r="Y484" s="24">
        <v>153655</v>
      </c>
      <c r="Z484" s="24">
        <v>152349</v>
      </c>
      <c r="AA484" s="24">
        <v>-10213</v>
      </c>
      <c r="AB484" s="24">
        <v>1560</v>
      </c>
      <c r="AC484" s="24">
        <v>57983</v>
      </c>
      <c r="AD484" s="24">
        <v>57634</v>
      </c>
      <c r="AE484" s="24">
        <v>11609</v>
      </c>
      <c r="AF484" s="24">
        <v>11274</v>
      </c>
      <c r="AG484" s="17">
        <v>0</v>
      </c>
      <c r="AH484" s="16" t="s">
        <v>58</v>
      </c>
      <c r="AI484" s="16" t="s">
        <v>49</v>
      </c>
      <c r="AJ484" s="16" t="s">
        <v>50</v>
      </c>
      <c r="AK484" s="16" t="s">
        <v>51</v>
      </c>
      <c r="AL484" s="25">
        <v>232000</v>
      </c>
      <c r="AM484" s="43">
        <f t="shared" si="31"/>
        <v>96.532512888741053</v>
      </c>
      <c r="AN484" s="16" t="s">
        <v>1095</v>
      </c>
      <c r="AO484" s="16" t="s">
        <v>53</v>
      </c>
    </row>
    <row r="485" spans="1:41" ht="14.5" x14ac:dyDescent="0.35">
      <c r="A485" s="27" t="s">
        <v>1562</v>
      </c>
      <c r="B485" s="16" t="s">
        <v>55</v>
      </c>
      <c r="C485" s="16" t="s">
        <v>43</v>
      </c>
      <c r="D485" s="16" t="s">
        <v>44</v>
      </c>
      <c r="E485" s="16" t="s">
        <v>352</v>
      </c>
      <c r="F485" s="16">
        <v>3</v>
      </c>
      <c r="G485" s="30" t="s">
        <v>1563</v>
      </c>
      <c r="H485" s="16">
        <v>0</v>
      </c>
      <c r="I485" s="16" t="s">
        <v>47</v>
      </c>
      <c r="J485" s="16">
        <v>123.13</v>
      </c>
      <c r="K485" s="16">
        <v>1540</v>
      </c>
      <c r="L485" s="16">
        <v>1490</v>
      </c>
      <c r="M485" s="8">
        <v>107</v>
      </c>
      <c r="N485" s="21">
        <v>45465</v>
      </c>
      <c r="O485" s="7">
        <f t="shared" si="28"/>
        <v>22</v>
      </c>
      <c r="P485" s="22">
        <f t="shared" si="29"/>
        <v>9</v>
      </c>
      <c r="Q485" s="22">
        <f t="shared" si="30"/>
        <v>30</v>
      </c>
      <c r="R485" s="16">
        <v>27</v>
      </c>
      <c r="S485">
        <v>4.6810623422767002</v>
      </c>
      <c r="T485">
        <v>-74.089146762186402</v>
      </c>
      <c r="U485" s="22">
        <v>14625</v>
      </c>
      <c r="V485" s="22">
        <v>15244.166670000001</v>
      </c>
      <c r="W485" s="25">
        <v>11297</v>
      </c>
      <c r="X485" s="24">
        <v>10962</v>
      </c>
      <c r="Y485" s="24">
        <v>165221</v>
      </c>
      <c r="Z485" s="24">
        <v>167113</v>
      </c>
      <c r="AA485" s="24">
        <v>3314</v>
      </c>
      <c r="AB485" s="42">
        <v>839</v>
      </c>
      <c r="AC485" s="24">
        <v>53789</v>
      </c>
      <c r="AD485" s="24">
        <v>50447</v>
      </c>
      <c r="AE485" s="24">
        <v>9398</v>
      </c>
      <c r="AF485" s="24">
        <v>9288</v>
      </c>
      <c r="AG485" s="17">
        <v>0</v>
      </c>
      <c r="AH485" s="16" t="s">
        <v>64</v>
      </c>
      <c r="AI485" s="16" t="s">
        <v>49</v>
      </c>
      <c r="AJ485" s="16" t="s">
        <v>50</v>
      </c>
      <c r="AK485" s="16" t="s">
        <v>51</v>
      </c>
      <c r="AL485" s="25">
        <v>232000</v>
      </c>
      <c r="AM485" s="43">
        <f t="shared" si="31"/>
        <v>76.325834483878836</v>
      </c>
      <c r="AN485" s="16">
        <v>0</v>
      </c>
      <c r="AO485" s="16" t="s">
        <v>60</v>
      </c>
    </row>
    <row r="486" spans="1:41" ht="14.5" x14ac:dyDescent="0.35">
      <c r="A486" s="27" t="s">
        <v>1564</v>
      </c>
      <c r="B486" s="16" t="s">
        <v>42</v>
      </c>
      <c r="C486" s="16" t="s">
        <v>43</v>
      </c>
      <c r="D486" s="16" t="s">
        <v>44</v>
      </c>
      <c r="E486" s="16" t="s">
        <v>272</v>
      </c>
      <c r="F486" s="16">
        <v>4</v>
      </c>
      <c r="G486" s="30" t="s">
        <v>1565</v>
      </c>
      <c r="H486" s="16" t="s">
        <v>1566</v>
      </c>
      <c r="I486" s="16" t="s">
        <v>47</v>
      </c>
      <c r="J486" s="16">
        <v>135.03</v>
      </c>
      <c r="K486" s="16">
        <v>1245</v>
      </c>
      <c r="L486" s="16">
        <v>798</v>
      </c>
      <c r="M486" s="8">
        <v>0</v>
      </c>
      <c r="N486" s="21">
        <v>45888</v>
      </c>
      <c r="O486" s="7">
        <f t="shared" si="28"/>
        <v>19</v>
      </c>
      <c r="P486" s="22">
        <f t="shared" si="29"/>
        <v>13</v>
      </c>
      <c r="Q486" s="22">
        <f t="shared" si="30"/>
        <v>31</v>
      </c>
      <c r="R486" s="16">
        <v>13</v>
      </c>
      <c r="S486">
        <v>4.6990620235816802</v>
      </c>
      <c r="T486">
        <v>-74.073978348301594</v>
      </c>
      <c r="U486" s="22">
        <v>13517</v>
      </c>
      <c r="V486" s="22">
        <v>13334.166670000001</v>
      </c>
      <c r="W486" s="25">
        <v>9443</v>
      </c>
      <c r="X486" s="24">
        <v>9722</v>
      </c>
      <c r="Y486" s="24">
        <v>127641</v>
      </c>
      <c r="Z486" s="24">
        <v>129638</v>
      </c>
      <c r="AA486" s="42">
        <v>-8255</v>
      </c>
      <c r="AB486" s="42">
        <v>-2154</v>
      </c>
      <c r="AC486" s="24">
        <v>50432</v>
      </c>
      <c r="AD486" s="24">
        <v>52188</v>
      </c>
      <c r="AE486" s="24">
        <v>13663</v>
      </c>
      <c r="AF486" s="24">
        <v>13287</v>
      </c>
      <c r="AG486" s="17">
        <v>1.0463</v>
      </c>
      <c r="AH486" s="16" t="s">
        <v>58</v>
      </c>
      <c r="AI486" s="16" t="s">
        <v>49</v>
      </c>
      <c r="AJ486" s="16" t="s">
        <v>50</v>
      </c>
      <c r="AK486" s="16" t="s">
        <v>71</v>
      </c>
      <c r="AL486" s="25">
        <v>232000</v>
      </c>
      <c r="AM486" s="43">
        <f t="shared" si="31"/>
        <v>101.18492186921425</v>
      </c>
      <c r="AN486" s="16" t="s">
        <v>91</v>
      </c>
      <c r="AO486" s="16" t="s">
        <v>60</v>
      </c>
    </row>
    <row r="487" spans="1:41" ht="14.5" x14ac:dyDescent="0.35">
      <c r="A487" s="27" t="s">
        <v>1567</v>
      </c>
      <c r="B487" s="16" t="s">
        <v>42</v>
      </c>
      <c r="C487" s="16" t="s">
        <v>126</v>
      </c>
      <c r="D487" s="16" t="s">
        <v>127</v>
      </c>
      <c r="E487" s="16" t="s">
        <v>128</v>
      </c>
      <c r="F487" s="16">
        <v>4</v>
      </c>
      <c r="G487" s="30" t="s">
        <v>1568</v>
      </c>
      <c r="H487" s="16" t="s">
        <v>1569</v>
      </c>
      <c r="I487" s="16" t="s">
        <v>47</v>
      </c>
      <c r="J487" s="16">
        <v>125.37</v>
      </c>
      <c r="K487" s="16">
        <v>1030</v>
      </c>
      <c r="L487" s="16">
        <v>1400</v>
      </c>
      <c r="M487" s="8">
        <v>138</v>
      </c>
      <c r="N487" s="21">
        <v>45587</v>
      </c>
      <c r="O487" s="7">
        <f t="shared" si="28"/>
        <v>22</v>
      </c>
      <c r="P487" s="22">
        <f t="shared" si="29"/>
        <v>10</v>
      </c>
      <c r="Q487" s="22">
        <f t="shared" si="30"/>
        <v>31</v>
      </c>
      <c r="R487" s="16">
        <v>23</v>
      </c>
      <c r="S487">
        <v>5.5519184779652697</v>
      </c>
      <c r="T487">
        <v>-73.352433137747795</v>
      </c>
      <c r="U487" s="22">
        <v>12845</v>
      </c>
      <c r="V487" s="22">
        <v>12204.333329999999</v>
      </c>
      <c r="W487" s="25">
        <v>15097</v>
      </c>
      <c r="X487" s="24">
        <v>14445</v>
      </c>
      <c r="Y487" s="24">
        <v>193923</v>
      </c>
      <c r="Z487" s="24">
        <v>176291</v>
      </c>
      <c r="AA487" s="42">
        <v>12926</v>
      </c>
      <c r="AB487" s="24">
        <v>5334</v>
      </c>
      <c r="AC487" s="24">
        <v>71108</v>
      </c>
      <c r="AD487" s="24">
        <v>62516</v>
      </c>
      <c r="AE487" s="24">
        <v>9000</v>
      </c>
      <c r="AF487" s="24">
        <v>9095</v>
      </c>
      <c r="AG487" s="17">
        <v>0</v>
      </c>
      <c r="AH487" s="16" t="s">
        <v>58</v>
      </c>
      <c r="AI487" s="16" t="s">
        <v>49</v>
      </c>
      <c r="AJ487" s="16" t="s">
        <v>50</v>
      </c>
      <c r="AK487" s="16" t="s">
        <v>51</v>
      </c>
      <c r="AL487" s="25">
        <v>232000</v>
      </c>
      <c r="AM487" s="43">
        <f t="shared" si="31"/>
        <v>71.787508973438619</v>
      </c>
      <c r="AN487" s="16" t="s">
        <v>87</v>
      </c>
      <c r="AO487" s="16" t="s">
        <v>98</v>
      </c>
    </row>
    <row r="488" spans="1:41" ht="14.5" x14ac:dyDescent="0.35">
      <c r="A488" s="27" t="s">
        <v>1570</v>
      </c>
      <c r="B488" s="16" t="s">
        <v>42</v>
      </c>
      <c r="C488" s="16" t="s">
        <v>43</v>
      </c>
      <c r="D488" s="16" t="s">
        <v>44</v>
      </c>
      <c r="E488" s="16" t="s">
        <v>143</v>
      </c>
      <c r="F488" s="16">
        <v>3</v>
      </c>
      <c r="G488" s="30" t="s">
        <v>1571</v>
      </c>
      <c r="H488" s="16">
        <v>0</v>
      </c>
      <c r="I488" s="16" t="s">
        <v>102</v>
      </c>
      <c r="J488" s="16">
        <v>167.1</v>
      </c>
      <c r="K488" s="16">
        <v>3401</v>
      </c>
      <c r="L488" s="16">
        <v>0</v>
      </c>
      <c r="M488" s="8">
        <v>0</v>
      </c>
      <c r="N488" s="21">
        <v>44617</v>
      </c>
      <c r="O488" s="7">
        <f t="shared" si="28"/>
        <v>25</v>
      </c>
      <c r="P488" s="22">
        <f t="shared" si="29"/>
        <v>4</v>
      </c>
      <c r="Q488" s="22">
        <f t="shared" si="30"/>
        <v>28</v>
      </c>
      <c r="R488" s="16">
        <v>55</v>
      </c>
      <c r="S488">
        <v>4.7162723098792796</v>
      </c>
      <c r="T488">
        <v>-74.0586769655268</v>
      </c>
      <c r="U488" s="22">
        <v>14170</v>
      </c>
      <c r="V488" s="22">
        <v>14732.5</v>
      </c>
      <c r="W488" s="25">
        <v>12797</v>
      </c>
      <c r="X488" s="24">
        <v>12420</v>
      </c>
      <c r="Y488" s="24">
        <v>181337</v>
      </c>
      <c r="Z488" s="24">
        <v>182971</v>
      </c>
      <c r="AA488" s="24">
        <v>7443</v>
      </c>
      <c r="AB488" s="24">
        <v>7499</v>
      </c>
      <c r="AC488" s="24">
        <v>59481</v>
      </c>
      <c r="AD488" s="24">
        <v>59515</v>
      </c>
      <c r="AE488" s="24">
        <v>9567</v>
      </c>
      <c r="AF488" s="24">
        <v>9667</v>
      </c>
      <c r="AG488" s="17">
        <v>0</v>
      </c>
      <c r="AH488" s="16" t="s">
        <v>58</v>
      </c>
      <c r="AI488" s="16" t="s">
        <v>49</v>
      </c>
      <c r="AJ488" s="16" t="s">
        <v>50</v>
      </c>
      <c r="AK488" s="16" t="s">
        <v>51</v>
      </c>
      <c r="AL488" s="25">
        <v>232000</v>
      </c>
      <c r="AM488" s="43">
        <f t="shared" si="31"/>
        <v>57.253141831238779</v>
      </c>
      <c r="AN488" s="16" t="s">
        <v>328</v>
      </c>
      <c r="AO488" s="16" t="s">
        <v>60</v>
      </c>
    </row>
    <row r="489" spans="1:41" ht="14.5" x14ac:dyDescent="0.35">
      <c r="A489" s="27" t="s">
        <v>1572</v>
      </c>
      <c r="B489" s="16" t="s">
        <v>119</v>
      </c>
      <c r="C489" s="16" t="s">
        <v>120</v>
      </c>
      <c r="D489" s="16" t="s">
        <v>121</v>
      </c>
      <c r="E489" s="16" t="s">
        <v>122</v>
      </c>
      <c r="F489" s="16">
        <v>5</v>
      </c>
      <c r="G489" s="30" t="s">
        <v>1573</v>
      </c>
      <c r="H489" s="16">
        <v>0</v>
      </c>
      <c r="I489" s="16" t="s">
        <v>47</v>
      </c>
      <c r="J489" s="16">
        <v>137.26</v>
      </c>
      <c r="K489" s="16">
        <v>2002</v>
      </c>
      <c r="L489" s="16">
        <v>147</v>
      </c>
      <c r="M489" s="8">
        <v>82</v>
      </c>
      <c r="N489" s="21">
        <v>45283</v>
      </c>
      <c r="O489" s="7">
        <f t="shared" si="28"/>
        <v>23</v>
      </c>
      <c r="P489" s="22">
        <f t="shared" si="29"/>
        <v>9</v>
      </c>
      <c r="Q489" s="22">
        <f t="shared" si="30"/>
        <v>31</v>
      </c>
      <c r="R489" s="16">
        <v>33</v>
      </c>
      <c r="S489">
        <v>7.1235987719535903</v>
      </c>
      <c r="T489">
        <v>-73.110065927529504</v>
      </c>
      <c r="U489" s="22">
        <v>16499</v>
      </c>
      <c r="V489" s="22">
        <v>15792</v>
      </c>
      <c r="W489" s="25">
        <v>10160</v>
      </c>
      <c r="X489" s="24">
        <v>10668</v>
      </c>
      <c r="Y489" s="24">
        <v>167625</v>
      </c>
      <c r="Z489" s="24">
        <v>168461</v>
      </c>
      <c r="AA489" s="24">
        <v>1127</v>
      </c>
      <c r="AB489" s="24">
        <v>6947</v>
      </c>
      <c r="AC489" s="24">
        <v>64169</v>
      </c>
      <c r="AD489" s="24">
        <v>63005</v>
      </c>
      <c r="AE489" s="24">
        <v>8622</v>
      </c>
      <c r="AF489" s="24">
        <v>8714</v>
      </c>
      <c r="AG489" s="17">
        <v>0</v>
      </c>
      <c r="AH489" s="16" t="s">
        <v>136</v>
      </c>
      <c r="AI489" s="16" t="s">
        <v>49</v>
      </c>
      <c r="AJ489" s="16" t="s">
        <v>50</v>
      </c>
      <c r="AK489" s="16" t="s">
        <v>51</v>
      </c>
      <c r="AL489" s="25">
        <v>232000</v>
      </c>
      <c r="AM489" s="43">
        <f t="shared" si="31"/>
        <v>62.815095439312259</v>
      </c>
      <c r="AN489" s="16" t="s">
        <v>539</v>
      </c>
      <c r="AO489" s="16" t="s">
        <v>60</v>
      </c>
    </row>
    <row r="490" spans="1:41" ht="14.5" x14ac:dyDescent="0.35">
      <c r="A490" s="27" t="s">
        <v>1574</v>
      </c>
      <c r="B490" s="16" t="s">
        <v>183</v>
      </c>
      <c r="C490" s="16" t="s">
        <v>184</v>
      </c>
      <c r="D490" s="16" t="s">
        <v>836</v>
      </c>
      <c r="E490" s="16" t="s">
        <v>837</v>
      </c>
      <c r="F490" s="16">
        <v>4</v>
      </c>
      <c r="G490" s="30" t="s">
        <v>1575</v>
      </c>
      <c r="H490" s="16">
        <v>0</v>
      </c>
      <c r="I490" s="16" t="s">
        <v>102</v>
      </c>
      <c r="J490" s="16">
        <v>220.17</v>
      </c>
      <c r="K490" s="16">
        <v>904</v>
      </c>
      <c r="L490" s="16">
        <v>413</v>
      </c>
      <c r="M490" s="8">
        <v>114</v>
      </c>
      <c r="N490" s="21">
        <v>45617</v>
      </c>
      <c r="O490" s="7">
        <f t="shared" si="28"/>
        <v>21</v>
      </c>
      <c r="P490" s="22">
        <f t="shared" si="29"/>
        <v>10</v>
      </c>
      <c r="Q490" s="22">
        <f t="shared" si="30"/>
        <v>30</v>
      </c>
      <c r="R490" s="16">
        <v>22</v>
      </c>
      <c r="S490">
        <v>11.004223322147499</v>
      </c>
      <c r="T490">
        <v>-74.951236609185301</v>
      </c>
      <c r="U490" s="22">
        <v>9882</v>
      </c>
      <c r="V490" s="22">
        <v>8707.8333330000005</v>
      </c>
      <c r="W490" s="25">
        <v>18201</v>
      </c>
      <c r="X490" s="24">
        <v>17799</v>
      </c>
      <c r="Y490" s="24">
        <v>179865</v>
      </c>
      <c r="Z490" s="24">
        <v>154987</v>
      </c>
      <c r="AA490" s="42">
        <v>-3673</v>
      </c>
      <c r="AB490" s="42">
        <v>-7356</v>
      </c>
      <c r="AC490" s="24">
        <v>58911</v>
      </c>
      <c r="AD490" s="24">
        <v>51300</v>
      </c>
      <c r="AE490" s="24">
        <v>6838</v>
      </c>
      <c r="AF490" s="24">
        <v>6914</v>
      </c>
      <c r="AG490" s="17">
        <v>0</v>
      </c>
      <c r="AH490" s="16" t="s">
        <v>136</v>
      </c>
      <c r="AI490" s="16" t="s">
        <v>49</v>
      </c>
      <c r="AJ490" s="16" t="s">
        <v>76</v>
      </c>
      <c r="AK490" s="16" t="s">
        <v>51</v>
      </c>
      <c r="AL490" s="25">
        <v>241405</v>
      </c>
      <c r="AM490" s="43">
        <f t="shared" si="31"/>
        <v>31.057818958077849</v>
      </c>
      <c r="AN490" s="16" t="s">
        <v>165</v>
      </c>
      <c r="AO490" s="16" t="s">
        <v>60</v>
      </c>
    </row>
    <row r="491" spans="1:41" ht="14.5" x14ac:dyDescent="0.35">
      <c r="A491" s="27" t="s">
        <v>1576</v>
      </c>
      <c r="B491" s="16" t="s">
        <v>42</v>
      </c>
      <c r="C491" s="16" t="s">
        <v>43</v>
      </c>
      <c r="D491" s="16" t="s">
        <v>44</v>
      </c>
      <c r="E491" s="16" t="s">
        <v>344</v>
      </c>
      <c r="F491" s="16">
        <v>3</v>
      </c>
      <c r="G491" s="30" t="s">
        <v>1577</v>
      </c>
      <c r="H491" s="16">
        <v>0</v>
      </c>
      <c r="I491" s="16" t="s">
        <v>47</v>
      </c>
      <c r="J491" s="16">
        <v>120.61</v>
      </c>
      <c r="K491" s="16">
        <v>723</v>
      </c>
      <c r="L491" s="16">
        <v>1289</v>
      </c>
      <c r="M491" s="8">
        <v>0</v>
      </c>
      <c r="N491" s="21">
        <v>40123</v>
      </c>
      <c r="O491" s="7">
        <f t="shared" si="28"/>
        <v>6</v>
      </c>
      <c r="P491" s="22">
        <f t="shared" si="29"/>
        <v>25</v>
      </c>
      <c r="Q491" s="22">
        <f t="shared" si="30"/>
        <v>30</v>
      </c>
      <c r="R491" s="16">
        <v>115</v>
      </c>
      <c r="S491">
        <v>4.70458136275822</v>
      </c>
      <c r="T491">
        <v>-74.103408092737695</v>
      </c>
      <c r="U491" s="22">
        <v>25908</v>
      </c>
      <c r="V491" s="22">
        <v>25775.333330000001</v>
      </c>
      <c r="W491" s="25">
        <v>11111</v>
      </c>
      <c r="X491" s="24">
        <v>11435</v>
      </c>
      <c r="Y491" s="24">
        <v>287862</v>
      </c>
      <c r="Z491" s="24">
        <v>294742</v>
      </c>
      <c r="AA491" s="24">
        <v>-1888</v>
      </c>
      <c r="AB491" s="24">
        <v>16090</v>
      </c>
      <c r="AC491" s="24">
        <v>90900</v>
      </c>
      <c r="AD491" s="24">
        <v>101642</v>
      </c>
      <c r="AE491" s="24">
        <v>19910</v>
      </c>
      <c r="AF491" s="24">
        <v>19520</v>
      </c>
      <c r="AG491" s="17">
        <v>0</v>
      </c>
      <c r="AH491" s="16" t="s">
        <v>58</v>
      </c>
      <c r="AI491" s="16" t="s">
        <v>49</v>
      </c>
      <c r="AJ491" s="16" t="s">
        <v>50</v>
      </c>
      <c r="AK491" s="16" t="s">
        <v>51</v>
      </c>
      <c r="AL491" s="25">
        <v>232000</v>
      </c>
      <c r="AM491" s="43">
        <f t="shared" si="31"/>
        <v>165.07752259348314</v>
      </c>
      <c r="AN491" s="16" t="s">
        <v>1578</v>
      </c>
      <c r="AO491" s="16" t="s">
        <v>60</v>
      </c>
    </row>
    <row r="492" spans="1:41" ht="14.5" x14ac:dyDescent="0.35">
      <c r="A492" s="27" t="s">
        <v>1579</v>
      </c>
      <c r="B492" s="16" t="s">
        <v>55</v>
      </c>
      <c r="C492" s="16" t="s">
        <v>43</v>
      </c>
      <c r="D492" s="16" t="s">
        <v>44</v>
      </c>
      <c r="E492" s="16" t="s">
        <v>1173</v>
      </c>
      <c r="F492" s="16">
        <v>3</v>
      </c>
      <c r="G492" s="30" t="s">
        <v>1580</v>
      </c>
      <c r="H492" s="16">
        <v>0</v>
      </c>
      <c r="I492" s="16" t="s">
        <v>47</v>
      </c>
      <c r="J492" s="16">
        <v>104.77</v>
      </c>
      <c r="K492" s="16">
        <v>1395</v>
      </c>
      <c r="L492" s="16">
        <v>1749</v>
      </c>
      <c r="M492" s="8">
        <v>71</v>
      </c>
      <c r="N492" s="21">
        <v>45138</v>
      </c>
      <c r="O492" s="7">
        <f t="shared" si="28"/>
        <v>31</v>
      </c>
      <c r="P492" s="22">
        <f t="shared" si="29"/>
        <v>1</v>
      </c>
      <c r="Q492" s="22">
        <f t="shared" si="30"/>
        <v>31</v>
      </c>
      <c r="R492" s="16">
        <v>38</v>
      </c>
      <c r="S492">
        <v>4.58923270275936</v>
      </c>
      <c r="T492">
        <v>-74.109255591811703</v>
      </c>
      <c r="U492" s="22">
        <v>16560</v>
      </c>
      <c r="V492" s="22">
        <v>16311.333329999999</v>
      </c>
      <c r="W492" s="25">
        <v>12360</v>
      </c>
      <c r="X492" s="24">
        <v>12671</v>
      </c>
      <c r="Y492" s="24">
        <v>204688</v>
      </c>
      <c r="Z492" s="24">
        <v>206684</v>
      </c>
      <c r="AA492" s="24">
        <v>4901</v>
      </c>
      <c r="AB492" s="24">
        <v>6776</v>
      </c>
      <c r="AC492" s="24">
        <v>66460</v>
      </c>
      <c r="AD492" s="24">
        <v>66425</v>
      </c>
      <c r="AE492" s="24">
        <v>10874</v>
      </c>
      <c r="AF492" s="24">
        <v>10640</v>
      </c>
      <c r="AG492" s="17">
        <v>0</v>
      </c>
      <c r="AH492" s="16" t="s">
        <v>58</v>
      </c>
      <c r="AI492" s="16" t="s">
        <v>49</v>
      </c>
      <c r="AJ492" s="16" t="s">
        <v>50</v>
      </c>
      <c r="AK492" s="16" t="s">
        <v>51</v>
      </c>
      <c r="AL492" s="25">
        <v>232000</v>
      </c>
      <c r="AM492" s="43">
        <f t="shared" si="31"/>
        <v>103.78925264865897</v>
      </c>
      <c r="AN492" s="16" t="s">
        <v>379</v>
      </c>
      <c r="AO492" s="16" t="s">
        <v>60</v>
      </c>
    </row>
    <row r="493" spans="1:41" ht="14.5" x14ac:dyDescent="0.35">
      <c r="A493" s="27" t="s">
        <v>1581</v>
      </c>
      <c r="B493" s="16" t="s">
        <v>55</v>
      </c>
      <c r="C493" s="16" t="s">
        <v>43</v>
      </c>
      <c r="D493" s="16" t="s">
        <v>44</v>
      </c>
      <c r="E493" s="16" t="s">
        <v>79</v>
      </c>
      <c r="F493" s="16">
        <v>3</v>
      </c>
      <c r="G493" s="30" t="s">
        <v>1582</v>
      </c>
      <c r="H493" s="16">
        <v>0</v>
      </c>
      <c r="I493" s="16" t="s">
        <v>47</v>
      </c>
      <c r="J493" s="16">
        <v>294.2</v>
      </c>
      <c r="K493" s="16">
        <v>677</v>
      </c>
      <c r="L493" s="16">
        <v>3188</v>
      </c>
      <c r="M493" s="8">
        <v>0</v>
      </c>
      <c r="N493" s="21">
        <v>41151</v>
      </c>
      <c r="O493" s="7">
        <f t="shared" si="28"/>
        <v>30</v>
      </c>
      <c r="P493" s="22">
        <f t="shared" si="29"/>
        <v>2</v>
      </c>
      <c r="Q493" s="22">
        <f t="shared" si="30"/>
        <v>31</v>
      </c>
      <c r="R493" s="16">
        <v>116</v>
      </c>
      <c r="S493">
        <v>4.6017553101901303</v>
      </c>
      <c r="T493">
        <v>-74.071290862347396</v>
      </c>
      <c r="U493" s="22">
        <v>29337</v>
      </c>
      <c r="V493" s="22">
        <v>28188.333330000001</v>
      </c>
      <c r="W493" s="25">
        <v>10319</v>
      </c>
      <c r="X493" s="24">
        <v>10780</v>
      </c>
      <c r="Y493" s="24">
        <v>302738</v>
      </c>
      <c r="Z493" s="24">
        <v>303876</v>
      </c>
      <c r="AA493" s="24">
        <v>34184</v>
      </c>
      <c r="AB493" s="24">
        <v>28635</v>
      </c>
      <c r="AC493" s="24">
        <v>124703</v>
      </c>
      <c r="AD493" s="24">
        <v>122073</v>
      </c>
      <c r="AE493" s="24">
        <v>26064</v>
      </c>
      <c r="AF493" s="24">
        <v>26279</v>
      </c>
      <c r="AG493" s="17">
        <v>0</v>
      </c>
      <c r="AH493" s="16" t="s">
        <v>58</v>
      </c>
      <c r="AI493" s="16" t="s">
        <v>49</v>
      </c>
      <c r="AJ493" s="16" t="s">
        <v>50</v>
      </c>
      <c r="AK493" s="16" t="s">
        <v>51</v>
      </c>
      <c r="AL493" s="25">
        <v>204160</v>
      </c>
      <c r="AM493" s="43">
        <f t="shared" si="31"/>
        <v>88.592794017675061</v>
      </c>
      <c r="AN493" s="16">
        <v>0</v>
      </c>
      <c r="AO493" s="16" t="s">
        <v>60</v>
      </c>
    </row>
    <row r="494" spans="1:41" ht="14.5" x14ac:dyDescent="0.35">
      <c r="A494" s="27" t="s">
        <v>1583</v>
      </c>
      <c r="B494" s="16" t="s">
        <v>55</v>
      </c>
      <c r="C494" s="16" t="s">
        <v>43</v>
      </c>
      <c r="D494" s="16" t="s">
        <v>44</v>
      </c>
      <c r="E494" s="16" t="s">
        <v>201</v>
      </c>
      <c r="F494" s="16">
        <v>3</v>
      </c>
      <c r="G494" s="30" t="s">
        <v>1584</v>
      </c>
      <c r="H494" s="16">
        <v>0</v>
      </c>
      <c r="I494" s="16" t="s">
        <v>47</v>
      </c>
      <c r="J494" s="16">
        <v>161.66999999999999</v>
      </c>
      <c r="K494" s="16">
        <v>2069</v>
      </c>
      <c r="L494" s="16">
        <v>0</v>
      </c>
      <c r="M494" s="8">
        <v>52</v>
      </c>
      <c r="N494" s="21">
        <v>45043</v>
      </c>
      <c r="O494" s="7">
        <f t="shared" si="28"/>
        <v>27</v>
      </c>
      <c r="P494" s="22">
        <f t="shared" si="29"/>
        <v>4</v>
      </c>
      <c r="Q494" s="22">
        <f t="shared" si="30"/>
        <v>30</v>
      </c>
      <c r="R494" s="16">
        <v>41</v>
      </c>
      <c r="S494">
        <v>4.6137493428139003</v>
      </c>
      <c r="T494">
        <v>-74.129838604301199</v>
      </c>
      <c r="U494" s="22">
        <v>11325</v>
      </c>
      <c r="V494" s="22">
        <v>11152.5</v>
      </c>
      <c r="W494" s="25">
        <v>14235</v>
      </c>
      <c r="X494" s="24">
        <v>14041</v>
      </c>
      <c r="Y494" s="24">
        <v>161213</v>
      </c>
      <c r="Z494" s="24">
        <v>156593</v>
      </c>
      <c r="AA494" s="24">
        <v>-6682</v>
      </c>
      <c r="AB494" s="42">
        <v>-610</v>
      </c>
      <c r="AC494" s="24">
        <v>51110</v>
      </c>
      <c r="AD494" s="24">
        <v>49896</v>
      </c>
      <c r="AE494" s="24">
        <v>9062</v>
      </c>
      <c r="AF494" s="24">
        <v>9135</v>
      </c>
      <c r="AG494" s="17">
        <v>0</v>
      </c>
      <c r="AH494" s="16" t="s">
        <v>136</v>
      </c>
      <c r="AI494" s="16" t="s">
        <v>49</v>
      </c>
      <c r="AJ494" s="16" t="s">
        <v>50</v>
      </c>
      <c r="AK494" s="16" t="s">
        <v>51</v>
      </c>
      <c r="AL494" s="25">
        <v>232000</v>
      </c>
      <c r="AM494" s="43">
        <f t="shared" si="31"/>
        <v>56.052452526752027</v>
      </c>
      <c r="AN494" s="16">
        <v>0</v>
      </c>
      <c r="AO494" s="16" t="s">
        <v>60</v>
      </c>
    </row>
    <row r="495" spans="1:41" ht="14.5" x14ac:dyDescent="0.35">
      <c r="A495" s="27" t="s">
        <v>1585</v>
      </c>
      <c r="B495" s="16" t="s">
        <v>42</v>
      </c>
      <c r="C495" s="16" t="s">
        <v>43</v>
      </c>
      <c r="D495" s="16" t="s">
        <v>44</v>
      </c>
      <c r="E495" s="16" t="s">
        <v>254</v>
      </c>
      <c r="F495" s="16">
        <v>4</v>
      </c>
      <c r="G495" s="30" t="s">
        <v>1586</v>
      </c>
      <c r="H495" s="16">
        <v>0</v>
      </c>
      <c r="I495" s="16" t="s">
        <v>102</v>
      </c>
      <c r="J495" s="16">
        <v>116.55</v>
      </c>
      <c r="K495" s="16">
        <v>1414</v>
      </c>
      <c r="L495" s="16">
        <v>770</v>
      </c>
      <c r="M495" s="8">
        <v>136</v>
      </c>
      <c r="N495" s="21">
        <v>44433</v>
      </c>
      <c r="O495" s="7">
        <f t="shared" si="28"/>
        <v>25</v>
      </c>
      <c r="P495" s="22">
        <f t="shared" si="29"/>
        <v>7</v>
      </c>
      <c r="Q495" s="22">
        <f t="shared" si="30"/>
        <v>31</v>
      </c>
      <c r="R495" s="16">
        <v>61</v>
      </c>
      <c r="S495">
        <v>4.6993925833055403</v>
      </c>
      <c r="T495">
        <v>-74.0532275166251</v>
      </c>
      <c r="U495" s="22">
        <v>12419</v>
      </c>
      <c r="V495" s="22">
        <v>13298.166670000001</v>
      </c>
      <c r="W495" s="25">
        <v>11703</v>
      </c>
      <c r="X495" s="24">
        <v>11591</v>
      </c>
      <c r="Y495" s="24">
        <v>145338</v>
      </c>
      <c r="Z495" s="24">
        <v>154141</v>
      </c>
      <c r="AA495" s="24">
        <v>7704</v>
      </c>
      <c r="AB495" s="24">
        <v>11833</v>
      </c>
      <c r="AC495" s="24">
        <v>52238</v>
      </c>
      <c r="AD495" s="24">
        <v>58066</v>
      </c>
      <c r="AE495" s="24">
        <v>9254</v>
      </c>
      <c r="AF495" s="24">
        <v>9055</v>
      </c>
      <c r="AG495" s="17">
        <v>0</v>
      </c>
      <c r="AH495" s="16" t="s">
        <v>136</v>
      </c>
      <c r="AI495" s="16" t="s">
        <v>49</v>
      </c>
      <c r="AJ495" s="16" t="s">
        <v>76</v>
      </c>
      <c r="AK495" s="16" t="s">
        <v>51</v>
      </c>
      <c r="AL495" s="25">
        <v>241405</v>
      </c>
      <c r="AM495" s="43">
        <f t="shared" si="31"/>
        <v>79.3993993993994</v>
      </c>
      <c r="AN495" s="16" t="s">
        <v>234</v>
      </c>
      <c r="AO495" s="16" t="s">
        <v>98</v>
      </c>
    </row>
    <row r="496" spans="1:41" ht="14.5" x14ac:dyDescent="0.35">
      <c r="A496" s="27" t="s">
        <v>1587</v>
      </c>
      <c r="B496" s="16" t="s">
        <v>119</v>
      </c>
      <c r="C496" s="16" t="s">
        <v>120</v>
      </c>
      <c r="D496" s="16" t="s">
        <v>738</v>
      </c>
      <c r="E496" s="16" t="s">
        <v>739</v>
      </c>
      <c r="F496" s="16">
        <v>3</v>
      </c>
      <c r="G496" s="30" t="s">
        <v>1588</v>
      </c>
      <c r="H496" s="16">
        <v>0</v>
      </c>
      <c r="I496" s="16" t="s">
        <v>102</v>
      </c>
      <c r="J496" s="16">
        <v>152</v>
      </c>
      <c r="K496" s="16">
        <v>2294</v>
      </c>
      <c r="L496" s="16">
        <v>370</v>
      </c>
      <c r="M496" s="8">
        <v>69</v>
      </c>
      <c r="N496" s="21">
        <v>44951</v>
      </c>
      <c r="O496" s="7">
        <f t="shared" si="28"/>
        <v>25</v>
      </c>
      <c r="P496" s="22">
        <f t="shared" si="29"/>
        <v>7</v>
      </c>
      <c r="Q496" s="22">
        <f t="shared" si="30"/>
        <v>31</v>
      </c>
      <c r="R496" s="16">
        <v>44</v>
      </c>
      <c r="S496">
        <v>7.0592119965810598</v>
      </c>
      <c r="T496">
        <v>-73.161314262545005</v>
      </c>
      <c r="U496" s="22">
        <v>21066</v>
      </c>
      <c r="V496" s="22">
        <v>20309.333330000001</v>
      </c>
      <c r="W496" s="25">
        <v>10685</v>
      </c>
      <c r="X496" s="24">
        <v>11519</v>
      </c>
      <c r="Y496" s="24">
        <v>225099</v>
      </c>
      <c r="Z496" s="24">
        <v>233944</v>
      </c>
      <c r="AA496" s="24">
        <v>13590</v>
      </c>
      <c r="AB496" s="24">
        <v>19783</v>
      </c>
      <c r="AC496" s="24">
        <v>77148</v>
      </c>
      <c r="AD496" s="24">
        <v>78032</v>
      </c>
      <c r="AE496" s="24">
        <v>6783</v>
      </c>
      <c r="AF496" s="24">
        <v>6859</v>
      </c>
      <c r="AG496" s="17">
        <v>0</v>
      </c>
      <c r="AH496" s="16" t="s">
        <v>136</v>
      </c>
      <c r="AI496" s="16" t="s">
        <v>49</v>
      </c>
      <c r="AJ496" s="16" t="s">
        <v>50</v>
      </c>
      <c r="AK496" s="16" t="s">
        <v>51</v>
      </c>
      <c r="AL496" s="25">
        <v>232000</v>
      </c>
      <c r="AM496" s="43">
        <f t="shared" si="31"/>
        <v>44.625</v>
      </c>
      <c r="AN496" s="16" t="s">
        <v>223</v>
      </c>
      <c r="AO496" s="16" t="s">
        <v>60</v>
      </c>
    </row>
    <row r="497" spans="1:41" ht="14.5" x14ac:dyDescent="0.35">
      <c r="A497" s="27" t="s">
        <v>1589</v>
      </c>
      <c r="B497" s="16" t="s">
        <v>105</v>
      </c>
      <c r="C497" s="16" t="s">
        <v>157</v>
      </c>
      <c r="D497" s="16" t="s">
        <v>158</v>
      </c>
      <c r="E497" s="16" t="s">
        <v>596</v>
      </c>
      <c r="F497" s="16">
        <v>5</v>
      </c>
      <c r="G497" s="30" t="s">
        <v>1590</v>
      </c>
      <c r="H497" s="16" t="s">
        <v>1591</v>
      </c>
      <c r="I497" s="16" t="s">
        <v>102</v>
      </c>
      <c r="J497" s="16">
        <v>135.94999999999999</v>
      </c>
      <c r="K497" s="16">
        <v>53</v>
      </c>
      <c r="L497" s="16">
        <v>9050</v>
      </c>
      <c r="M497" s="8">
        <v>213</v>
      </c>
      <c r="N497" s="21">
        <v>46232</v>
      </c>
      <c r="O497" s="7">
        <f t="shared" si="28"/>
        <v>29</v>
      </c>
      <c r="P497" s="22">
        <f t="shared" si="29"/>
        <v>3</v>
      </c>
      <c r="Q497" s="22">
        <f t="shared" si="30"/>
        <v>31</v>
      </c>
      <c r="R497" s="16">
        <v>2</v>
      </c>
      <c r="S497">
        <v>6.2304895648872503</v>
      </c>
      <c r="T497">
        <v>-75.573571012254504</v>
      </c>
      <c r="U497" s="22">
        <v>9521</v>
      </c>
      <c r="V497" s="22">
        <v>5248</v>
      </c>
      <c r="W497" s="25">
        <v>10670</v>
      </c>
      <c r="X497" s="24">
        <v>10643</v>
      </c>
      <c r="Y497" s="24">
        <v>101590</v>
      </c>
      <c r="Z497" s="24">
        <v>55853</v>
      </c>
      <c r="AA497" s="42">
        <v>-41</v>
      </c>
      <c r="AB497" s="42">
        <v>-5409</v>
      </c>
      <c r="AC497" s="24">
        <v>40208</v>
      </c>
      <c r="AD497" s="24">
        <v>23825</v>
      </c>
      <c r="AE497" s="24">
        <v>3820</v>
      </c>
      <c r="AF497" s="24">
        <v>3446</v>
      </c>
      <c r="AG497" s="17">
        <v>0</v>
      </c>
      <c r="AH497" s="16" t="s">
        <v>136</v>
      </c>
      <c r="AI497" s="16" t="s">
        <v>49</v>
      </c>
      <c r="AJ497" s="16" t="s">
        <v>124</v>
      </c>
      <c r="AK497" s="16" t="s">
        <v>65</v>
      </c>
      <c r="AL497" s="25">
        <v>232000</v>
      </c>
      <c r="AM497" s="43">
        <f t="shared" si="31"/>
        <v>28.098565649135715</v>
      </c>
      <c r="AN497" s="16" t="s">
        <v>165</v>
      </c>
      <c r="AO497" s="16" t="s">
        <v>60</v>
      </c>
    </row>
    <row r="498" spans="1:41" ht="14.5" x14ac:dyDescent="0.35">
      <c r="A498" s="27" t="s">
        <v>1592</v>
      </c>
      <c r="B498" s="16" t="s">
        <v>105</v>
      </c>
      <c r="C498" s="16" t="s">
        <v>112</v>
      </c>
      <c r="D498" s="16" t="s">
        <v>113</v>
      </c>
      <c r="E498" s="16" t="s">
        <v>735</v>
      </c>
      <c r="F498" s="16">
        <v>5</v>
      </c>
      <c r="G498" s="30" t="s">
        <v>1593</v>
      </c>
      <c r="H498" s="16" t="s">
        <v>1594</v>
      </c>
      <c r="I498" s="16" t="s">
        <v>47</v>
      </c>
      <c r="J498" s="16">
        <v>104.41</v>
      </c>
      <c r="K498" s="16">
        <v>5362</v>
      </c>
      <c r="L498" s="16">
        <v>480</v>
      </c>
      <c r="M498" s="8">
        <v>48</v>
      </c>
      <c r="N498" s="21">
        <v>45679</v>
      </c>
      <c r="O498" s="7">
        <f t="shared" si="28"/>
        <v>22</v>
      </c>
      <c r="P498" s="22">
        <f t="shared" si="29"/>
        <v>10</v>
      </c>
      <c r="Q498" s="22">
        <f t="shared" si="30"/>
        <v>31</v>
      </c>
      <c r="R498" s="16">
        <v>20</v>
      </c>
      <c r="S498">
        <v>3.3892104262586602</v>
      </c>
      <c r="T498">
        <v>-76.532751000000005</v>
      </c>
      <c r="U498" s="22">
        <v>17985</v>
      </c>
      <c r="V498" s="22">
        <v>15795.833329999999</v>
      </c>
      <c r="W498" s="25">
        <v>15394</v>
      </c>
      <c r="X498" s="24">
        <v>15121</v>
      </c>
      <c r="Y498" s="24">
        <v>276860</v>
      </c>
      <c r="Z498" s="24">
        <v>238854</v>
      </c>
      <c r="AA498" s="24">
        <v>34619</v>
      </c>
      <c r="AB498" s="24">
        <v>25261</v>
      </c>
      <c r="AC498" s="24">
        <v>111225</v>
      </c>
      <c r="AD498" s="24">
        <v>93295</v>
      </c>
      <c r="AE498" s="24">
        <v>11046</v>
      </c>
      <c r="AF498" s="24">
        <v>11158</v>
      </c>
      <c r="AG498" s="17">
        <v>0</v>
      </c>
      <c r="AH498" s="16" t="s">
        <v>58</v>
      </c>
      <c r="AI498" s="16" t="s">
        <v>49</v>
      </c>
      <c r="AJ498" s="16" t="s">
        <v>50</v>
      </c>
      <c r="AK498" s="16" t="s">
        <v>51</v>
      </c>
      <c r="AL498" s="25">
        <v>232000</v>
      </c>
      <c r="AM498" s="43">
        <f t="shared" si="31"/>
        <v>105.79446413178815</v>
      </c>
      <c r="AN498" s="16">
        <v>0</v>
      </c>
      <c r="AO498" s="16" t="s">
        <v>98</v>
      </c>
    </row>
    <row r="499" spans="1:41" ht="14.5" x14ac:dyDescent="0.35">
      <c r="A499" s="27" t="s">
        <v>1595</v>
      </c>
      <c r="B499" s="16" t="s">
        <v>119</v>
      </c>
      <c r="C499" s="16" t="s">
        <v>120</v>
      </c>
      <c r="D499" s="16" t="s">
        <v>121</v>
      </c>
      <c r="E499" s="16" t="s">
        <v>122</v>
      </c>
      <c r="F499" s="16">
        <v>3</v>
      </c>
      <c r="G499" s="30" t="s">
        <v>1596</v>
      </c>
      <c r="H499" s="16">
        <v>0</v>
      </c>
      <c r="I499" s="16" t="s">
        <v>47</v>
      </c>
      <c r="J499" s="16">
        <v>92.95</v>
      </c>
      <c r="K499" s="16">
        <v>676</v>
      </c>
      <c r="L499" s="16">
        <v>568</v>
      </c>
      <c r="M499" s="8">
        <v>55</v>
      </c>
      <c r="N499" s="21">
        <v>44923</v>
      </c>
      <c r="O499" s="7">
        <f t="shared" si="28"/>
        <v>28</v>
      </c>
      <c r="P499" s="22">
        <f t="shared" si="29"/>
        <v>4</v>
      </c>
      <c r="Q499" s="22">
        <f t="shared" si="30"/>
        <v>31</v>
      </c>
      <c r="R499" s="16">
        <v>45</v>
      </c>
      <c r="S499">
        <v>7.1290300686526997</v>
      </c>
      <c r="T499">
        <v>-73.1154916656062</v>
      </c>
      <c r="U499" s="22">
        <v>18462</v>
      </c>
      <c r="V499" s="22">
        <v>16932.333330000001</v>
      </c>
      <c r="W499" s="25">
        <v>10120</v>
      </c>
      <c r="X499" s="24">
        <v>10636</v>
      </c>
      <c r="Y499" s="24">
        <v>186831</v>
      </c>
      <c r="Z499" s="24">
        <v>180094</v>
      </c>
      <c r="AA499" s="24">
        <v>18089</v>
      </c>
      <c r="AB499" s="24">
        <v>14939</v>
      </c>
      <c r="AC499" s="24">
        <v>73896</v>
      </c>
      <c r="AD499" s="24">
        <v>70475</v>
      </c>
      <c r="AE499" s="24">
        <v>8843</v>
      </c>
      <c r="AF499" s="24">
        <v>8936</v>
      </c>
      <c r="AG499" s="17">
        <v>0</v>
      </c>
      <c r="AH499" s="16" t="s">
        <v>136</v>
      </c>
      <c r="AI499" s="16" t="s">
        <v>49</v>
      </c>
      <c r="AJ499" s="16" t="s">
        <v>50</v>
      </c>
      <c r="AK499" s="16" t="s">
        <v>51</v>
      </c>
      <c r="AL499" s="25">
        <v>232000</v>
      </c>
      <c r="AM499" s="43">
        <f t="shared" si="31"/>
        <v>95.137170521785904</v>
      </c>
      <c r="AN499" s="16" t="s">
        <v>223</v>
      </c>
      <c r="AO499" s="16" t="s">
        <v>53</v>
      </c>
    </row>
    <row r="500" spans="1:41" ht="14.5" x14ac:dyDescent="0.35">
      <c r="A500" s="27" t="s">
        <v>1597</v>
      </c>
      <c r="B500" s="16" t="s">
        <v>55</v>
      </c>
      <c r="C500" s="16" t="s">
        <v>43</v>
      </c>
      <c r="D500" s="16" t="s">
        <v>44</v>
      </c>
      <c r="E500" s="16" t="s">
        <v>152</v>
      </c>
      <c r="F500" s="16">
        <v>3</v>
      </c>
      <c r="G500" s="30" t="s">
        <v>1598</v>
      </c>
      <c r="H500" s="16">
        <v>0</v>
      </c>
      <c r="I500" s="16" t="s">
        <v>47</v>
      </c>
      <c r="J500" s="16">
        <v>98.98</v>
      </c>
      <c r="K500" s="16">
        <v>1596</v>
      </c>
      <c r="L500" s="16">
        <v>5136</v>
      </c>
      <c r="M500" s="8">
        <v>58</v>
      </c>
      <c r="N500" s="21">
        <v>45148</v>
      </c>
      <c r="O500" s="7">
        <f t="shared" si="28"/>
        <v>10</v>
      </c>
      <c r="P500" s="22">
        <f t="shared" si="29"/>
        <v>22</v>
      </c>
      <c r="Q500" s="22">
        <f t="shared" si="30"/>
        <v>31</v>
      </c>
      <c r="R500" s="16">
        <v>37</v>
      </c>
      <c r="S500">
        <v>4.6396356194913499</v>
      </c>
      <c r="T500">
        <v>-74.067394082815994</v>
      </c>
      <c r="U500" s="22">
        <v>20831</v>
      </c>
      <c r="V500" s="22">
        <v>20392.333330000001</v>
      </c>
      <c r="W500" s="25">
        <v>11290</v>
      </c>
      <c r="X500" s="24">
        <v>11391</v>
      </c>
      <c r="Y500" s="24">
        <v>235187</v>
      </c>
      <c r="Z500" s="24">
        <v>232289</v>
      </c>
      <c r="AA500" s="24">
        <v>30429</v>
      </c>
      <c r="AB500" s="24">
        <v>27354</v>
      </c>
      <c r="AC500" s="24">
        <v>88795</v>
      </c>
      <c r="AD500" s="24">
        <v>84244</v>
      </c>
      <c r="AE500" s="24">
        <v>7854</v>
      </c>
      <c r="AF500" s="24">
        <v>7671</v>
      </c>
      <c r="AG500" s="17">
        <v>0</v>
      </c>
      <c r="AH500" s="16" t="s">
        <v>58</v>
      </c>
      <c r="AI500" s="16" t="s">
        <v>49</v>
      </c>
      <c r="AJ500" s="16" t="s">
        <v>124</v>
      </c>
      <c r="AK500" s="16" t="s">
        <v>51</v>
      </c>
      <c r="AL500" s="25">
        <v>204160</v>
      </c>
      <c r="AM500" s="43">
        <f t="shared" si="31"/>
        <v>79.349363507779344</v>
      </c>
      <c r="AN500" s="16" t="s">
        <v>91</v>
      </c>
      <c r="AO500" s="16" t="s">
        <v>60</v>
      </c>
    </row>
    <row r="501" spans="1:41" ht="14.5" x14ac:dyDescent="0.35">
      <c r="A501" s="27" t="s">
        <v>1599</v>
      </c>
      <c r="B501" s="16" t="s">
        <v>42</v>
      </c>
      <c r="C501" s="16" t="s">
        <v>43</v>
      </c>
      <c r="D501" s="16" t="s">
        <v>44</v>
      </c>
      <c r="E501" s="16" t="s">
        <v>68</v>
      </c>
      <c r="F501" s="16">
        <v>5</v>
      </c>
      <c r="G501" s="30" t="s">
        <v>1600</v>
      </c>
      <c r="H501" s="16">
        <v>0</v>
      </c>
      <c r="I501" s="16" t="s">
        <v>102</v>
      </c>
      <c r="J501" s="16">
        <v>138.75</v>
      </c>
      <c r="K501" s="16">
        <v>1306</v>
      </c>
      <c r="L501" s="16">
        <v>5560</v>
      </c>
      <c r="M501" s="8">
        <v>195</v>
      </c>
      <c r="N501" s="21">
        <v>46112</v>
      </c>
      <c r="O501" s="7">
        <f t="shared" si="28"/>
        <v>31</v>
      </c>
      <c r="P501" s="22">
        <f t="shared" si="29"/>
        <v>1</v>
      </c>
      <c r="Q501" s="22">
        <f t="shared" si="30"/>
        <v>31</v>
      </c>
      <c r="R501" s="16">
        <v>6</v>
      </c>
      <c r="S501">
        <v>4.6624103775116099</v>
      </c>
      <c r="T501">
        <v>-74.059184153096993</v>
      </c>
      <c r="U501" s="22">
        <v>17793</v>
      </c>
      <c r="V501" s="22">
        <v>12368.5</v>
      </c>
      <c r="W501" s="25">
        <v>9961</v>
      </c>
      <c r="X501" s="24">
        <v>10209</v>
      </c>
      <c r="Y501" s="24">
        <v>177237</v>
      </c>
      <c r="Z501" s="24">
        <v>126268</v>
      </c>
      <c r="AA501" s="24">
        <v>13765</v>
      </c>
      <c r="AB501" s="42">
        <v>1109</v>
      </c>
      <c r="AC501" s="24">
        <v>69121</v>
      </c>
      <c r="AD501" s="24">
        <v>49330</v>
      </c>
      <c r="AE501" s="24">
        <v>12500</v>
      </c>
      <c r="AF501" s="24">
        <v>9792</v>
      </c>
      <c r="AG501" s="17">
        <v>1.4142999999999999</v>
      </c>
      <c r="AH501" s="16" t="s">
        <v>48</v>
      </c>
      <c r="AI501" s="16" t="s">
        <v>49</v>
      </c>
      <c r="AJ501" s="16" t="s">
        <v>124</v>
      </c>
      <c r="AK501" s="16" t="s">
        <v>65</v>
      </c>
      <c r="AL501" s="25">
        <v>241405</v>
      </c>
      <c r="AM501" s="43">
        <f t="shared" si="31"/>
        <v>90.090090090090087</v>
      </c>
      <c r="AN501" s="16" t="s">
        <v>1109</v>
      </c>
      <c r="AO501" s="16" t="s">
        <v>60</v>
      </c>
    </row>
    <row r="502" spans="1:41" ht="14.5" x14ac:dyDescent="0.35">
      <c r="A502" s="27" t="s">
        <v>1601</v>
      </c>
      <c r="B502" s="16" t="s">
        <v>55</v>
      </c>
      <c r="C502" s="16" t="s">
        <v>43</v>
      </c>
      <c r="D502" s="16" t="s">
        <v>44</v>
      </c>
      <c r="E502" s="16" t="s">
        <v>634</v>
      </c>
      <c r="F502" s="16">
        <v>4</v>
      </c>
      <c r="G502" s="30" t="s">
        <v>634</v>
      </c>
      <c r="H502" s="16">
        <v>0</v>
      </c>
      <c r="I502" s="16" t="s">
        <v>47</v>
      </c>
      <c r="J502" s="16">
        <v>97.19</v>
      </c>
      <c r="K502" s="16">
        <v>827</v>
      </c>
      <c r="L502" s="16">
        <v>1374</v>
      </c>
      <c r="M502" s="8">
        <v>0</v>
      </c>
      <c r="N502" s="21">
        <v>44466</v>
      </c>
      <c r="O502" s="7">
        <f t="shared" si="28"/>
        <v>27</v>
      </c>
      <c r="P502" s="22">
        <f t="shared" si="29"/>
        <v>4</v>
      </c>
      <c r="Q502" s="22">
        <f t="shared" si="30"/>
        <v>30</v>
      </c>
      <c r="R502" s="16">
        <v>60</v>
      </c>
      <c r="S502">
        <v>4.6308634603123604</v>
      </c>
      <c r="T502">
        <v>-74.093019732632001</v>
      </c>
      <c r="U502" s="22">
        <v>27483</v>
      </c>
      <c r="V502" s="22">
        <v>26586</v>
      </c>
      <c r="W502" s="25">
        <v>12985</v>
      </c>
      <c r="X502" s="24">
        <v>12672</v>
      </c>
      <c r="Y502" s="24">
        <v>356867</v>
      </c>
      <c r="Z502" s="24">
        <v>336891</v>
      </c>
      <c r="AA502" s="24">
        <v>68766</v>
      </c>
      <c r="AB502" s="24">
        <v>56209</v>
      </c>
      <c r="AC502" s="24">
        <v>142719</v>
      </c>
      <c r="AD502" s="24">
        <v>130907</v>
      </c>
      <c r="AE502" s="24">
        <v>9287</v>
      </c>
      <c r="AF502" s="24">
        <v>9115</v>
      </c>
      <c r="AG502" s="17">
        <v>0</v>
      </c>
      <c r="AH502" s="16" t="s">
        <v>64</v>
      </c>
      <c r="AI502" s="16" t="s">
        <v>49</v>
      </c>
      <c r="AJ502" s="16" t="s">
        <v>50</v>
      </c>
      <c r="AK502" s="16" t="s">
        <v>51</v>
      </c>
      <c r="AL502" s="25">
        <v>232000</v>
      </c>
      <c r="AM502" s="43">
        <f t="shared" si="31"/>
        <v>95.555098261137985</v>
      </c>
      <c r="AN502" s="16" t="s">
        <v>1602</v>
      </c>
      <c r="AO502" s="16" t="s">
        <v>60</v>
      </c>
    </row>
    <row r="503" spans="1:41" ht="14.5" x14ac:dyDescent="0.35">
      <c r="A503" s="27" t="s">
        <v>1603</v>
      </c>
      <c r="B503" s="16" t="s">
        <v>55</v>
      </c>
      <c r="C503" s="16" t="s">
        <v>93</v>
      </c>
      <c r="D503" s="16" t="s">
        <v>194</v>
      </c>
      <c r="E503" s="16" t="s">
        <v>195</v>
      </c>
      <c r="F503" s="16">
        <v>3</v>
      </c>
      <c r="G503" s="30" t="s">
        <v>1604</v>
      </c>
      <c r="H503" s="16">
        <v>0</v>
      </c>
      <c r="I503" s="16" t="s">
        <v>102</v>
      </c>
      <c r="J503" s="16">
        <v>138.83000000000001</v>
      </c>
      <c r="K503" s="16">
        <v>2650</v>
      </c>
      <c r="L503" s="16">
        <v>1140</v>
      </c>
      <c r="M503" s="8">
        <v>122</v>
      </c>
      <c r="N503" s="21">
        <v>45289</v>
      </c>
      <c r="O503" s="7">
        <f t="shared" si="28"/>
        <v>29</v>
      </c>
      <c r="P503" s="22">
        <f t="shared" si="29"/>
        <v>3</v>
      </c>
      <c r="Q503" s="22">
        <f t="shared" si="30"/>
        <v>31</v>
      </c>
      <c r="R503" s="16">
        <v>33</v>
      </c>
      <c r="S503">
        <v>4.7299404314379299</v>
      </c>
      <c r="T503">
        <v>-74.258942800335802</v>
      </c>
      <c r="U503" s="22">
        <v>21687</v>
      </c>
      <c r="V503" s="22">
        <v>21185.5</v>
      </c>
      <c r="W503" s="25">
        <v>15107</v>
      </c>
      <c r="X503" s="24">
        <v>15418</v>
      </c>
      <c r="Y503" s="24">
        <v>327622</v>
      </c>
      <c r="Z503" s="24">
        <v>326642</v>
      </c>
      <c r="AA503" s="24">
        <v>47053</v>
      </c>
      <c r="AB503" s="24">
        <v>41629</v>
      </c>
      <c r="AC503" s="24">
        <v>111906</v>
      </c>
      <c r="AD503" s="24">
        <v>109005</v>
      </c>
      <c r="AE503" s="24">
        <v>8416</v>
      </c>
      <c r="AF503" s="24">
        <v>8506</v>
      </c>
      <c r="AG503" s="17">
        <v>0</v>
      </c>
      <c r="AH503" s="16" t="s">
        <v>58</v>
      </c>
      <c r="AI503" s="16" t="s">
        <v>49</v>
      </c>
      <c r="AJ503" s="16" t="s">
        <v>50</v>
      </c>
      <c r="AK503" s="16" t="s">
        <v>51</v>
      </c>
      <c r="AL503" s="25">
        <v>232000</v>
      </c>
      <c r="AM503" s="43">
        <f t="shared" si="31"/>
        <v>60.620903262983497</v>
      </c>
      <c r="AN503" s="16" t="s">
        <v>234</v>
      </c>
      <c r="AO503" s="16" t="s">
        <v>60</v>
      </c>
    </row>
    <row r="504" spans="1:41" ht="14.5" x14ac:dyDescent="0.35">
      <c r="A504" s="27" t="s">
        <v>1605</v>
      </c>
      <c r="B504" s="16" t="s">
        <v>42</v>
      </c>
      <c r="C504" s="16" t="s">
        <v>43</v>
      </c>
      <c r="D504" s="16" t="s">
        <v>44</v>
      </c>
      <c r="E504" s="16" t="s">
        <v>344</v>
      </c>
      <c r="F504" s="16">
        <v>3</v>
      </c>
      <c r="G504" s="30" t="s">
        <v>1606</v>
      </c>
      <c r="H504" s="16">
        <v>0</v>
      </c>
      <c r="I504" s="16" t="s">
        <v>47</v>
      </c>
      <c r="J504" s="16">
        <v>87.14</v>
      </c>
      <c r="K504" s="16">
        <v>727</v>
      </c>
      <c r="L504" s="16">
        <v>364</v>
      </c>
      <c r="M504" s="8">
        <v>33</v>
      </c>
      <c r="N504" s="21">
        <v>43882</v>
      </c>
      <c r="O504" s="7">
        <f t="shared" si="28"/>
        <v>21</v>
      </c>
      <c r="P504" s="22">
        <f t="shared" si="29"/>
        <v>9</v>
      </c>
      <c r="Q504" s="22">
        <f t="shared" si="30"/>
        <v>29</v>
      </c>
      <c r="R504" s="16">
        <v>79</v>
      </c>
      <c r="S504">
        <v>4.70643791560284</v>
      </c>
      <c r="T504">
        <v>-74.107350204645002</v>
      </c>
      <c r="U504" s="22">
        <v>24114</v>
      </c>
      <c r="V504" s="22">
        <v>23935.333330000001</v>
      </c>
      <c r="W504" s="25">
        <v>11316</v>
      </c>
      <c r="X504" s="24">
        <v>11840</v>
      </c>
      <c r="Y504" s="24">
        <v>272881</v>
      </c>
      <c r="Z504" s="24">
        <v>283402</v>
      </c>
      <c r="AA504" s="24">
        <v>28668</v>
      </c>
      <c r="AB504" s="24">
        <v>28904</v>
      </c>
      <c r="AC504" s="24">
        <v>89182</v>
      </c>
      <c r="AD504" s="24">
        <v>91588</v>
      </c>
      <c r="AE504" s="24">
        <v>10141</v>
      </c>
      <c r="AF504" s="24">
        <v>10245</v>
      </c>
      <c r="AG504" s="17">
        <v>0</v>
      </c>
      <c r="AH504" s="16" t="s">
        <v>82</v>
      </c>
      <c r="AI504" s="16" t="s">
        <v>49</v>
      </c>
      <c r="AJ504" s="16" t="s">
        <v>124</v>
      </c>
      <c r="AK504" s="16" t="s">
        <v>51</v>
      </c>
      <c r="AL504" s="25">
        <v>232000</v>
      </c>
      <c r="AM504" s="43">
        <f t="shared" si="31"/>
        <v>116.37594675235253</v>
      </c>
      <c r="AN504" s="16" t="s">
        <v>1519</v>
      </c>
      <c r="AO504" s="16" t="s">
        <v>53</v>
      </c>
    </row>
    <row r="505" spans="1:41" ht="14.5" x14ac:dyDescent="0.35">
      <c r="A505" s="27" t="s">
        <v>1607</v>
      </c>
      <c r="B505" s="16" t="s">
        <v>55</v>
      </c>
      <c r="C505" s="16" t="s">
        <v>43</v>
      </c>
      <c r="D505" s="16" t="s">
        <v>44</v>
      </c>
      <c r="E505" s="16" t="s">
        <v>1608</v>
      </c>
      <c r="F505" s="16">
        <v>3</v>
      </c>
      <c r="G505" s="30" t="s">
        <v>1608</v>
      </c>
      <c r="H505" s="16">
        <v>0</v>
      </c>
      <c r="I505" s="16" t="s">
        <v>102</v>
      </c>
      <c r="J505" s="16">
        <v>121.44</v>
      </c>
      <c r="K505" s="16">
        <v>1293</v>
      </c>
      <c r="L505" s="16">
        <v>6767</v>
      </c>
      <c r="M505" s="8">
        <v>0</v>
      </c>
      <c r="N505" s="21">
        <v>41488</v>
      </c>
      <c r="O505" s="7">
        <f t="shared" si="28"/>
        <v>2</v>
      </c>
      <c r="P505" s="22">
        <f t="shared" si="29"/>
        <v>30</v>
      </c>
      <c r="Q505" s="22">
        <f t="shared" si="30"/>
        <v>31</v>
      </c>
      <c r="R505" s="16">
        <v>116</v>
      </c>
      <c r="S505">
        <v>4.5810167272999998</v>
      </c>
      <c r="T505">
        <v>-74.115178481258894</v>
      </c>
      <c r="U505" s="22">
        <v>21174</v>
      </c>
      <c r="V505" s="22">
        <v>22606.333330000001</v>
      </c>
      <c r="W505" s="25">
        <v>13254</v>
      </c>
      <c r="X505" s="24">
        <v>13496</v>
      </c>
      <c r="Y505" s="24">
        <v>280631</v>
      </c>
      <c r="Z505" s="24">
        <v>305095</v>
      </c>
      <c r="AA505" s="24">
        <v>28805</v>
      </c>
      <c r="AB505" s="24">
        <v>36893</v>
      </c>
      <c r="AC505" s="24">
        <v>89560</v>
      </c>
      <c r="AD505" s="24">
        <v>96844</v>
      </c>
      <c r="AE505" s="24">
        <v>5202</v>
      </c>
      <c r="AF505" s="24">
        <v>5265</v>
      </c>
      <c r="AG505" s="17">
        <v>0</v>
      </c>
      <c r="AH505" s="16" t="s">
        <v>58</v>
      </c>
      <c r="AI505" s="16" t="s">
        <v>49</v>
      </c>
      <c r="AJ505" s="16" t="s">
        <v>50</v>
      </c>
      <c r="AK505" s="16" t="s">
        <v>51</v>
      </c>
      <c r="AL505" s="25">
        <v>232000</v>
      </c>
      <c r="AM505" s="43">
        <f t="shared" si="31"/>
        <v>42.835968379446641</v>
      </c>
      <c r="AN505" s="16" t="s">
        <v>87</v>
      </c>
      <c r="AO505" s="16" t="s">
        <v>60</v>
      </c>
    </row>
    <row r="506" spans="1:41" ht="14.5" x14ac:dyDescent="0.35">
      <c r="A506" s="27" t="s">
        <v>1609</v>
      </c>
      <c r="B506" s="16" t="s">
        <v>119</v>
      </c>
      <c r="C506" s="16" t="s">
        <v>120</v>
      </c>
      <c r="D506" s="16" t="s">
        <v>121</v>
      </c>
      <c r="E506" s="16" t="s">
        <v>190</v>
      </c>
      <c r="F506" s="16">
        <v>4</v>
      </c>
      <c r="G506" s="30" t="s">
        <v>1610</v>
      </c>
      <c r="H506" s="16">
        <v>0</v>
      </c>
      <c r="I506" s="16" t="s">
        <v>47</v>
      </c>
      <c r="J506" s="16">
        <v>129.30000000000001</v>
      </c>
      <c r="K506" s="16">
        <v>298</v>
      </c>
      <c r="L506" s="16">
        <v>1034</v>
      </c>
      <c r="M506" s="8">
        <v>24</v>
      </c>
      <c r="N506" s="21">
        <v>45289</v>
      </c>
      <c r="O506" s="7">
        <f t="shared" si="28"/>
        <v>29</v>
      </c>
      <c r="P506" s="22">
        <f t="shared" si="29"/>
        <v>3</v>
      </c>
      <c r="Q506" s="22">
        <f t="shared" si="30"/>
        <v>31</v>
      </c>
      <c r="R506" s="16">
        <v>33</v>
      </c>
      <c r="S506">
        <v>7.1101694070213801</v>
      </c>
      <c r="T506">
        <v>-73.110074009305805</v>
      </c>
      <c r="U506" s="22">
        <v>19147</v>
      </c>
      <c r="V506" s="22">
        <v>18721.666669999999</v>
      </c>
      <c r="W506" s="25">
        <v>8630</v>
      </c>
      <c r="X506" s="24">
        <v>8915</v>
      </c>
      <c r="Y506" s="24">
        <v>165247</v>
      </c>
      <c r="Z506" s="24">
        <v>166903</v>
      </c>
      <c r="AA506" s="24">
        <v>2909</v>
      </c>
      <c r="AB506" s="24">
        <v>8707</v>
      </c>
      <c r="AC506" s="24">
        <v>65107</v>
      </c>
      <c r="AD506" s="24">
        <v>67077</v>
      </c>
      <c r="AE506" s="24">
        <v>10347</v>
      </c>
      <c r="AF506" s="24">
        <v>10452</v>
      </c>
      <c r="AG506" s="17">
        <v>0</v>
      </c>
      <c r="AH506" s="16" t="s">
        <v>58</v>
      </c>
      <c r="AI506" s="16" t="s">
        <v>49</v>
      </c>
      <c r="AJ506" s="16" t="s">
        <v>50</v>
      </c>
      <c r="AK506" s="16" t="s">
        <v>51</v>
      </c>
      <c r="AL506" s="25">
        <v>232000</v>
      </c>
      <c r="AM506" s="43">
        <f t="shared" si="31"/>
        <v>80.023201856148489</v>
      </c>
      <c r="AN506" s="16" t="s">
        <v>87</v>
      </c>
      <c r="AO506" s="16" t="s">
        <v>60</v>
      </c>
    </row>
    <row r="507" spans="1:41" ht="14.5" x14ac:dyDescent="0.35">
      <c r="A507" s="27" t="s">
        <v>1611</v>
      </c>
      <c r="B507" s="16" t="s">
        <v>119</v>
      </c>
      <c r="C507" s="16" t="s">
        <v>120</v>
      </c>
      <c r="D507" s="16" t="s">
        <v>121</v>
      </c>
      <c r="E507" s="16" t="s">
        <v>578</v>
      </c>
      <c r="F507" s="16">
        <v>4</v>
      </c>
      <c r="G507" s="30" t="s">
        <v>1612</v>
      </c>
      <c r="H507" s="16">
        <v>0</v>
      </c>
      <c r="I507" s="16" t="s">
        <v>102</v>
      </c>
      <c r="J507" s="16">
        <v>229</v>
      </c>
      <c r="K507" s="16">
        <v>4179</v>
      </c>
      <c r="L507" s="16">
        <v>473</v>
      </c>
      <c r="M507" s="8">
        <v>0</v>
      </c>
      <c r="N507" s="21">
        <v>43243</v>
      </c>
      <c r="O507" s="7">
        <f t="shared" si="28"/>
        <v>23</v>
      </c>
      <c r="P507" s="22">
        <f t="shared" si="29"/>
        <v>9</v>
      </c>
      <c r="Q507" s="22">
        <f t="shared" si="30"/>
        <v>31</v>
      </c>
      <c r="R507" s="16">
        <v>100</v>
      </c>
      <c r="S507">
        <v>7.1040048449290003</v>
      </c>
      <c r="T507">
        <v>-73.123163396081694</v>
      </c>
      <c r="U507" s="22">
        <v>34081</v>
      </c>
      <c r="V507" s="22">
        <v>31016.5</v>
      </c>
      <c r="W507" s="25">
        <v>10956</v>
      </c>
      <c r="X507" s="24">
        <v>11437</v>
      </c>
      <c r="Y507" s="24">
        <v>373379</v>
      </c>
      <c r="Z507" s="24">
        <v>354744</v>
      </c>
      <c r="AA507" s="24">
        <v>57630</v>
      </c>
      <c r="AB507" s="24">
        <v>50660</v>
      </c>
      <c r="AC507" s="24">
        <v>144460</v>
      </c>
      <c r="AD507" s="24">
        <v>134784</v>
      </c>
      <c r="AE507" s="24">
        <v>8489</v>
      </c>
      <c r="AF507" s="24">
        <v>8580</v>
      </c>
      <c r="AG507" s="17">
        <v>0</v>
      </c>
      <c r="AH507" s="16" t="s">
        <v>136</v>
      </c>
      <c r="AI507" s="16" t="s">
        <v>49</v>
      </c>
      <c r="AJ507" s="16" t="s">
        <v>76</v>
      </c>
      <c r="AK507" s="16" t="s">
        <v>51</v>
      </c>
      <c r="AL507" s="25">
        <v>241405</v>
      </c>
      <c r="AM507" s="43">
        <f t="shared" si="31"/>
        <v>37.069868995633186</v>
      </c>
      <c r="AN507" s="16" t="s">
        <v>1116</v>
      </c>
      <c r="AO507" s="16" t="s">
        <v>60</v>
      </c>
    </row>
    <row r="508" spans="1:41" ht="14.5" x14ac:dyDescent="0.35">
      <c r="A508" s="27" t="s">
        <v>1613</v>
      </c>
      <c r="B508" s="16" t="s">
        <v>42</v>
      </c>
      <c r="C508" s="16" t="s">
        <v>43</v>
      </c>
      <c r="D508" s="16" t="s">
        <v>44</v>
      </c>
      <c r="E508" s="16" t="s">
        <v>394</v>
      </c>
      <c r="F508" s="16">
        <v>4</v>
      </c>
      <c r="G508" s="30" t="s">
        <v>1614</v>
      </c>
      <c r="H508" s="16">
        <v>0</v>
      </c>
      <c r="I508" s="16" t="s">
        <v>47</v>
      </c>
      <c r="J508" s="16">
        <v>120.15</v>
      </c>
      <c r="K508" s="16">
        <v>5872</v>
      </c>
      <c r="L508" s="16">
        <v>0</v>
      </c>
      <c r="M508" s="8">
        <v>100</v>
      </c>
      <c r="N508" s="21">
        <v>44767</v>
      </c>
      <c r="O508" s="7">
        <f t="shared" si="28"/>
        <v>25</v>
      </c>
      <c r="P508" s="22">
        <f t="shared" si="29"/>
        <v>7</v>
      </c>
      <c r="Q508" s="22">
        <f t="shared" si="30"/>
        <v>31</v>
      </c>
      <c r="R508" s="16">
        <v>50</v>
      </c>
      <c r="S508">
        <v>4.7406767207043501</v>
      </c>
      <c r="T508">
        <v>-74.060027358540097</v>
      </c>
      <c r="U508" s="22">
        <v>16187</v>
      </c>
      <c r="V508" s="22">
        <v>15917.5</v>
      </c>
      <c r="W508" s="25">
        <v>15433</v>
      </c>
      <c r="X508" s="24">
        <v>15924</v>
      </c>
      <c r="Y508" s="24">
        <v>249819</v>
      </c>
      <c r="Z508" s="24">
        <v>253462</v>
      </c>
      <c r="AA508" s="24">
        <v>24524</v>
      </c>
      <c r="AB508" s="24">
        <v>25347</v>
      </c>
      <c r="AC508" s="24">
        <v>86370</v>
      </c>
      <c r="AD508" s="24">
        <v>85761</v>
      </c>
      <c r="AE508" s="24">
        <v>11858</v>
      </c>
      <c r="AF508" s="24">
        <v>11439</v>
      </c>
      <c r="AG508" s="17">
        <v>0</v>
      </c>
      <c r="AH508" s="16" t="s">
        <v>48</v>
      </c>
      <c r="AI508" s="16" t="s">
        <v>49</v>
      </c>
      <c r="AJ508" s="16" t="s">
        <v>76</v>
      </c>
      <c r="AK508" s="16" t="s">
        <v>51</v>
      </c>
      <c r="AL508" s="25">
        <v>232000</v>
      </c>
      <c r="AM508" s="43">
        <f t="shared" si="31"/>
        <v>98.693300041614648</v>
      </c>
      <c r="AN508" s="16" t="s">
        <v>199</v>
      </c>
      <c r="AO508" s="16" t="s">
        <v>60</v>
      </c>
    </row>
    <row r="509" spans="1:41" ht="14.5" x14ac:dyDescent="0.35">
      <c r="A509" s="27" t="s">
        <v>1615</v>
      </c>
      <c r="B509" s="16" t="s">
        <v>42</v>
      </c>
      <c r="C509" s="16" t="s">
        <v>43</v>
      </c>
      <c r="D509" s="16" t="s">
        <v>44</v>
      </c>
      <c r="E509" s="16" t="s">
        <v>500</v>
      </c>
      <c r="F509" s="16">
        <v>4</v>
      </c>
      <c r="G509" s="30" t="s">
        <v>1616</v>
      </c>
      <c r="H509" s="16" t="s">
        <v>1617</v>
      </c>
      <c r="I509" s="16" t="s">
        <v>47</v>
      </c>
      <c r="J509" s="16">
        <v>125.51</v>
      </c>
      <c r="K509" s="16">
        <v>1925</v>
      </c>
      <c r="L509" s="16">
        <v>922</v>
      </c>
      <c r="M509" s="8">
        <v>68</v>
      </c>
      <c r="N509" s="21">
        <v>45535</v>
      </c>
      <c r="O509" s="7">
        <f t="shared" si="28"/>
        <v>31</v>
      </c>
      <c r="P509" s="22">
        <f t="shared" si="29"/>
        <v>1</v>
      </c>
      <c r="Q509" s="22">
        <f t="shared" si="30"/>
        <v>31</v>
      </c>
      <c r="R509" s="16">
        <v>25</v>
      </c>
      <c r="S509">
        <v>4.7285345870973199</v>
      </c>
      <c r="T509">
        <v>-74.024545238175804</v>
      </c>
      <c r="U509" s="22">
        <v>16360</v>
      </c>
      <c r="V509" s="22">
        <v>15870</v>
      </c>
      <c r="W509" s="25">
        <v>11506</v>
      </c>
      <c r="X509" s="24">
        <v>11522</v>
      </c>
      <c r="Y509" s="24">
        <v>188241</v>
      </c>
      <c r="Z509" s="24">
        <v>182848</v>
      </c>
      <c r="AA509" s="24">
        <v>11483</v>
      </c>
      <c r="AB509" s="24">
        <v>10266</v>
      </c>
      <c r="AC509" s="24">
        <v>67842</v>
      </c>
      <c r="AD509" s="24">
        <v>65818</v>
      </c>
      <c r="AE509" s="24">
        <v>9951</v>
      </c>
      <c r="AF509" s="24">
        <v>9647</v>
      </c>
      <c r="AG509" s="17">
        <v>0</v>
      </c>
      <c r="AH509" s="16" t="s">
        <v>58</v>
      </c>
      <c r="AI509" s="16" t="s">
        <v>49</v>
      </c>
      <c r="AJ509" s="16" t="s">
        <v>50</v>
      </c>
      <c r="AK509" s="16" t="s">
        <v>51</v>
      </c>
      <c r="AL509" s="25">
        <v>232000</v>
      </c>
      <c r="AM509" s="43">
        <f t="shared" si="31"/>
        <v>79.284519161819773</v>
      </c>
      <c r="AN509" s="16" t="s">
        <v>145</v>
      </c>
      <c r="AO509" s="16" t="s">
        <v>60</v>
      </c>
    </row>
    <row r="510" spans="1:41" ht="14.5" x14ac:dyDescent="0.35">
      <c r="A510" s="27" t="s">
        <v>1618</v>
      </c>
      <c r="B510" s="16" t="s">
        <v>55</v>
      </c>
      <c r="C510" s="16" t="s">
        <v>43</v>
      </c>
      <c r="D510" s="16" t="s">
        <v>44</v>
      </c>
      <c r="E510" s="16" t="s">
        <v>1173</v>
      </c>
      <c r="F510" s="16">
        <v>3</v>
      </c>
      <c r="G510" s="30" t="s">
        <v>1619</v>
      </c>
      <c r="H510" s="16">
        <v>0</v>
      </c>
      <c r="I510" s="16" t="s">
        <v>47</v>
      </c>
      <c r="J510" s="16">
        <v>93.86</v>
      </c>
      <c r="K510" s="16">
        <v>1010</v>
      </c>
      <c r="L510" s="16">
        <v>1700</v>
      </c>
      <c r="M510" s="8">
        <v>117</v>
      </c>
      <c r="N510" s="21">
        <v>45275</v>
      </c>
      <c r="O510" s="7">
        <f t="shared" si="28"/>
        <v>15</v>
      </c>
      <c r="P510" s="22">
        <f t="shared" si="29"/>
        <v>17</v>
      </c>
      <c r="Q510" s="22">
        <f t="shared" si="30"/>
        <v>31</v>
      </c>
      <c r="R510" s="16">
        <v>33</v>
      </c>
      <c r="S510">
        <v>4.5864693069101197</v>
      </c>
      <c r="T510">
        <v>-74.099707609916607</v>
      </c>
      <c r="U510" s="22">
        <v>15010</v>
      </c>
      <c r="V510" s="22">
        <v>16187</v>
      </c>
      <c r="W510" s="25">
        <v>14008</v>
      </c>
      <c r="X510" s="24">
        <v>12431</v>
      </c>
      <c r="Y510" s="24">
        <v>210258</v>
      </c>
      <c r="Z510" s="24">
        <v>201221</v>
      </c>
      <c r="AA510" s="24">
        <v>13727</v>
      </c>
      <c r="AB510" s="24">
        <v>11506</v>
      </c>
      <c r="AC510" s="24">
        <v>70732</v>
      </c>
      <c r="AD510" s="24">
        <v>67219</v>
      </c>
      <c r="AE510" s="24">
        <v>8047</v>
      </c>
      <c r="AF510" s="24">
        <v>8134</v>
      </c>
      <c r="AG510" s="17">
        <v>0</v>
      </c>
      <c r="AH510" s="16" t="s">
        <v>48</v>
      </c>
      <c r="AI510" s="16" t="s">
        <v>49</v>
      </c>
      <c r="AJ510" s="16" t="s">
        <v>76</v>
      </c>
      <c r="AK510" s="16" t="s">
        <v>51</v>
      </c>
      <c r="AL510" s="25">
        <v>241405</v>
      </c>
      <c r="AM510" s="43">
        <f t="shared" si="31"/>
        <v>85.73407202216066</v>
      </c>
      <c r="AN510" s="16" t="s">
        <v>223</v>
      </c>
      <c r="AO510" s="16" t="s">
        <v>53</v>
      </c>
    </row>
    <row r="511" spans="1:41" ht="14.5" x14ac:dyDescent="0.35">
      <c r="A511" s="27" t="s">
        <v>1620</v>
      </c>
      <c r="B511" s="16" t="s">
        <v>55</v>
      </c>
      <c r="C511" s="16" t="s">
        <v>43</v>
      </c>
      <c r="D511" s="16" t="s">
        <v>44</v>
      </c>
      <c r="E511" s="16" t="s">
        <v>1173</v>
      </c>
      <c r="F511" s="16">
        <v>3</v>
      </c>
      <c r="G511" s="30" t="s">
        <v>1621</v>
      </c>
      <c r="H511" s="16">
        <v>0</v>
      </c>
      <c r="I511" s="16" t="s">
        <v>47</v>
      </c>
      <c r="J511" s="16">
        <v>219.18</v>
      </c>
      <c r="K511" s="16">
        <v>2368</v>
      </c>
      <c r="L511" s="16">
        <v>510</v>
      </c>
      <c r="M511" s="8">
        <v>124</v>
      </c>
      <c r="N511" s="21">
        <v>45192</v>
      </c>
      <c r="O511" s="7">
        <f t="shared" si="28"/>
        <v>23</v>
      </c>
      <c r="P511" s="22">
        <f t="shared" si="29"/>
        <v>8</v>
      </c>
      <c r="Q511" s="22">
        <f t="shared" si="30"/>
        <v>30</v>
      </c>
      <c r="R511" s="16">
        <v>36</v>
      </c>
      <c r="S511">
        <v>4.59350048604915</v>
      </c>
      <c r="T511">
        <v>-74.103748782865296</v>
      </c>
      <c r="U511" s="22">
        <v>13961</v>
      </c>
      <c r="V511" s="22">
        <v>13666.833329999999</v>
      </c>
      <c r="W511" s="25">
        <v>12658</v>
      </c>
      <c r="X511" s="24">
        <v>13032</v>
      </c>
      <c r="Y511" s="24">
        <v>176715</v>
      </c>
      <c r="Z511" s="24">
        <v>178112</v>
      </c>
      <c r="AA511" s="24">
        <v>5832</v>
      </c>
      <c r="AB511" s="24">
        <v>5405</v>
      </c>
      <c r="AC511" s="24">
        <v>57980</v>
      </c>
      <c r="AD511" s="24">
        <v>58747</v>
      </c>
      <c r="AE511" s="24">
        <v>8842</v>
      </c>
      <c r="AF511" s="24">
        <v>8750</v>
      </c>
      <c r="AG511" s="17">
        <v>0</v>
      </c>
      <c r="AH511" s="16" t="s">
        <v>58</v>
      </c>
      <c r="AI511" s="16" t="s">
        <v>49</v>
      </c>
      <c r="AJ511" s="16" t="s">
        <v>50</v>
      </c>
      <c r="AK511" s="16" t="s">
        <v>51</v>
      </c>
      <c r="AL511" s="25">
        <v>232000</v>
      </c>
      <c r="AM511" s="43">
        <f t="shared" si="31"/>
        <v>40.341272013869876</v>
      </c>
      <c r="AN511" s="16" t="s">
        <v>1171</v>
      </c>
      <c r="AO511" s="16" t="s">
        <v>53</v>
      </c>
    </row>
    <row r="512" spans="1:41" ht="14.5" x14ac:dyDescent="0.35">
      <c r="A512" s="27" t="s">
        <v>1622</v>
      </c>
      <c r="B512" s="16" t="s">
        <v>55</v>
      </c>
      <c r="C512" s="16" t="s">
        <v>93</v>
      </c>
      <c r="D512" s="16" t="s">
        <v>1512</v>
      </c>
      <c r="E512" s="16" t="s">
        <v>1513</v>
      </c>
      <c r="F512" s="16">
        <v>3</v>
      </c>
      <c r="G512" s="30" t="s">
        <v>1623</v>
      </c>
      <c r="H512" s="16">
        <v>0</v>
      </c>
      <c r="I512" s="16" t="s">
        <v>47</v>
      </c>
      <c r="J512" s="16">
        <v>137.66999999999999</v>
      </c>
      <c r="K512" s="16">
        <v>1710</v>
      </c>
      <c r="L512" s="16">
        <v>630</v>
      </c>
      <c r="M512" s="8">
        <v>110</v>
      </c>
      <c r="N512" s="21">
        <v>45230</v>
      </c>
      <c r="O512" s="7">
        <f t="shared" si="28"/>
        <v>31</v>
      </c>
      <c r="P512" s="22">
        <f t="shared" si="29"/>
        <v>1</v>
      </c>
      <c r="Q512" s="22">
        <f t="shared" si="30"/>
        <v>31</v>
      </c>
      <c r="R512" s="16">
        <v>35</v>
      </c>
      <c r="S512">
        <v>4.2775723106756898</v>
      </c>
      <c r="T512">
        <v>-74.771264263581898</v>
      </c>
      <c r="U512" s="22">
        <v>20721</v>
      </c>
      <c r="V512" s="22">
        <v>18671.333330000001</v>
      </c>
      <c r="W512" s="25">
        <v>16590</v>
      </c>
      <c r="X512" s="24">
        <v>17294</v>
      </c>
      <c r="Y512" s="24">
        <v>343770</v>
      </c>
      <c r="Z512" s="24">
        <v>322895</v>
      </c>
      <c r="AA512" s="24">
        <v>48601</v>
      </c>
      <c r="AB512" s="24">
        <v>38831</v>
      </c>
      <c r="AC512" s="24">
        <v>115276</v>
      </c>
      <c r="AD512" s="24">
        <v>104717</v>
      </c>
      <c r="AE512" s="24">
        <v>7473</v>
      </c>
      <c r="AF512" s="24">
        <v>7554</v>
      </c>
      <c r="AG512" s="17">
        <v>0</v>
      </c>
      <c r="AH512" s="16" t="s">
        <v>82</v>
      </c>
      <c r="AI512" s="16" t="s">
        <v>49</v>
      </c>
      <c r="AJ512" s="16" t="s">
        <v>124</v>
      </c>
      <c r="AK512" s="16" t="s">
        <v>51</v>
      </c>
      <c r="AL512" s="25">
        <v>204160</v>
      </c>
      <c r="AM512" s="43">
        <f t="shared" si="31"/>
        <v>54.281978644584882</v>
      </c>
      <c r="AN512" s="16" t="s">
        <v>1624</v>
      </c>
      <c r="AO512" s="16" t="s">
        <v>53</v>
      </c>
    </row>
    <row r="513" spans="1:41" ht="14.5" x14ac:dyDescent="0.35">
      <c r="A513" s="27" t="s">
        <v>1625</v>
      </c>
      <c r="B513" s="16" t="s">
        <v>42</v>
      </c>
      <c r="C513" s="16" t="s">
        <v>43</v>
      </c>
      <c r="D513" s="16" t="s">
        <v>44</v>
      </c>
      <c r="E513" s="16" t="s">
        <v>447</v>
      </c>
      <c r="F513" s="16">
        <v>3</v>
      </c>
      <c r="G513" s="30" t="s">
        <v>1626</v>
      </c>
      <c r="H513" s="16">
        <v>0</v>
      </c>
      <c r="I513" s="16" t="s">
        <v>102</v>
      </c>
      <c r="J513" s="16">
        <v>175.35</v>
      </c>
      <c r="K513" s="16">
        <v>572</v>
      </c>
      <c r="L513" s="16">
        <v>3494</v>
      </c>
      <c r="M513" s="8">
        <v>0</v>
      </c>
      <c r="N513" s="21">
        <v>45288</v>
      </c>
      <c r="O513" s="7">
        <f t="shared" si="28"/>
        <v>28</v>
      </c>
      <c r="P513" s="22">
        <f t="shared" si="29"/>
        <v>4</v>
      </c>
      <c r="Q513" s="22">
        <f t="shared" si="30"/>
        <v>31</v>
      </c>
      <c r="R513" s="16">
        <v>33</v>
      </c>
      <c r="S513">
        <v>4.6875446616607803</v>
      </c>
      <c r="T513">
        <v>-74.064960020609504</v>
      </c>
      <c r="U513" s="22">
        <v>23276</v>
      </c>
      <c r="V513" s="22">
        <v>23092.666669999999</v>
      </c>
      <c r="W513" s="25">
        <v>9071</v>
      </c>
      <c r="X513" s="24">
        <v>9500</v>
      </c>
      <c r="Y513" s="24">
        <v>211124</v>
      </c>
      <c r="Z513" s="24">
        <v>219376</v>
      </c>
      <c r="AA513" s="24">
        <v>14063</v>
      </c>
      <c r="AB513" s="24">
        <v>20380</v>
      </c>
      <c r="AC513" s="24">
        <v>73164</v>
      </c>
      <c r="AD513" s="24">
        <v>77317</v>
      </c>
      <c r="AE513" s="24">
        <v>10347</v>
      </c>
      <c r="AF513" s="24">
        <v>10452</v>
      </c>
      <c r="AG513" s="17">
        <v>0</v>
      </c>
      <c r="AH513" s="16" t="s">
        <v>58</v>
      </c>
      <c r="AI513" s="16" t="s">
        <v>49</v>
      </c>
      <c r="AJ513" s="16" t="s">
        <v>124</v>
      </c>
      <c r="AK513" s="16" t="s">
        <v>51</v>
      </c>
      <c r="AL513" s="25">
        <v>204160</v>
      </c>
      <c r="AM513" s="43">
        <f t="shared" si="31"/>
        <v>59.00769888793841</v>
      </c>
      <c r="AN513" s="16">
        <v>0</v>
      </c>
      <c r="AO513" s="16" t="s">
        <v>53</v>
      </c>
    </row>
    <row r="514" spans="1:41" ht="14.5" x14ac:dyDescent="0.35">
      <c r="A514" s="27" t="s">
        <v>1627</v>
      </c>
      <c r="B514" s="16" t="s">
        <v>183</v>
      </c>
      <c r="C514" s="16" t="s">
        <v>184</v>
      </c>
      <c r="D514" s="16" t="s">
        <v>185</v>
      </c>
      <c r="E514" s="16" t="s">
        <v>347</v>
      </c>
      <c r="F514" s="16">
        <v>4</v>
      </c>
      <c r="G514" s="30" t="s">
        <v>1628</v>
      </c>
      <c r="H514" s="16">
        <v>0</v>
      </c>
      <c r="I514" s="16" t="s">
        <v>47</v>
      </c>
      <c r="J514" s="16">
        <v>142.34</v>
      </c>
      <c r="K514" s="16">
        <v>1749</v>
      </c>
      <c r="L514" s="16">
        <v>100</v>
      </c>
      <c r="M514" s="8">
        <v>133</v>
      </c>
      <c r="N514" s="21">
        <v>45565</v>
      </c>
      <c r="O514" s="7">
        <f t="shared" ref="O514:O577" si="32">DAY(N514)</f>
        <v>30</v>
      </c>
      <c r="P514" s="22">
        <f t="shared" ref="P514:P577" si="33">Q514-O514+1</f>
        <v>1</v>
      </c>
      <c r="Q514" s="22">
        <f t="shared" ref="Q514:Q577" si="34">DAY(EOMONTH(N514,0))</f>
        <v>30</v>
      </c>
      <c r="R514" s="16">
        <v>24</v>
      </c>
      <c r="S514">
        <v>11.0203039284754</v>
      </c>
      <c r="T514">
        <v>-74.821498720723199</v>
      </c>
      <c r="U514" s="22">
        <v>19947</v>
      </c>
      <c r="V514" s="22">
        <v>18547.166669999999</v>
      </c>
      <c r="W514" s="25">
        <v>15099</v>
      </c>
      <c r="X514" s="24">
        <v>15404</v>
      </c>
      <c r="Y514" s="24">
        <v>301174</v>
      </c>
      <c r="Z514" s="24">
        <v>285695</v>
      </c>
      <c r="AA514" s="24">
        <v>41404</v>
      </c>
      <c r="AB514" s="24">
        <v>37193</v>
      </c>
      <c r="AC514" s="24">
        <v>115484</v>
      </c>
      <c r="AD514" s="24">
        <v>108461</v>
      </c>
      <c r="AE514" s="24">
        <v>9363</v>
      </c>
      <c r="AF514" s="24">
        <v>9460</v>
      </c>
      <c r="AG514" s="17">
        <v>0</v>
      </c>
      <c r="AH514" s="16" t="s">
        <v>58</v>
      </c>
      <c r="AI514" s="16" t="s">
        <v>49</v>
      </c>
      <c r="AJ514" s="16" t="s">
        <v>124</v>
      </c>
      <c r="AK514" s="16" t="s">
        <v>51</v>
      </c>
      <c r="AL514" s="25">
        <v>204160</v>
      </c>
      <c r="AM514" s="43">
        <f t="shared" ref="AM514:AM577" si="35">AE514/J514</f>
        <v>65.779120415905581</v>
      </c>
      <c r="AN514" s="16" t="s">
        <v>390</v>
      </c>
      <c r="AO514" s="16" t="s">
        <v>53</v>
      </c>
    </row>
    <row r="515" spans="1:41" ht="14.5" x14ac:dyDescent="0.35">
      <c r="A515" s="27" t="s">
        <v>1629</v>
      </c>
      <c r="B515" s="16" t="s">
        <v>42</v>
      </c>
      <c r="C515" s="16" t="s">
        <v>43</v>
      </c>
      <c r="D515" s="16" t="s">
        <v>44</v>
      </c>
      <c r="E515" s="16" t="s">
        <v>447</v>
      </c>
      <c r="F515" s="16">
        <v>4</v>
      </c>
      <c r="G515" s="30" t="s">
        <v>1630</v>
      </c>
      <c r="H515" s="16">
        <v>0</v>
      </c>
      <c r="I515" s="16" t="s">
        <v>47</v>
      </c>
      <c r="J515" s="16">
        <v>115.16</v>
      </c>
      <c r="K515" s="16">
        <v>496</v>
      </c>
      <c r="L515" s="16">
        <v>420</v>
      </c>
      <c r="M515" s="8">
        <v>58</v>
      </c>
      <c r="N515" s="21">
        <v>44496</v>
      </c>
      <c r="O515" s="7">
        <f t="shared" si="32"/>
        <v>27</v>
      </c>
      <c r="P515" s="22">
        <f t="shared" si="33"/>
        <v>5</v>
      </c>
      <c r="Q515" s="22">
        <f t="shared" si="34"/>
        <v>31</v>
      </c>
      <c r="R515" s="16">
        <v>59</v>
      </c>
      <c r="S515">
        <v>4.6811571783170596</v>
      </c>
      <c r="T515">
        <v>-74.063978192298904</v>
      </c>
      <c r="U515" s="22">
        <v>23432</v>
      </c>
      <c r="V515" s="22">
        <v>23325.666669999999</v>
      </c>
      <c r="W515" s="25">
        <v>10398</v>
      </c>
      <c r="X515" s="24">
        <v>10480</v>
      </c>
      <c r="Y515" s="24">
        <v>243648</v>
      </c>
      <c r="Z515" s="24">
        <v>244458</v>
      </c>
      <c r="AA515" s="24">
        <v>29458</v>
      </c>
      <c r="AB515" s="24">
        <v>31265</v>
      </c>
      <c r="AC515" s="24">
        <v>91912</v>
      </c>
      <c r="AD515" s="24">
        <v>90109</v>
      </c>
      <c r="AE515" s="24">
        <v>9271</v>
      </c>
      <c r="AF515" s="24">
        <v>9368</v>
      </c>
      <c r="AG515" s="17">
        <v>0</v>
      </c>
      <c r="AH515" s="16" t="s">
        <v>58</v>
      </c>
      <c r="AI515" s="16" t="s">
        <v>49</v>
      </c>
      <c r="AJ515" s="16" t="s">
        <v>50</v>
      </c>
      <c r="AK515" s="16" t="s">
        <v>51</v>
      </c>
      <c r="AL515" s="25">
        <v>232000</v>
      </c>
      <c r="AM515" s="43">
        <f t="shared" si="35"/>
        <v>80.505383813824253</v>
      </c>
      <c r="AN515" s="16">
        <v>0</v>
      </c>
      <c r="AO515" s="16" t="s">
        <v>60</v>
      </c>
    </row>
    <row r="516" spans="1:41" ht="14.5" x14ac:dyDescent="0.35">
      <c r="A516" s="27" t="s">
        <v>1631</v>
      </c>
      <c r="B516" s="16" t="s">
        <v>55</v>
      </c>
      <c r="C516" s="16" t="s">
        <v>43</v>
      </c>
      <c r="D516" s="16" t="s">
        <v>44</v>
      </c>
      <c r="E516" s="16" t="s">
        <v>352</v>
      </c>
      <c r="F516" s="16">
        <v>3</v>
      </c>
      <c r="G516" s="30" t="s">
        <v>1632</v>
      </c>
      <c r="H516" s="16">
        <v>0</v>
      </c>
      <c r="I516" s="16" t="s">
        <v>47</v>
      </c>
      <c r="J516" s="16">
        <v>182.02</v>
      </c>
      <c r="K516" s="16">
        <v>1972</v>
      </c>
      <c r="L516" s="16">
        <v>0</v>
      </c>
      <c r="M516" s="8">
        <v>103</v>
      </c>
      <c r="N516" s="21">
        <v>44712</v>
      </c>
      <c r="O516" s="7">
        <f t="shared" si="32"/>
        <v>31</v>
      </c>
      <c r="P516" s="22">
        <f t="shared" si="33"/>
        <v>1</v>
      </c>
      <c r="Q516" s="22">
        <f t="shared" si="34"/>
        <v>31</v>
      </c>
      <c r="R516" s="16">
        <v>52</v>
      </c>
      <c r="S516">
        <v>4.6720324336638797</v>
      </c>
      <c r="T516">
        <v>-74.099982867404606</v>
      </c>
      <c r="U516" s="22">
        <v>14222</v>
      </c>
      <c r="V516" s="22">
        <v>13691.166670000001</v>
      </c>
      <c r="W516" s="25">
        <v>13795</v>
      </c>
      <c r="X516" s="24">
        <v>14346</v>
      </c>
      <c r="Y516" s="24">
        <v>196187</v>
      </c>
      <c r="Z516" s="24">
        <v>196408</v>
      </c>
      <c r="AA516" s="24">
        <v>11450</v>
      </c>
      <c r="AB516" s="24">
        <v>9776</v>
      </c>
      <c r="AC516" s="24">
        <v>66328</v>
      </c>
      <c r="AD516" s="24">
        <v>64194</v>
      </c>
      <c r="AE516" s="24">
        <v>7258</v>
      </c>
      <c r="AF516" s="24">
        <v>7258</v>
      </c>
      <c r="AG516" s="17">
        <v>0</v>
      </c>
      <c r="AH516" s="16" t="s">
        <v>136</v>
      </c>
      <c r="AI516" s="16" t="s">
        <v>49</v>
      </c>
      <c r="AJ516" s="16" t="s">
        <v>50</v>
      </c>
      <c r="AK516" s="16" t="s">
        <v>51</v>
      </c>
      <c r="AL516" s="25">
        <v>232000</v>
      </c>
      <c r="AM516" s="43">
        <f t="shared" si="35"/>
        <v>39.874739039665968</v>
      </c>
      <c r="AN516" s="16" t="s">
        <v>1178</v>
      </c>
      <c r="AO516" s="16" t="s">
        <v>60</v>
      </c>
    </row>
    <row r="517" spans="1:41" ht="14.5" x14ac:dyDescent="0.35">
      <c r="A517" s="27" t="s">
        <v>1633</v>
      </c>
      <c r="B517" s="16" t="s">
        <v>42</v>
      </c>
      <c r="C517" s="16" t="s">
        <v>43</v>
      </c>
      <c r="D517" s="16" t="s">
        <v>44</v>
      </c>
      <c r="E517" s="16" t="s">
        <v>549</v>
      </c>
      <c r="F517" s="16">
        <v>0</v>
      </c>
      <c r="G517" s="30" t="s">
        <v>1634</v>
      </c>
      <c r="H517" s="16" t="s">
        <v>1635</v>
      </c>
      <c r="I517" s="16" t="s">
        <v>47</v>
      </c>
      <c r="J517" s="16">
        <v>76.56</v>
      </c>
      <c r="K517" s="16">
        <v>2210</v>
      </c>
      <c r="L517" s="16">
        <v>671</v>
      </c>
      <c r="M517" s="8">
        <v>105</v>
      </c>
      <c r="N517" s="21">
        <v>46189</v>
      </c>
      <c r="O517" s="7">
        <f t="shared" si="32"/>
        <v>16</v>
      </c>
      <c r="P517" s="22">
        <f t="shared" si="33"/>
        <v>15</v>
      </c>
      <c r="Q517" s="22">
        <f t="shared" si="34"/>
        <v>30</v>
      </c>
      <c r="R517" s="16">
        <v>3</v>
      </c>
      <c r="S517">
        <v>4.6509694588196702</v>
      </c>
      <c r="T517">
        <v>-74.054383254327405</v>
      </c>
      <c r="U517" s="22">
        <v>14914</v>
      </c>
      <c r="V517" s="22">
        <v>11081.333329999999</v>
      </c>
      <c r="W517" s="25">
        <v>11619</v>
      </c>
      <c r="X517" s="24">
        <v>11730</v>
      </c>
      <c r="Y517" s="24">
        <v>173285</v>
      </c>
      <c r="Z517" s="24">
        <v>129981</v>
      </c>
      <c r="AA517" s="24">
        <v>12977</v>
      </c>
      <c r="AB517" s="42">
        <v>7749</v>
      </c>
      <c r="AC517" s="24">
        <v>66981</v>
      </c>
      <c r="AD517" s="24">
        <v>50954</v>
      </c>
      <c r="AE517" s="24">
        <v>10000</v>
      </c>
      <c r="AF517" s="24">
        <v>4594</v>
      </c>
      <c r="AG517" s="17">
        <v>1.4730000000000001</v>
      </c>
      <c r="AH517" s="16" t="s">
        <v>64</v>
      </c>
      <c r="AI517" s="16" t="s">
        <v>49</v>
      </c>
      <c r="AJ517" s="16" t="s">
        <v>76</v>
      </c>
      <c r="AK517" s="16" t="s">
        <v>65</v>
      </c>
      <c r="AL517" s="25">
        <v>232000</v>
      </c>
      <c r="AM517" s="43">
        <f t="shared" si="35"/>
        <v>130.61650992685475</v>
      </c>
      <c r="AN517" s="16" t="s">
        <v>223</v>
      </c>
      <c r="AO517" s="16" t="s">
        <v>53</v>
      </c>
    </row>
    <row r="518" spans="1:41" ht="14.5" x14ac:dyDescent="0.35">
      <c r="A518" s="27" t="s">
        <v>1636</v>
      </c>
      <c r="B518" s="16" t="s">
        <v>105</v>
      </c>
      <c r="C518" s="16" t="s">
        <v>157</v>
      </c>
      <c r="D518" s="16" t="s">
        <v>158</v>
      </c>
      <c r="E518" s="16" t="s">
        <v>596</v>
      </c>
      <c r="F518" s="16">
        <v>6</v>
      </c>
      <c r="G518" s="30" t="s">
        <v>1637</v>
      </c>
      <c r="H518" s="16" t="s">
        <v>1638</v>
      </c>
      <c r="I518" s="16" t="s">
        <v>102</v>
      </c>
      <c r="J518" s="16">
        <v>125.68</v>
      </c>
      <c r="K518" s="16">
        <v>461</v>
      </c>
      <c r="L518" s="16">
        <v>6391</v>
      </c>
      <c r="M518" s="8">
        <v>286</v>
      </c>
      <c r="N518" s="21">
        <v>45834</v>
      </c>
      <c r="O518" s="7">
        <f t="shared" si="32"/>
        <v>26</v>
      </c>
      <c r="P518" s="22">
        <f t="shared" si="33"/>
        <v>5</v>
      </c>
      <c r="Q518" s="22">
        <f t="shared" si="34"/>
        <v>30</v>
      </c>
      <c r="R518" s="16">
        <v>15</v>
      </c>
      <c r="S518">
        <v>6.2076542152628402</v>
      </c>
      <c r="T518">
        <v>-75.567661813155695</v>
      </c>
      <c r="U518" s="22">
        <v>18152</v>
      </c>
      <c r="V518" s="22">
        <v>17176.166669999999</v>
      </c>
      <c r="W518" s="25">
        <v>12341</v>
      </c>
      <c r="X518" s="24">
        <v>11894</v>
      </c>
      <c r="Y518" s="24">
        <v>224010</v>
      </c>
      <c r="Z518" s="24">
        <v>204287</v>
      </c>
      <c r="AA518" s="24">
        <v>16841</v>
      </c>
      <c r="AB518" s="24">
        <v>13809</v>
      </c>
      <c r="AC518" s="24">
        <v>87948</v>
      </c>
      <c r="AD518" s="24">
        <v>81314</v>
      </c>
      <c r="AE518" s="24">
        <v>19444</v>
      </c>
      <c r="AF518" s="24">
        <v>19147</v>
      </c>
      <c r="AG518" s="17">
        <v>1.2899</v>
      </c>
      <c r="AH518" s="16" t="s">
        <v>64</v>
      </c>
      <c r="AI518" s="16" t="s">
        <v>49</v>
      </c>
      <c r="AJ518" s="16" t="s">
        <v>76</v>
      </c>
      <c r="AK518" s="16" t="s">
        <v>51</v>
      </c>
      <c r="AL518" s="25">
        <v>241405</v>
      </c>
      <c r="AM518" s="43">
        <f t="shared" si="35"/>
        <v>154.71037555697006</v>
      </c>
      <c r="AN518" s="16">
        <v>0</v>
      </c>
      <c r="AO518" s="16" t="s">
        <v>60</v>
      </c>
    </row>
    <row r="519" spans="1:41" ht="14.5" x14ac:dyDescent="0.35">
      <c r="A519" s="27" t="s">
        <v>1639</v>
      </c>
      <c r="B519" s="16" t="s">
        <v>42</v>
      </c>
      <c r="C519" s="16" t="s">
        <v>43</v>
      </c>
      <c r="D519" s="16" t="s">
        <v>44</v>
      </c>
      <c r="E519" s="16" t="s">
        <v>68</v>
      </c>
      <c r="F519" s="16">
        <v>5</v>
      </c>
      <c r="G519" s="30" t="s">
        <v>1640</v>
      </c>
      <c r="H519" s="16" t="s">
        <v>64</v>
      </c>
      <c r="I519" s="16" t="s">
        <v>102</v>
      </c>
      <c r="J519" s="16">
        <v>140.16999999999999</v>
      </c>
      <c r="K519" s="16">
        <v>0</v>
      </c>
      <c r="L519" s="16">
        <v>2075</v>
      </c>
      <c r="M519" s="8">
        <v>105</v>
      </c>
      <c r="N519" s="21">
        <v>46265</v>
      </c>
      <c r="O519" s="7">
        <f t="shared" si="32"/>
        <v>31</v>
      </c>
      <c r="P519" s="22">
        <f t="shared" si="33"/>
        <v>1</v>
      </c>
      <c r="Q519" s="22">
        <f t="shared" si="34"/>
        <v>31</v>
      </c>
      <c r="R519" s="16">
        <v>1</v>
      </c>
      <c r="S519" s="29">
        <v>4.6686509999999997</v>
      </c>
      <c r="T519" s="29">
        <v>-74.055621000000002</v>
      </c>
      <c r="U519" s="22">
        <v>157</v>
      </c>
      <c r="V519" s="22">
        <v>157</v>
      </c>
      <c r="W519" s="25">
        <v>11489</v>
      </c>
      <c r="X519" s="24">
        <v>11489</v>
      </c>
      <c r="Y519" s="24">
        <v>1804</v>
      </c>
      <c r="Z519" s="24">
        <v>1804</v>
      </c>
      <c r="AA519" s="24">
        <v>-10006</v>
      </c>
      <c r="AB519" s="24">
        <v>-10006</v>
      </c>
      <c r="AC519" s="24">
        <v>5256</v>
      </c>
      <c r="AD519" s="24">
        <v>5256</v>
      </c>
      <c r="AE519" s="24">
        <v>0</v>
      </c>
      <c r="AF519" s="24">
        <v>0</v>
      </c>
      <c r="AG519" s="17">
        <v>0</v>
      </c>
      <c r="AH519" s="16" t="s">
        <v>64</v>
      </c>
      <c r="AI519" s="16" t="s">
        <v>49</v>
      </c>
      <c r="AJ519" s="16" t="s">
        <v>124</v>
      </c>
      <c r="AK519" s="16" t="s">
        <v>65</v>
      </c>
      <c r="AL519" s="25">
        <v>204160</v>
      </c>
      <c r="AM519" s="43">
        <f t="shared" si="35"/>
        <v>0</v>
      </c>
      <c r="AN519" s="16" t="s">
        <v>1083</v>
      </c>
      <c r="AO519" s="16" t="s">
        <v>53</v>
      </c>
    </row>
    <row r="520" spans="1:41" ht="14.5" x14ac:dyDescent="0.35">
      <c r="A520" s="27" t="s">
        <v>1641</v>
      </c>
      <c r="B520" s="16" t="s">
        <v>55</v>
      </c>
      <c r="C520" s="16" t="s">
        <v>43</v>
      </c>
      <c r="D520" s="16" t="s">
        <v>44</v>
      </c>
      <c r="E520" s="16" t="s">
        <v>407</v>
      </c>
      <c r="F520" s="16">
        <v>3</v>
      </c>
      <c r="G520" s="30" t="s">
        <v>1642</v>
      </c>
      <c r="H520" s="16" t="s">
        <v>1643</v>
      </c>
      <c r="I520" s="16" t="s">
        <v>47</v>
      </c>
      <c r="J520" s="16">
        <v>85</v>
      </c>
      <c r="K520" s="16">
        <v>135</v>
      </c>
      <c r="L520" s="16">
        <v>3110</v>
      </c>
      <c r="M520" s="8">
        <v>113</v>
      </c>
      <c r="N520" s="21">
        <v>46171</v>
      </c>
      <c r="O520" s="7">
        <f t="shared" si="32"/>
        <v>29</v>
      </c>
      <c r="P520" s="22">
        <f t="shared" si="33"/>
        <v>3</v>
      </c>
      <c r="Q520" s="22">
        <f t="shared" si="34"/>
        <v>31</v>
      </c>
      <c r="R520" s="16">
        <v>4</v>
      </c>
      <c r="S520">
        <v>4.6869305953671603</v>
      </c>
      <c r="T520">
        <v>-74.129895900702493</v>
      </c>
      <c r="U520" s="22">
        <v>14121</v>
      </c>
      <c r="V520" s="22">
        <v>10193.5</v>
      </c>
      <c r="W520" s="25">
        <v>10461</v>
      </c>
      <c r="X520" s="24">
        <v>10476</v>
      </c>
      <c r="Y520" s="24">
        <v>147722</v>
      </c>
      <c r="Z520" s="24">
        <v>106786</v>
      </c>
      <c r="AA520" s="24">
        <v>14009</v>
      </c>
      <c r="AB520" s="42">
        <v>2353</v>
      </c>
      <c r="AC520" s="24">
        <v>56949</v>
      </c>
      <c r="AD520" s="24">
        <v>41684</v>
      </c>
      <c r="AE520" s="24">
        <v>5000</v>
      </c>
      <c r="AF520" s="24">
        <v>4207</v>
      </c>
      <c r="AG520" s="17">
        <v>1.554</v>
      </c>
      <c r="AH520" s="16" t="s">
        <v>58</v>
      </c>
      <c r="AI520" s="16" t="s">
        <v>49</v>
      </c>
      <c r="AJ520" s="16" t="s">
        <v>124</v>
      </c>
      <c r="AK520" s="16" t="s">
        <v>65</v>
      </c>
      <c r="AL520" s="25">
        <v>204160</v>
      </c>
      <c r="AM520" s="43">
        <f t="shared" si="35"/>
        <v>58.823529411764703</v>
      </c>
      <c r="AN520" s="16" t="s">
        <v>350</v>
      </c>
      <c r="AO520" s="16" t="s">
        <v>53</v>
      </c>
    </row>
    <row r="521" spans="1:41" ht="14.5" x14ac:dyDescent="0.35">
      <c r="A521" s="27" t="s">
        <v>1644</v>
      </c>
      <c r="B521" s="16" t="s">
        <v>55</v>
      </c>
      <c r="C521" s="16" t="s">
        <v>43</v>
      </c>
      <c r="D521" s="16" t="s">
        <v>44</v>
      </c>
      <c r="E521" s="16" t="s">
        <v>1645</v>
      </c>
      <c r="F521" s="16">
        <v>6</v>
      </c>
      <c r="G521" s="30" t="s">
        <v>1646</v>
      </c>
      <c r="H521" s="16">
        <v>0</v>
      </c>
      <c r="I521" s="16" t="s">
        <v>47</v>
      </c>
      <c r="J521" s="16">
        <v>109.38</v>
      </c>
      <c r="K521" s="16">
        <v>561</v>
      </c>
      <c r="L521" s="16">
        <v>6222</v>
      </c>
      <c r="M521" s="8">
        <v>59</v>
      </c>
      <c r="N521" s="21">
        <v>45260</v>
      </c>
      <c r="O521" s="7">
        <f t="shared" si="32"/>
        <v>30</v>
      </c>
      <c r="P521" s="22">
        <f t="shared" si="33"/>
        <v>1</v>
      </c>
      <c r="Q521" s="22">
        <f t="shared" si="34"/>
        <v>30</v>
      </c>
      <c r="R521" s="16">
        <v>34</v>
      </c>
      <c r="S521">
        <v>4.6259572899678396</v>
      </c>
      <c r="T521">
        <v>-74.117619911159395</v>
      </c>
      <c r="U521" s="22">
        <v>17951</v>
      </c>
      <c r="V521" s="22">
        <v>20113.666669999999</v>
      </c>
      <c r="W521" s="25">
        <v>12828</v>
      </c>
      <c r="X521" s="24">
        <v>13539</v>
      </c>
      <c r="Y521" s="24">
        <v>230283</v>
      </c>
      <c r="Z521" s="24">
        <v>272308</v>
      </c>
      <c r="AA521" s="24">
        <v>17486</v>
      </c>
      <c r="AB521" s="24">
        <v>25128</v>
      </c>
      <c r="AC521" s="24">
        <v>75941</v>
      </c>
      <c r="AD521" s="24">
        <v>87650</v>
      </c>
      <c r="AE521" s="24">
        <v>5748</v>
      </c>
      <c r="AF521" s="24">
        <v>5815</v>
      </c>
      <c r="AG521" s="17">
        <v>0</v>
      </c>
      <c r="AH521" s="16" t="s">
        <v>48</v>
      </c>
      <c r="AI521" s="16" t="s">
        <v>49</v>
      </c>
      <c r="AJ521" s="16" t="s">
        <v>76</v>
      </c>
      <c r="AK521" s="16" t="s">
        <v>51</v>
      </c>
      <c r="AL521" s="25">
        <v>241405</v>
      </c>
      <c r="AM521" s="43">
        <f t="shared" si="35"/>
        <v>52.550740537575429</v>
      </c>
      <c r="AN521" s="16">
        <v>0</v>
      </c>
      <c r="AO521" s="16" t="s">
        <v>60</v>
      </c>
    </row>
    <row r="522" spans="1:41" ht="14.5" x14ac:dyDescent="0.35">
      <c r="A522" s="27" t="s">
        <v>1647</v>
      </c>
      <c r="B522" s="16" t="s">
        <v>105</v>
      </c>
      <c r="C522" s="16" t="s">
        <v>157</v>
      </c>
      <c r="D522" s="16" t="s">
        <v>829</v>
      </c>
      <c r="E522" s="16" t="s">
        <v>830</v>
      </c>
      <c r="F522" s="16">
        <v>4</v>
      </c>
      <c r="G522" s="30" t="s">
        <v>1648</v>
      </c>
      <c r="H522" s="16" t="s">
        <v>1649</v>
      </c>
      <c r="I522" s="16" t="s">
        <v>47</v>
      </c>
      <c r="J522" s="16">
        <v>134.5</v>
      </c>
      <c r="K522" s="16">
        <v>285</v>
      </c>
      <c r="L522" s="16">
        <v>3906</v>
      </c>
      <c r="M522" s="8">
        <v>71</v>
      </c>
      <c r="N522" s="21">
        <v>45590</v>
      </c>
      <c r="O522" s="7">
        <f t="shared" si="32"/>
        <v>25</v>
      </c>
      <c r="P522" s="22">
        <f t="shared" si="33"/>
        <v>7</v>
      </c>
      <c r="Q522" s="22">
        <f t="shared" si="34"/>
        <v>31</v>
      </c>
      <c r="R522" s="16">
        <v>23</v>
      </c>
      <c r="S522">
        <v>6.1635206138489602</v>
      </c>
      <c r="T522">
        <v>-75.6017816887137</v>
      </c>
      <c r="U522" s="22">
        <v>21490</v>
      </c>
      <c r="V522" s="22">
        <v>19533.833330000001</v>
      </c>
      <c r="W522" s="25">
        <v>12036</v>
      </c>
      <c r="X522" s="24">
        <v>12265</v>
      </c>
      <c r="Y522" s="24">
        <v>258644</v>
      </c>
      <c r="Z522" s="24">
        <v>239590</v>
      </c>
      <c r="AA522" s="24">
        <v>32865</v>
      </c>
      <c r="AB522" s="24">
        <v>17963</v>
      </c>
      <c r="AC522" s="24">
        <v>105446</v>
      </c>
      <c r="AD522" s="24">
        <v>93581</v>
      </c>
      <c r="AE522" s="24">
        <v>15044</v>
      </c>
      <c r="AF522" s="24">
        <v>15189</v>
      </c>
      <c r="AG522" s="17">
        <v>0</v>
      </c>
      <c r="AH522" s="16" t="s">
        <v>48</v>
      </c>
      <c r="AI522" s="16" t="s">
        <v>49</v>
      </c>
      <c r="AJ522" s="16" t="s">
        <v>50</v>
      </c>
      <c r="AK522" s="16" t="s">
        <v>51</v>
      </c>
      <c r="AL522" s="25">
        <v>232000</v>
      </c>
      <c r="AM522" s="43">
        <f t="shared" si="35"/>
        <v>111.85130111524164</v>
      </c>
      <c r="AN522" s="16" t="s">
        <v>1109</v>
      </c>
      <c r="AO522" s="16" t="s">
        <v>60</v>
      </c>
    </row>
    <row r="523" spans="1:41" ht="14.5" x14ac:dyDescent="0.35">
      <c r="A523" s="27" t="s">
        <v>1650</v>
      </c>
      <c r="B523" s="16" t="s">
        <v>105</v>
      </c>
      <c r="C523" s="16" t="s">
        <v>157</v>
      </c>
      <c r="D523" s="16" t="s">
        <v>303</v>
      </c>
      <c r="E523" s="16" t="s">
        <v>304</v>
      </c>
      <c r="F523" s="16">
        <v>6</v>
      </c>
      <c r="G523" s="30" t="s">
        <v>1651</v>
      </c>
      <c r="H523" s="16" t="s">
        <v>1652</v>
      </c>
      <c r="I523" s="16" t="s">
        <v>47</v>
      </c>
      <c r="J523" s="16">
        <v>117.76</v>
      </c>
      <c r="K523" s="16">
        <v>939</v>
      </c>
      <c r="L523" s="16">
        <v>4000</v>
      </c>
      <c r="M523" s="8">
        <v>72</v>
      </c>
      <c r="N523" s="21">
        <v>45686</v>
      </c>
      <c r="O523" s="7">
        <f t="shared" si="32"/>
        <v>29</v>
      </c>
      <c r="P523" s="22">
        <f t="shared" si="33"/>
        <v>3</v>
      </c>
      <c r="Q523" s="22">
        <f t="shared" si="34"/>
        <v>31</v>
      </c>
      <c r="R523" s="16">
        <v>20</v>
      </c>
      <c r="S523">
        <v>6.1519236283169603</v>
      </c>
      <c r="T523">
        <v>-75.611783045526806</v>
      </c>
      <c r="U523" s="22">
        <v>18208</v>
      </c>
      <c r="V523" s="22">
        <v>16299.666670000001</v>
      </c>
      <c r="W523" s="25">
        <v>12407</v>
      </c>
      <c r="X523" s="24">
        <v>12773</v>
      </c>
      <c r="Y523" s="24">
        <v>225903</v>
      </c>
      <c r="Z523" s="24">
        <v>208191</v>
      </c>
      <c r="AA523" s="24">
        <v>19719</v>
      </c>
      <c r="AB523" s="24">
        <v>14082</v>
      </c>
      <c r="AC523" s="24">
        <v>84550</v>
      </c>
      <c r="AD523" s="24">
        <v>78239</v>
      </c>
      <c r="AE523" s="24">
        <v>11782</v>
      </c>
      <c r="AF523" s="24">
        <v>11900</v>
      </c>
      <c r="AG523" s="17">
        <v>0</v>
      </c>
      <c r="AH523" s="16" t="s">
        <v>64</v>
      </c>
      <c r="AI523" s="16" t="s">
        <v>49</v>
      </c>
      <c r="AJ523" s="16" t="s">
        <v>76</v>
      </c>
      <c r="AK523" s="16" t="s">
        <v>51</v>
      </c>
      <c r="AL523" s="25">
        <v>241405</v>
      </c>
      <c r="AM523" s="43">
        <f t="shared" si="35"/>
        <v>100.05095108695652</v>
      </c>
      <c r="AN523" s="16">
        <v>0</v>
      </c>
      <c r="AO523" s="16" t="s">
        <v>98</v>
      </c>
    </row>
    <row r="524" spans="1:41" ht="14.5" x14ac:dyDescent="0.35">
      <c r="A524" s="27" t="s">
        <v>1653</v>
      </c>
      <c r="B524" s="16" t="s">
        <v>55</v>
      </c>
      <c r="C524" s="16" t="s">
        <v>43</v>
      </c>
      <c r="D524" s="16" t="s">
        <v>44</v>
      </c>
      <c r="E524" s="16" t="s">
        <v>206</v>
      </c>
      <c r="F524" s="16">
        <v>3</v>
      </c>
      <c r="G524" s="30" t="s">
        <v>1654</v>
      </c>
      <c r="H524" s="16">
        <v>0</v>
      </c>
      <c r="I524" s="16" t="s">
        <v>102</v>
      </c>
      <c r="J524" s="16">
        <v>98.22</v>
      </c>
      <c r="K524" s="16">
        <v>425</v>
      </c>
      <c r="L524" s="16">
        <v>1600</v>
      </c>
      <c r="M524" s="8">
        <v>93</v>
      </c>
      <c r="N524" s="21">
        <v>45099</v>
      </c>
      <c r="O524" s="7">
        <f t="shared" si="32"/>
        <v>22</v>
      </c>
      <c r="P524" s="22">
        <f t="shared" si="33"/>
        <v>9</v>
      </c>
      <c r="Q524" s="22">
        <f t="shared" si="34"/>
        <v>30</v>
      </c>
      <c r="R524" s="16">
        <v>39</v>
      </c>
      <c r="S524">
        <v>4.6325424488593301</v>
      </c>
      <c r="T524">
        <v>-74.113535531007102</v>
      </c>
      <c r="U524" s="22">
        <v>23736</v>
      </c>
      <c r="V524" s="22">
        <v>23315.166669999999</v>
      </c>
      <c r="W524" s="25">
        <v>10913</v>
      </c>
      <c r="X524" s="24">
        <v>11063</v>
      </c>
      <c r="Y524" s="24">
        <v>259036</v>
      </c>
      <c r="Z524" s="24">
        <v>257926</v>
      </c>
      <c r="AA524" s="24">
        <v>30908</v>
      </c>
      <c r="AB524" s="24">
        <v>34635</v>
      </c>
      <c r="AC524" s="24">
        <v>97729</v>
      </c>
      <c r="AD524" s="24">
        <v>97019</v>
      </c>
      <c r="AE524" s="24">
        <v>9666</v>
      </c>
      <c r="AF524" s="24">
        <v>9599</v>
      </c>
      <c r="AG524" s="17">
        <v>0</v>
      </c>
      <c r="AH524" s="16" t="s">
        <v>58</v>
      </c>
      <c r="AI524" s="16" t="s">
        <v>49</v>
      </c>
      <c r="AJ524" s="16" t="s">
        <v>124</v>
      </c>
      <c r="AK524" s="16" t="s">
        <v>51</v>
      </c>
      <c r="AL524" s="25">
        <v>204160</v>
      </c>
      <c r="AM524" s="43">
        <f t="shared" si="35"/>
        <v>98.411728772144173</v>
      </c>
      <c r="AN524" s="16" t="s">
        <v>1655</v>
      </c>
      <c r="AO524" s="16" t="s">
        <v>60</v>
      </c>
    </row>
    <row r="525" spans="1:41" ht="14.5" x14ac:dyDescent="0.35">
      <c r="A525" s="27" t="s">
        <v>1656</v>
      </c>
      <c r="B525" s="16" t="s">
        <v>55</v>
      </c>
      <c r="C525" s="16" t="s">
        <v>43</v>
      </c>
      <c r="D525" s="16" t="s">
        <v>44</v>
      </c>
      <c r="E525" s="16" t="s">
        <v>1657</v>
      </c>
      <c r="F525" s="16">
        <v>4</v>
      </c>
      <c r="G525" s="30" t="s">
        <v>1658</v>
      </c>
      <c r="H525" s="16">
        <v>0</v>
      </c>
      <c r="I525" s="16" t="s">
        <v>102</v>
      </c>
      <c r="J525" s="16">
        <v>126.18</v>
      </c>
      <c r="K525" s="16">
        <v>1067</v>
      </c>
      <c r="L525" s="16">
        <v>3788</v>
      </c>
      <c r="M525" s="8">
        <v>47</v>
      </c>
      <c r="N525" s="21">
        <v>44782</v>
      </c>
      <c r="O525" s="7">
        <f t="shared" si="32"/>
        <v>9</v>
      </c>
      <c r="P525" s="22">
        <f t="shared" si="33"/>
        <v>23</v>
      </c>
      <c r="Q525" s="22">
        <f t="shared" si="34"/>
        <v>31</v>
      </c>
      <c r="R525" s="16">
        <v>49</v>
      </c>
      <c r="S525">
        <v>4.64490602905515</v>
      </c>
      <c r="T525">
        <v>-74.099268973605007</v>
      </c>
      <c r="U525" s="22">
        <v>35633</v>
      </c>
      <c r="V525" s="22">
        <v>34961.666669999999</v>
      </c>
      <c r="W525" s="25">
        <v>10924</v>
      </c>
      <c r="X525" s="24">
        <v>11225</v>
      </c>
      <c r="Y525" s="24">
        <v>389269</v>
      </c>
      <c r="Z525" s="24">
        <v>392442</v>
      </c>
      <c r="AA525" s="24">
        <v>70115</v>
      </c>
      <c r="AB525" s="24">
        <v>70801</v>
      </c>
      <c r="AC525" s="24">
        <v>156156</v>
      </c>
      <c r="AD525" s="24">
        <v>152665</v>
      </c>
      <c r="AE525" s="24">
        <v>20502</v>
      </c>
      <c r="AF525" s="24">
        <v>20221</v>
      </c>
      <c r="AG525" s="17">
        <v>0</v>
      </c>
      <c r="AH525" s="16" t="s">
        <v>64</v>
      </c>
      <c r="AI525" s="16" t="s">
        <v>49</v>
      </c>
      <c r="AJ525" s="16" t="s">
        <v>124</v>
      </c>
      <c r="AK525" s="16" t="s">
        <v>51</v>
      </c>
      <c r="AL525" s="25">
        <v>204160</v>
      </c>
      <c r="AM525" s="43">
        <f t="shared" si="35"/>
        <v>162.48216833095577</v>
      </c>
      <c r="AN525" s="16">
        <v>0</v>
      </c>
      <c r="AO525" s="16" t="s">
        <v>98</v>
      </c>
    </row>
    <row r="526" spans="1:41" ht="14.5" x14ac:dyDescent="0.35">
      <c r="A526" s="27" t="s">
        <v>1659</v>
      </c>
      <c r="B526" s="16" t="s">
        <v>55</v>
      </c>
      <c r="C526" s="16" t="s">
        <v>43</v>
      </c>
      <c r="D526" s="16" t="s">
        <v>44</v>
      </c>
      <c r="E526" s="16" t="s">
        <v>152</v>
      </c>
      <c r="F526" s="16">
        <v>4</v>
      </c>
      <c r="G526" s="30" t="s">
        <v>1660</v>
      </c>
      <c r="H526" s="16">
        <v>0</v>
      </c>
      <c r="I526" s="16" t="s">
        <v>47</v>
      </c>
      <c r="J526" s="16">
        <v>103.09</v>
      </c>
      <c r="K526" s="16">
        <v>1210</v>
      </c>
      <c r="L526" s="16">
        <v>780</v>
      </c>
      <c r="M526" s="8">
        <v>262</v>
      </c>
      <c r="N526" s="21">
        <v>44876</v>
      </c>
      <c r="O526" s="7">
        <f t="shared" si="32"/>
        <v>11</v>
      </c>
      <c r="P526" s="22">
        <f t="shared" si="33"/>
        <v>20</v>
      </c>
      <c r="Q526" s="22">
        <f t="shared" si="34"/>
        <v>30</v>
      </c>
      <c r="R526" s="16">
        <v>46</v>
      </c>
      <c r="S526">
        <v>4.6445820395326498</v>
      </c>
      <c r="T526">
        <v>-74.072583030657995</v>
      </c>
      <c r="U526" s="22">
        <v>19447</v>
      </c>
      <c r="V526" s="22">
        <v>19195</v>
      </c>
      <c r="W526" s="25">
        <v>11411</v>
      </c>
      <c r="X526" s="24">
        <v>11657</v>
      </c>
      <c r="Y526" s="24">
        <v>221907</v>
      </c>
      <c r="Z526" s="24">
        <v>223747</v>
      </c>
      <c r="AA526" s="24">
        <v>29482</v>
      </c>
      <c r="AB526" s="24">
        <v>25653</v>
      </c>
      <c r="AC526" s="24">
        <v>82026</v>
      </c>
      <c r="AD526" s="24">
        <v>80097</v>
      </c>
      <c r="AE526" s="24">
        <v>5202</v>
      </c>
      <c r="AF526" s="24">
        <v>5265</v>
      </c>
      <c r="AG526" s="17">
        <v>0</v>
      </c>
      <c r="AH526" s="16" t="s">
        <v>136</v>
      </c>
      <c r="AI526" s="16" t="s">
        <v>49</v>
      </c>
      <c r="AJ526" s="16" t="s">
        <v>76</v>
      </c>
      <c r="AK526" s="16" t="s">
        <v>51</v>
      </c>
      <c r="AL526" s="25">
        <v>241405</v>
      </c>
      <c r="AM526" s="43">
        <f t="shared" si="35"/>
        <v>50.460762440585896</v>
      </c>
      <c r="AN526" s="16" t="s">
        <v>510</v>
      </c>
      <c r="AO526" s="16" t="s">
        <v>60</v>
      </c>
    </row>
    <row r="527" spans="1:41" ht="14.5" x14ac:dyDescent="0.35">
      <c r="A527" s="27" t="s">
        <v>1661</v>
      </c>
      <c r="B527" s="16" t="s">
        <v>119</v>
      </c>
      <c r="C527" s="16" t="s">
        <v>120</v>
      </c>
      <c r="D527" s="16" t="s">
        <v>121</v>
      </c>
      <c r="E527" s="16" t="s">
        <v>122</v>
      </c>
      <c r="F527" s="16">
        <v>3</v>
      </c>
      <c r="G527" s="30" t="s">
        <v>1662</v>
      </c>
      <c r="H527" s="16">
        <v>0</v>
      </c>
      <c r="I527" s="16" t="s">
        <v>47</v>
      </c>
      <c r="J527" s="16">
        <v>118.5</v>
      </c>
      <c r="K527" s="16">
        <v>2367</v>
      </c>
      <c r="L527" s="16">
        <v>120</v>
      </c>
      <c r="M527" s="8">
        <v>0</v>
      </c>
      <c r="N527" s="21">
        <v>44617</v>
      </c>
      <c r="O527" s="7">
        <f t="shared" si="32"/>
        <v>25</v>
      </c>
      <c r="P527" s="22">
        <f t="shared" si="33"/>
        <v>4</v>
      </c>
      <c r="Q527" s="22">
        <f t="shared" si="34"/>
        <v>28</v>
      </c>
      <c r="R527" s="16">
        <v>55</v>
      </c>
      <c r="S527">
        <v>7.1312309192724603</v>
      </c>
      <c r="T527">
        <v>-73.119889233434904</v>
      </c>
      <c r="U527" s="22">
        <v>18753</v>
      </c>
      <c r="V527" s="22">
        <v>17992.833330000001</v>
      </c>
      <c r="W527" s="25">
        <v>10647</v>
      </c>
      <c r="X527" s="24">
        <v>10956</v>
      </c>
      <c r="Y527" s="24">
        <v>199672</v>
      </c>
      <c r="Z527" s="24">
        <v>197126</v>
      </c>
      <c r="AA527" s="24">
        <v>12417</v>
      </c>
      <c r="AB527" s="24">
        <v>14686</v>
      </c>
      <c r="AC527" s="24">
        <v>77415</v>
      </c>
      <c r="AD527" s="24">
        <v>75355</v>
      </c>
      <c r="AE527" s="24">
        <v>6834</v>
      </c>
      <c r="AF527" s="24">
        <v>6910</v>
      </c>
      <c r="AG527" s="17">
        <v>0</v>
      </c>
      <c r="AH527" s="16" t="s">
        <v>136</v>
      </c>
      <c r="AI527" s="16" t="s">
        <v>49</v>
      </c>
      <c r="AJ527" s="16" t="s">
        <v>76</v>
      </c>
      <c r="AK527" s="16" t="s">
        <v>51</v>
      </c>
      <c r="AL527" s="25">
        <v>241405</v>
      </c>
      <c r="AM527" s="43">
        <f t="shared" si="35"/>
        <v>57.670886075949369</v>
      </c>
      <c r="AN527" s="16" t="s">
        <v>374</v>
      </c>
      <c r="AO527" s="16" t="s">
        <v>60</v>
      </c>
    </row>
    <row r="528" spans="1:41" ht="14.5" x14ac:dyDescent="0.35">
      <c r="A528" s="27" t="s">
        <v>1663</v>
      </c>
      <c r="B528" s="16" t="s">
        <v>55</v>
      </c>
      <c r="C528" s="16" t="s">
        <v>43</v>
      </c>
      <c r="D528" s="16" t="s">
        <v>44</v>
      </c>
      <c r="E528" s="16" t="s">
        <v>585</v>
      </c>
      <c r="F528" s="16">
        <v>3</v>
      </c>
      <c r="G528" s="30" t="s">
        <v>1664</v>
      </c>
      <c r="H528" s="16">
        <v>0</v>
      </c>
      <c r="I528" s="16" t="s">
        <v>47</v>
      </c>
      <c r="J528" s="16">
        <v>69.92</v>
      </c>
      <c r="K528" s="16">
        <v>35</v>
      </c>
      <c r="L528" s="16">
        <v>6001</v>
      </c>
      <c r="M528" s="8">
        <v>179</v>
      </c>
      <c r="N528" s="21">
        <v>43703</v>
      </c>
      <c r="O528" s="7">
        <f t="shared" si="32"/>
        <v>26</v>
      </c>
      <c r="P528" s="22">
        <f t="shared" si="33"/>
        <v>6</v>
      </c>
      <c r="Q528" s="22">
        <f t="shared" si="34"/>
        <v>31</v>
      </c>
      <c r="R528" s="16">
        <v>85</v>
      </c>
      <c r="S528">
        <v>4.6158637904256299</v>
      </c>
      <c r="T528">
        <v>-74.102659761631998</v>
      </c>
      <c r="U528" s="22">
        <v>17268</v>
      </c>
      <c r="V528" s="22">
        <v>17079.666669999999</v>
      </c>
      <c r="W528" s="25">
        <v>9331</v>
      </c>
      <c r="X528" s="24">
        <v>9230</v>
      </c>
      <c r="Y528" s="24">
        <v>161124</v>
      </c>
      <c r="Z528" s="24">
        <v>157638</v>
      </c>
      <c r="AA528" s="24">
        <v>14089</v>
      </c>
      <c r="AB528" s="24">
        <v>12708</v>
      </c>
      <c r="AC528" s="24">
        <v>61066</v>
      </c>
      <c r="AD528" s="24">
        <v>59909</v>
      </c>
      <c r="AE528" s="24">
        <v>8801</v>
      </c>
      <c r="AF528" s="24">
        <v>8644</v>
      </c>
      <c r="AG528" s="17">
        <v>0</v>
      </c>
      <c r="AH528" s="16" t="s">
        <v>82</v>
      </c>
      <c r="AI528" s="16" t="s">
        <v>49</v>
      </c>
      <c r="AJ528" s="16" t="s">
        <v>124</v>
      </c>
      <c r="AK528" s="16" t="s">
        <v>51</v>
      </c>
      <c r="AL528" s="25">
        <v>204160</v>
      </c>
      <c r="AM528" s="43">
        <f t="shared" si="35"/>
        <v>125.87242562929062</v>
      </c>
      <c r="AN528" s="16">
        <v>0</v>
      </c>
      <c r="AO528" s="16" t="s">
        <v>53</v>
      </c>
    </row>
    <row r="529" spans="1:41" ht="14.5" x14ac:dyDescent="0.35">
      <c r="A529" s="27" t="s">
        <v>1665</v>
      </c>
      <c r="B529" s="16" t="s">
        <v>42</v>
      </c>
      <c r="C529" s="16" t="s">
        <v>43</v>
      </c>
      <c r="D529" s="16" t="s">
        <v>44</v>
      </c>
      <c r="E529" s="16" t="s">
        <v>1666</v>
      </c>
      <c r="F529" s="16">
        <v>3</v>
      </c>
      <c r="G529" s="30" t="s">
        <v>1667</v>
      </c>
      <c r="H529" s="16">
        <v>0</v>
      </c>
      <c r="I529" s="16" t="s">
        <v>47</v>
      </c>
      <c r="J529" s="16">
        <v>127.7</v>
      </c>
      <c r="K529" s="16">
        <v>4160</v>
      </c>
      <c r="L529" s="16">
        <v>100</v>
      </c>
      <c r="M529" s="8">
        <v>84</v>
      </c>
      <c r="N529" s="21">
        <v>45341</v>
      </c>
      <c r="O529" s="7">
        <f t="shared" si="32"/>
        <v>19</v>
      </c>
      <c r="P529" s="22">
        <f t="shared" si="33"/>
        <v>11</v>
      </c>
      <c r="Q529" s="22">
        <f t="shared" si="34"/>
        <v>29</v>
      </c>
      <c r="R529" s="16">
        <v>31</v>
      </c>
      <c r="S529">
        <v>4.7185973475051197</v>
      </c>
      <c r="T529">
        <v>-74.112772670511703</v>
      </c>
      <c r="U529" s="22">
        <v>22334</v>
      </c>
      <c r="V529" s="22">
        <v>21205.666669999999</v>
      </c>
      <c r="W529" s="25">
        <v>15436</v>
      </c>
      <c r="X529" s="24">
        <v>16567</v>
      </c>
      <c r="Y529" s="24">
        <v>344745</v>
      </c>
      <c r="Z529" s="24">
        <v>351323</v>
      </c>
      <c r="AA529" s="24">
        <v>46064</v>
      </c>
      <c r="AB529" s="24">
        <v>43795</v>
      </c>
      <c r="AC529" s="24">
        <v>116134</v>
      </c>
      <c r="AD529" s="24">
        <v>115085</v>
      </c>
      <c r="AE529" s="24">
        <v>8292</v>
      </c>
      <c r="AF529" s="24">
        <v>8381</v>
      </c>
      <c r="AG529" s="17">
        <v>0</v>
      </c>
      <c r="AH529" s="16" t="s">
        <v>82</v>
      </c>
      <c r="AI529" s="16" t="s">
        <v>49</v>
      </c>
      <c r="AJ529" s="16" t="s">
        <v>124</v>
      </c>
      <c r="AK529" s="16" t="s">
        <v>51</v>
      </c>
      <c r="AL529" s="25">
        <v>204160</v>
      </c>
      <c r="AM529" s="43">
        <f t="shared" si="35"/>
        <v>64.933437744714169</v>
      </c>
      <c r="AN529" s="16">
        <v>0</v>
      </c>
      <c r="AO529" s="16" t="s">
        <v>53</v>
      </c>
    </row>
    <row r="530" spans="1:41" ht="14.5" x14ac:dyDescent="0.35">
      <c r="A530" s="27" t="s">
        <v>1668</v>
      </c>
      <c r="B530" s="16" t="s">
        <v>55</v>
      </c>
      <c r="C530" s="16" t="s">
        <v>43</v>
      </c>
      <c r="D530" s="16" t="s">
        <v>44</v>
      </c>
      <c r="E530" s="16" t="s">
        <v>524</v>
      </c>
      <c r="F530" s="16">
        <v>3</v>
      </c>
      <c r="G530" s="30" t="s">
        <v>1669</v>
      </c>
      <c r="H530" s="16">
        <v>0</v>
      </c>
      <c r="I530" s="16" t="s">
        <v>47</v>
      </c>
      <c r="J530" s="16">
        <v>121.34</v>
      </c>
      <c r="K530" s="16">
        <v>1389</v>
      </c>
      <c r="L530" s="16">
        <v>515</v>
      </c>
      <c r="M530" s="8">
        <v>0</v>
      </c>
      <c r="N530" s="21">
        <v>44461</v>
      </c>
      <c r="O530" s="7">
        <f t="shared" si="32"/>
        <v>22</v>
      </c>
      <c r="P530" s="22">
        <f t="shared" si="33"/>
        <v>9</v>
      </c>
      <c r="Q530" s="22">
        <f t="shared" si="34"/>
        <v>30</v>
      </c>
      <c r="R530" s="16">
        <v>60</v>
      </c>
      <c r="S530">
        <v>4.6141083491574504</v>
      </c>
      <c r="T530">
        <v>-74.110750295678997</v>
      </c>
      <c r="U530" s="22">
        <v>23330</v>
      </c>
      <c r="V530" s="22">
        <v>23868</v>
      </c>
      <c r="W530" s="25">
        <v>14791</v>
      </c>
      <c r="X530" s="24">
        <v>14704</v>
      </c>
      <c r="Y530" s="24">
        <v>345067</v>
      </c>
      <c r="Z530" s="24">
        <v>350950</v>
      </c>
      <c r="AA530" s="24">
        <v>33471</v>
      </c>
      <c r="AB530" s="24">
        <v>39194</v>
      </c>
      <c r="AC530" s="24">
        <v>106505</v>
      </c>
      <c r="AD530" s="24">
        <v>108970</v>
      </c>
      <c r="AE530" s="24">
        <v>7876</v>
      </c>
      <c r="AF530" s="24">
        <v>7690</v>
      </c>
      <c r="AG530" s="17">
        <v>0</v>
      </c>
      <c r="AH530" s="16" t="s">
        <v>48</v>
      </c>
      <c r="AI530" s="16" t="s">
        <v>49</v>
      </c>
      <c r="AJ530" s="16" t="s">
        <v>50</v>
      </c>
      <c r="AK530" s="16" t="s">
        <v>51</v>
      </c>
      <c r="AL530" s="25">
        <v>241405</v>
      </c>
      <c r="AM530" s="43">
        <f t="shared" si="35"/>
        <v>64.908521509807159</v>
      </c>
      <c r="AN530" s="16" t="s">
        <v>165</v>
      </c>
      <c r="AO530" s="16" t="s">
        <v>60</v>
      </c>
    </row>
    <row r="531" spans="1:41" ht="14.5" x14ac:dyDescent="0.35">
      <c r="A531" s="27" t="s">
        <v>1670</v>
      </c>
      <c r="B531" s="16" t="s">
        <v>55</v>
      </c>
      <c r="C531" s="16" t="s">
        <v>43</v>
      </c>
      <c r="D531" s="16" t="s">
        <v>44</v>
      </c>
      <c r="E531" s="16" t="s">
        <v>1671</v>
      </c>
      <c r="F531" s="16">
        <v>3</v>
      </c>
      <c r="G531" s="30" t="s">
        <v>1672</v>
      </c>
      <c r="H531" s="16">
        <v>0</v>
      </c>
      <c r="I531" s="16" t="s">
        <v>47</v>
      </c>
      <c r="J531" s="16">
        <v>147.75</v>
      </c>
      <c r="K531" s="16">
        <v>2593</v>
      </c>
      <c r="L531" s="16">
        <v>0</v>
      </c>
      <c r="M531" s="8">
        <v>59</v>
      </c>
      <c r="N531" s="21">
        <v>44984</v>
      </c>
      <c r="O531" s="7">
        <f t="shared" si="32"/>
        <v>27</v>
      </c>
      <c r="P531" s="22">
        <f t="shared" si="33"/>
        <v>2</v>
      </c>
      <c r="Q531" s="22">
        <f t="shared" si="34"/>
        <v>28</v>
      </c>
      <c r="R531" s="16">
        <v>43</v>
      </c>
      <c r="S531">
        <v>4.6021675607340899</v>
      </c>
      <c r="T531">
        <v>-74.129110951391596</v>
      </c>
      <c r="U531" s="22">
        <v>19022</v>
      </c>
      <c r="V531" s="22">
        <v>19220.166669999999</v>
      </c>
      <c r="W531" s="25">
        <v>13470</v>
      </c>
      <c r="X531" s="24">
        <v>15283</v>
      </c>
      <c r="Y531" s="24">
        <v>256224</v>
      </c>
      <c r="Z531" s="24">
        <v>293734</v>
      </c>
      <c r="AA531" s="24">
        <v>22332</v>
      </c>
      <c r="AB531" s="24">
        <v>29797</v>
      </c>
      <c r="AC531" s="24">
        <v>80851</v>
      </c>
      <c r="AD531" s="24">
        <v>91573</v>
      </c>
      <c r="AE531" s="24">
        <v>7250</v>
      </c>
      <c r="AF531" s="24">
        <v>7329</v>
      </c>
      <c r="AG531" s="17">
        <v>0</v>
      </c>
      <c r="AH531" s="16" t="s">
        <v>136</v>
      </c>
      <c r="AI531" s="16" t="s">
        <v>49</v>
      </c>
      <c r="AJ531" s="16" t="s">
        <v>76</v>
      </c>
      <c r="AK531" s="16" t="s">
        <v>51</v>
      </c>
      <c r="AL531" s="25">
        <v>241405</v>
      </c>
      <c r="AM531" s="43">
        <f t="shared" si="35"/>
        <v>49.069373942470392</v>
      </c>
      <c r="AN531" s="16" t="s">
        <v>436</v>
      </c>
      <c r="AO531" s="16" t="s">
        <v>60</v>
      </c>
    </row>
    <row r="532" spans="1:41" ht="14.5" x14ac:dyDescent="0.35">
      <c r="A532" s="27" t="s">
        <v>1673</v>
      </c>
      <c r="B532" s="16" t="s">
        <v>55</v>
      </c>
      <c r="C532" s="16" t="s">
        <v>43</v>
      </c>
      <c r="D532" s="16" t="s">
        <v>44</v>
      </c>
      <c r="E532" s="16" t="s">
        <v>531</v>
      </c>
      <c r="F532" s="16">
        <v>4</v>
      </c>
      <c r="G532" s="30" t="s">
        <v>1674</v>
      </c>
      <c r="H532" s="16" t="s">
        <v>1675</v>
      </c>
      <c r="I532" s="16" t="s">
        <v>47</v>
      </c>
      <c r="J532" s="16">
        <v>105.01</v>
      </c>
      <c r="K532" s="16">
        <v>888</v>
      </c>
      <c r="L532" s="16">
        <v>1324</v>
      </c>
      <c r="M532" s="8">
        <v>105</v>
      </c>
      <c r="N532" s="21">
        <v>46232</v>
      </c>
      <c r="O532" s="7">
        <f t="shared" si="32"/>
        <v>29</v>
      </c>
      <c r="P532" s="22">
        <f t="shared" si="33"/>
        <v>3</v>
      </c>
      <c r="Q532" s="22">
        <f t="shared" si="34"/>
        <v>31</v>
      </c>
      <c r="R532" s="16">
        <v>2</v>
      </c>
      <c r="S532">
        <v>4.6654862942280699</v>
      </c>
      <c r="T532">
        <v>-74.065318471778795</v>
      </c>
      <c r="U532" s="22">
        <v>10008</v>
      </c>
      <c r="V532" s="22">
        <v>5511</v>
      </c>
      <c r="W532" s="25">
        <v>11821</v>
      </c>
      <c r="X532" s="24">
        <v>11845</v>
      </c>
      <c r="Y532" s="24">
        <v>118305</v>
      </c>
      <c r="Z532" s="24">
        <v>65275</v>
      </c>
      <c r="AA532" s="42">
        <v>18</v>
      </c>
      <c r="AB532" s="42">
        <v>-4817</v>
      </c>
      <c r="AC532" s="24">
        <v>42869</v>
      </c>
      <c r="AD532" s="24">
        <v>25520</v>
      </c>
      <c r="AE532" s="24">
        <v>0</v>
      </c>
      <c r="AF532" s="24">
        <v>57</v>
      </c>
      <c r="AG532" s="17">
        <v>0</v>
      </c>
      <c r="AH532" s="16" t="s">
        <v>48</v>
      </c>
      <c r="AI532" s="16" t="s">
        <v>49</v>
      </c>
      <c r="AJ532" s="16" t="s">
        <v>50</v>
      </c>
      <c r="AK532" s="16" t="s">
        <v>65</v>
      </c>
      <c r="AL532" s="25">
        <v>241405</v>
      </c>
      <c r="AM532" s="43">
        <f t="shared" si="35"/>
        <v>0</v>
      </c>
      <c r="AN532" s="16" t="s">
        <v>424</v>
      </c>
      <c r="AO532" s="16" t="s">
        <v>60</v>
      </c>
    </row>
    <row r="533" spans="1:41" ht="14.5" x14ac:dyDescent="0.35">
      <c r="A533" s="27" t="s">
        <v>1676</v>
      </c>
      <c r="B533" s="16" t="s">
        <v>119</v>
      </c>
      <c r="C533" s="16" t="s">
        <v>120</v>
      </c>
      <c r="D533" s="16" t="s">
        <v>121</v>
      </c>
      <c r="E533" s="16" t="s">
        <v>674</v>
      </c>
      <c r="F533" s="16">
        <v>3</v>
      </c>
      <c r="G533" s="30" t="s">
        <v>1677</v>
      </c>
      <c r="H533" s="16">
        <v>0</v>
      </c>
      <c r="I533" s="16" t="s">
        <v>47</v>
      </c>
      <c r="J533" s="16">
        <v>186.5</v>
      </c>
      <c r="K533" s="16">
        <v>1102</v>
      </c>
      <c r="L533" s="16">
        <v>481</v>
      </c>
      <c r="M533" s="8">
        <v>39</v>
      </c>
      <c r="N533" s="21">
        <v>45169</v>
      </c>
      <c r="O533" s="7">
        <f t="shared" si="32"/>
        <v>31</v>
      </c>
      <c r="P533" s="22">
        <f t="shared" si="33"/>
        <v>1</v>
      </c>
      <c r="Q533" s="22">
        <f t="shared" si="34"/>
        <v>31</v>
      </c>
      <c r="R533" s="16">
        <v>37</v>
      </c>
      <c r="S533">
        <v>7.1273633181801097</v>
      </c>
      <c r="T533">
        <v>-73.121425037556406</v>
      </c>
      <c r="U533" s="22">
        <v>19577</v>
      </c>
      <c r="V533" s="22">
        <v>18276.166669999999</v>
      </c>
      <c r="W533" s="25">
        <v>10195</v>
      </c>
      <c r="X533" s="24">
        <v>10827</v>
      </c>
      <c r="Y533" s="24">
        <v>199581</v>
      </c>
      <c r="Z533" s="24">
        <v>197870</v>
      </c>
      <c r="AA533" s="24">
        <v>16498</v>
      </c>
      <c r="AB533" s="24">
        <v>17395</v>
      </c>
      <c r="AC533" s="24">
        <v>77152</v>
      </c>
      <c r="AD533" s="24">
        <v>74150</v>
      </c>
      <c r="AE533" s="24">
        <v>7612</v>
      </c>
      <c r="AF533" s="24">
        <v>7477</v>
      </c>
      <c r="AG533" s="17">
        <v>0</v>
      </c>
      <c r="AH533" s="16" t="s">
        <v>136</v>
      </c>
      <c r="AI533" s="16" t="s">
        <v>49</v>
      </c>
      <c r="AJ533" s="16" t="s">
        <v>50</v>
      </c>
      <c r="AK533" s="16" t="s">
        <v>51</v>
      </c>
      <c r="AL533" s="25">
        <v>232000</v>
      </c>
      <c r="AM533" s="43">
        <f t="shared" si="35"/>
        <v>40.815013404825734</v>
      </c>
      <c r="AN533" s="16">
        <v>0</v>
      </c>
      <c r="AO533" s="16" t="s">
        <v>60</v>
      </c>
    </row>
    <row r="534" spans="1:41" ht="14.5" x14ac:dyDescent="0.35">
      <c r="A534" s="27" t="s">
        <v>1678</v>
      </c>
      <c r="B534" s="16" t="s">
        <v>55</v>
      </c>
      <c r="C534" s="16" t="s">
        <v>43</v>
      </c>
      <c r="D534" s="16" t="s">
        <v>44</v>
      </c>
      <c r="E534" s="16" t="s">
        <v>74</v>
      </c>
      <c r="F534" s="16">
        <v>3</v>
      </c>
      <c r="G534" s="30" t="s">
        <v>1679</v>
      </c>
      <c r="H534" s="16">
        <v>0</v>
      </c>
      <c r="I534" s="16" t="s">
        <v>47</v>
      </c>
      <c r="J534" s="16">
        <v>90.63</v>
      </c>
      <c r="K534" s="16">
        <v>5839</v>
      </c>
      <c r="L534" s="16">
        <v>0</v>
      </c>
      <c r="M534" s="8">
        <v>52</v>
      </c>
      <c r="N534" s="21">
        <v>44544</v>
      </c>
      <c r="O534" s="7">
        <f t="shared" si="32"/>
        <v>14</v>
      </c>
      <c r="P534" s="22">
        <f t="shared" si="33"/>
        <v>18</v>
      </c>
      <c r="Q534" s="22">
        <f t="shared" si="34"/>
        <v>31</v>
      </c>
      <c r="R534" s="16">
        <v>57</v>
      </c>
      <c r="S534">
        <v>4.6433655756298498</v>
      </c>
      <c r="T534">
        <v>-74.146179107384995</v>
      </c>
      <c r="U534" s="22">
        <v>22846</v>
      </c>
      <c r="V534" s="22">
        <v>22882.333330000001</v>
      </c>
      <c r="W534" s="25">
        <v>15318</v>
      </c>
      <c r="X534" s="24">
        <v>15399</v>
      </c>
      <c r="Y534" s="24">
        <v>349961</v>
      </c>
      <c r="Z534" s="24">
        <v>352373</v>
      </c>
      <c r="AA534" s="24">
        <v>48644</v>
      </c>
      <c r="AB534" s="24">
        <v>47730</v>
      </c>
      <c r="AC534" s="24">
        <v>119523</v>
      </c>
      <c r="AD534" s="24">
        <v>117033</v>
      </c>
      <c r="AE534" s="24">
        <v>6044</v>
      </c>
      <c r="AF534" s="24">
        <v>6113</v>
      </c>
      <c r="AG534" s="17">
        <v>0</v>
      </c>
      <c r="AH534" s="16" t="s">
        <v>48</v>
      </c>
      <c r="AI534" s="16" t="s">
        <v>49</v>
      </c>
      <c r="AJ534" s="16" t="s">
        <v>76</v>
      </c>
      <c r="AK534" s="16" t="s">
        <v>51</v>
      </c>
      <c r="AL534" s="25">
        <v>241405</v>
      </c>
      <c r="AM534" s="43">
        <f t="shared" si="35"/>
        <v>66.688734414652984</v>
      </c>
      <c r="AN534" s="16" t="s">
        <v>1109</v>
      </c>
      <c r="AO534" s="16" t="s">
        <v>60</v>
      </c>
    </row>
    <row r="535" spans="1:41" ht="14.5" x14ac:dyDescent="0.35">
      <c r="A535" s="27" t="s">
        <v>1680</v>
      </c>
      <c r="B535" s="16" t="s">
        <v>119</v>
      </c>
      <c r="C535" s="16" t="s">
        <v>120</v>
      </c>
      <c r="D535" s="16" t="s">
        <v>220</v>
      </c>
      <c r="E535" s="16" t="s">
        <v>221</v>
      </c>
      <c r="F535" s="16">
        <v>3</v>
      </c>
      <c r="G535" s="30" t="s">
        <v>1681</v>
      </c>
      <c r="H535" s="16">
        <v>0</v>
      </c>
      <c r="I535" s="16" t="s">
        <v>47</v>
      </c>
      <c r="J535" s="16">
        <v>192.81</v>
      </c>
      <c r="K535" s="16">
        <v>1819</v>
      </c>
      <c r="L535" s="16">
        <v>20</v>
      </c>
      <c r="M535" s="8">
        <v>132</v>
      </c>
      <c r="N535" s="21">
        <v>45076</v>
      </c>
      <c r="O535" s="7">
        <f t="shared" si="32"/>
        <v>30</v>
      </c>
      <c r="P535" s="22">
        <f t="shared" si="33"/>
        <v>2</v>
      </c>
      <c r="Q535" s="22">
        <f t="shared" si="34"/>
        <v>31</v>
      </c>
      <c r="R535" s="16">
        <v>40</v>
      </c>
      <c r="S535">
        <v>7.06464439052393</v>
      </c>
      <c r="T535">
        <v>-73.164582823660197</v>
      </c>
      <c r="U535" s="22">
        <v>23015</v>
      </c>
      <c r="V535" s="22">
        <v>22588.166669999999</v>
      </c>
      <c r="W535" s="25">
        <v>10882</v>
      </c>
      <c r="X535" s="24">
        <v>11408</v>
      </c>
      <c r="Y535" s="24">
        <v>250437</v>
      </c>
      <c r="Z535" s="24">
        <v>257676</v>
      </c>
      <c r="AA535" s="24">
        <v>17723</v>
      </c>
      <c r="AB535" s="24">
        <v>24345</v>
      </c>
      <c r="AC535" s="24">
        <v>87366</v>
      </c>
      <c r="AD535" s="24">
        <v>89751</v>
      </c>
      <c r="AE535" s="24">
        <v>8579</v>
      </c>
      <c r="AF535" s="24">
        <v>8599</v>
      </c>
      <c r="AG535" s="17">
        <v>0</v>
      </c>
      <c r="AH535" s="16" t="s">
        <v>136</v>
      </c>
      <c r="AI535" s="16" t="s">
        <v>49</v>
      </c>
      <c r="AJ535" s="16" t="s">
        <v>76</v>
      </c>
      <c r="AK535" s="16" t="s">
        <v>51</v>
      </c>
      <c r="AL535" s="25">
        <v>241405</v>
      </c>
      <c r="AM535" s="43">
        <f t="shared" si="35"/>
        <v>44.494580156630882</v>
      </c>
      <c r="AN535" s="16" t="s">
        <v>374</v>
      </c>
      <c r="AO535" s="16" t="s">
        <v>60</v>
      </c>
    </row>
    <row r="536" spans="1:41" ht="14.5" x14ac:dyDescent="0.35">
      <c r="A536" s="27" t="s">
        <v>1682</v>
      </c>
      <c r="B536" s="16" t="s">
        <v>55</v>
      </c>
      <c r="C536" s="16" t="s">
        <v>43</v>
      </c>
      <c r="D536" s="16" t="s">
        <v>44</v>
      </c>
      <c r="E536" s="16" t="s">
        <v>407</v>
      </c>
      <c r="F536" s="16">
        <v>3</v>
      </c>
      <c r="G536" s="30" t="s">
        <v>1683</v>
      </c>
      <c r="H536" s="16">
        <v>0</v>
      </c>
      <c r="I536" s="16" t="s">
        <v>47</v>
      </c>
      <c r="J536" s="16">
        <v>87.1</v>
      </c>
      <c r="K536" s="16">
        <v>426</v>
      </c>
      <c r="L536" s="16">
        <v>1309</v>
      </c>
      <c r="M536" s="8">
        <v>0</v>
      </c>
      <c r="N536" s="21">
        <v>44585</v>
      </c>
      <c r="O536" s="7">
        <f t="shared" si="32"/>
        <v>24</v>
      </c>
      <c r="P536" s="22">
        <f t="shared" si="33"/>
        <v>8</v>
      </c>
      <c r="Q536" s="22">
        <f t="shared" si="34"/>
        <v>31</v>
      </c>
      <c r="R536" s="16">
        <v>56</v>
      </c>
      <c r="S536">
        <v>4.6850120737624099</v>
      </c>
      <c r="T536">
        <v>-74.131159266654393</v>
      </c>
      <c r="U536" s="22">
        <v>15973</v>
      </c>
      <c r="V536" s="22">
        <v>19216.666669999999</v>
      </c>
      <c r="W536" s="25">
        <v>13416</v>
      </c>
      <c r="X536" s="24">
        <v>13856</v>
      </c>
      <c r="Y536" s="24">
        <v>214289</v>
      </c>
      <c r="Z536" s="24">
        <v>266258</v>
      </c>
      <c r="AA536" s="24">
        <v>20958</v>
      </c>
      <c r="AB536" s="24">
        <v>33122</v>
      </c>
      <c r="AC536" s="24">
        <v>76241</v>
      </c>
      <c r="AD536" s="24">
        <v>90811</v>
      </c>
      <c r="AE536" s="24">
        <v>6868</v>
      </c>
      <c r="AF536" s="24">
        <v>6944</v>
      </c>
      <c r="AG536" s="17">
        <v>0</v>
      </c>
      <c r="AH536" s="16" t="s">
        <v>136</v>
      </c>
      <c r="AI536" s="16" t="s">
        <v>49</v>
      </c>
      <c r="AJ536" s="16" t="s">
        <v>76</v>
      </c>
      <c r="AK536" s="16" t="s">
        <v>51</v>
      </c>
      <c r="AL536" s="25">
        <v>241405</v>
      </c>
      <c r="AM536" s="43">
        <f t="shared" si="35"/>
        <v>78.851894374282438</v>
      </c>
      <c r="AN536" s="16" t="s">
        <v>436</v>
      </c>
      <c r="AO536" s="16" t="s">
        <v>60</v>
      </c>
    </row>
    <row r="537" spans="1:41" ht="14.5" x14ac:dyDescent="0.35">
      <c r="A537" s="27" t="s">
        <v>1684</v>
      </c>
      <c r="B537" s="16" t="s">
        <v>55</v>
      </c>
      <c r="C537" s="16" t="s">
        <v>43</v>
      </c>
      <c r="D537" s="16" t="s">
        <v>44</v>
      </c>
      <c r="E537" s="16" t="s">
        <v>152</v>
      </c>
      <c r="F537" s="16">
        <v>4</v>
      </c>
      <c r="G537" s="30" t="s">
        <v>1685</v>
      </c>
      <c r="H537" s="16">
        <v>0</v>
      </c>
      <c r="I537" s="16" t="s">
        <v>47</v>
      </c>
      <c r="J537" s="16">
        <v>137.74</v>
      </c>
      <c r="K537" s="16">
        <v>1150</v>
      </c>
      <c r="L537" s="16">
        <v>450</v>
      </c>
      <c r="M537" s="8">
        <v>173</v>
      </c>
      <c r="N537" s="21">
        <v>44730</v>
      </c>
      <c r="O537" s="7">
        <f t="shared" si="32"/>
        <v>18</v>
      </c>
      <c r="P537" s="22">
        <f t="shared" si="33"/>
        <v>13</v>
      </c>
      <c r="Q537" s="22">
        <f t="shared" si="34"/>
        <v>30</v>
      </c>
      <c r="R537" s="16">
        <v>51</v>
      </c>
      <c r="S537">
        <v>4.6456623423591497</v>
      </c>
      <c r="T537">
        <v>-74.073878007070903</v>
      </c>
      <c r="U537" s="22">
        <v>14591</v>
      </c>
      <c r="V537" s="22">
        <v>13892.833329999999</v>
      </c>
      <c r="W537" s="25">
        <v>13525</v>
      </c>
      <c r="X537" s="24">
        <v>13785</v>
      </c>
      <c r="Y537" s="24">
        <v>197345</v>
      </c>
      <c r="Z537" s="24">
        <v>191518</v>
      </c>
      <c r="AA537" s="24">
        <v>10361</v>
      </c>
      <c r="AB537" s="24">
        <v>9142</v>
      </c>
      <c r="AC537" s="24">
        <v>66326</v>
      </c>
      <c r="AD537" s="24">
        <v>64672</v>
      </c>
      <c r="AE537" s="24">
        <v>9431</v>
      </c>
      <c r="AF537" s="24">
        <v>9410</v>
      </c>
      <c r="AG537" s="17">
        <v>0</v>
      </c>
      <c r="AH537" s="16" t="s">
        <v>58</v>
      </c>
      <c r="AI537" s="16" t="s">
        <v>49</v>
      </c>
      <c r="AJ537" s="16" t="s">
        <v>50</v>
      </c>
      <c r="AK537" s="16" t="s">
        <v>51</v>
      </c>
      <c r="AL537" s="25">
        <v>232000</v>
      </c>
      <c r="AM537" s="43">
        <f t="shared" si="35"/>
        <v>68.469580368810796</v>
      </c>
      <c r="AN537" s="16" t="s">
        <v>223</v>
      </c>
      <c r="AO537" s="16" t="s">
        <v>53</v>
      </c>
    </row>
    <row r="538" spans="1:41" ht="14.5" x14ac:dyDescent="0.35">
      <c r="A538" s="27" t="s">
        <v>1686</v>
      </c>
      <c r="B538" s="16" t="s">
        <v>55</v>
      </c>
      <c r="C538" s="16" t="s">
        <v>93</v>
      </c>
      <c r="D538" s="16" t="s">
        <v>776</v>
      </c>
      <c r="E538" s="16" t="s">
        <v>777</v>
      </c>
      <c r="F538" s="16">
        <v>3</v>
      </c>
      <c r="G538" s="30" t="s">
        <v>1687</v>
      </c>
      <c r="H538" s="16" t="s">
        <v>1688</v>
      </c>
      <c r="I538" s="16" t="s">
        <v>47</v>
      </c>
      <c r="J538" s="16">
        <v>133.46</v>
      </c>
      <c r="K538" s="16">
        <v>3789</v>
      </c>
      <c r="L538" s="16">
        <v>743</v>
      </c>
      <c r="M538" s="8">
        <v>55</v>
      </c>
      <c r="N538" s="21">
        <v>45443</v>
      </c>
      <c r="O538" s="7">
        <f t="shared" si="32"/>
        <v>31</v>
      </c>
      <c r="P538" s="22">
        <f t="shared" si="33"/>
        <v>1</v>
      </c>
      <c r="Q538" s="22">
        <f t="shared" si="34"/>
        <v>31</v>
      </c>
      <c r="R538" s="16">
        <v>28</v>
      </c>
      <c r="S538">
        <v>4.5815252962902004</v>
      </c>
      <c r="T538">
        <v>-74.2038967836654</v>
      </c>
      <c r="U538" s="22">
        <v>17942</v>
      </c>
      <c r="V538" s="22">
        <v>17861.833330000001</v>
      </c>
      <c r="W538" s="25">
        <v>13810</v>
      </c>
      <c r="X538" s="24">
        <v>13954</v>
      </c>
      <c r="Y538" s="24">
        <v>247774</v>
      </c>
      <c r="Z538" s="24">
        <v>249245</v>
      </c>
      <c r="AA538" s="24">
        <v>20322</v>
      </c>
      <c r="AB538" s="24">
        <v>22038</v>
      </c>
      <c r="AC538" s="24">
        <v>77537</v>
      </c>
      <c r="AD538" s="24">
        <v>79674</v>
      </c>
      <c r="AE538" s="24">
        <v>8292</v>
      </c>
      <c r="AF538" s="24">
        <v>8231</v>
      </c>
      <c r="AG538" s="17">
        <v>0</v>
      </c>
      <c r="AH538" s="16" t="s">
        <v>136</v>
      </c>
      <c r="AI538" s="16" t="s">
        <v>49</v>
      </c>
      <c r="AJ538" s="16" t="s">
        <v>50</v>
      </c>
      <c r="AK538" s="16" t="s">
        <v>51</v>
      </c>
      <c r="AL538" s="25">
        <v>232000</v>
      </c>
      <c r="AM538" s="43">
        <f t="shared" si="35"/>
        <v>62.130975573205454</v>
      </c>
      <c r="AN538" s="16" t="s">
        <v>1046</v>
      </c>
      <c r="AO538" s="16" t="s">
        <v>53</v>
      </c>
    </row>
    <row r="539" spans="1:41" ht="14.5" x14ac:dyDescent="0.35">
      <c r="A539" s="27" t="s">
        <v>1689</v>
      </c>
      <c r="B539" s="16" t="s">
        <v>55</v>
      </c>
      <c r="C539" s="16" t="s">
        <v>43</v>
      </c>
      <c r="D539" s="16" t="s">
        <v>44</v>
      </c>
      <c r="E539" s="16" t="s">
        <v>1103</v>
      </c>
      <c r="F539" s="16">
        <v>4</v>
      </c>
      <c r="G539" s="30" t="s">
        <v>1690</v>
      </c>
      <c r="H539" s="16">
        <v>0</v>
      </c>
      <c r="I539" s="16" t="s">
        <v>47</v>
      </c>
      <c r="J539" s="16">
        <v>167.88</v>
      </c>
      <c r="K539" s="16">
        <v>2913</v>
      </c>
      <c r="L539" s="16">
        <v>0</v>
      </c>
      <c r="M539" s="8">
        <v>134</v>
      </c>
      <c r="N539" s="21">
        <v>44876</v>
      </c>
      <c r="O539" s="7">
        <f t="shared" si="32"/>
        <v>11</v>
      </c>
      <c r="P539" s="22">
        <f t="shared" si="33"/>
        <v>20</v>
      </c>
      <c r="Q539" s="22">
        <f t="shared" si="34"/>
        <v>30</v>
      </c>
      <c r="R539" s="16">
        <v>46</v>
      </c>
      <c r="S539">
        <v>4.6613489613575698</v>
      </c>
      <c r="T539">
        <v>-74.081280471818204</v>
      </c>
      <c r="U539" s="22">
        <v>20359</v>
      </c>
      <c r="V539" s="22">
        <v>19678</v>
      </c>
      <c r="W539" s="25">
        <v>14656</v>
      </c>
      <c r="X539" s="24">
        <v>14824</v>
      </c>
      <c r="Y539" s="24">
        <v>298378</v>
      </c>
      <c r="Z539" s="24">
        <v>291712</v>
      </c>
      <c r="AA539" s="24">
        <v>33132</v>
      </c>
      <c r="AB539" s="24">
        <v>27701</v>
      </c>
      <c r="AC539" s="24">
        <v>102616</v>
      </c>
      <c r="AD539" s="24">
        <v>98248</v>
      </c>
      <c r="AE539" s="24">
        <v>14305</v>
      </c>
      <c r="AF539" s="24">
        <v>14444</v>
      </c>
      <c r="AG539" s="17">
        <v>0</v>
      </c>
      <c r="AH539" s="16" t="s">
        <v>48</v>
      </c>
      <c r="AI539" s="16" t="s">
        <v>49</v>
      </c>
      <c r="AJ539" s="16" t="s">
        <v>50</v>
      </c>
      <c r="AK539" s="16" t="s">
        <v>51</v>
      </c>
      <c r="AL539" s="25">
        <v>232000</v>
      </c>
      <c r="AM539" s="43">
        <f t="shared" si="35"/>
        <v>85.209673576364068</v>
      </c>
      <c r="AN539" s="16" t="s">
        <v>1426</v>
      </c>
      <c r="AO539" s="16" t="s">
        <v>60</v>
      </c>
    </row>
    <row r="540" spans="1:41" ht="14.5" x14ac:dyDescent="0.35">
      <c r="A540" s="27" t="s">
        <v>1691</v>
      </c>
      <c r="B540" s="16" t="s">
        <v>42</v>
      </c>
      <c r="C540" s="16" t="s">
        <v>43</v>
      </c>
      <c r="D540" s="16" t="s">
        <v>44</v>
      </c>
      <c r="E540" s="16" t="s">
        <v>254</v>
      </c>
      <c r="F540" s="16">
        <v>5</v>
      </c>
      <c r="G540" s="30" t="s">
        <v>1692</v>
      </c>
      <c r="H540" s="16">
        <v>0</v>
      </c>
      <c r="I540" s="16" t="s">
        <v>47</v>
      </c>
      <c r="J540" s="16">
        <v>155.38</v>
      </c>
      <c r="K540" s="16">
        <v>1428</v>
      </c>
      <c r="L540" s="16">
        <v>231</v>
      </c>
      <c r="M540" s="8">
        <v>79</v>
      </c>
      <c r="N540" s="21">
        <v>44810</v>
      </c>
      <c r="O540" s="7">
        <f t="shared" si="32"/>
        <v>6</v>
      </c>
      <c r="P540" s="22">
        <f t="shared" si="33"/>
        <v>25</v>
      </c>
      <c r="Q540" s="22">
        <f t="shared" si="34"/>
        <v>30</v>
      </c>
      <c r="R540" s="16">
        <v>48</v>
      </c>
      <c r="S540">
        <v>4.6908539382583898</v>
      </c>
      <c r="T540">
        <v>-74.046354219329302</v>
      </c>
      <c r="U540" s="22">
        <v>21105</v>
      </c>
      <c r="V540" s="22">
        <v>20321.833330000001</v>
      </c>
      <c r="W540" s="25">
        <v>13050</v>
      </c>
      <c r="X540" s="24">
        <v>13044</v>
      </c>
      <c r="Y540" s="24">
        <v>275414</v>
      </c>
      <c r="Z540" s="24">
        <v>265076</v>
      </c>
      <c r="AA540" s="24">
        <v>33268</v>
      </c>
      <c r="AB540" s="24">
        <v>26391</v>
      </c>
      <c r="AC540" s="24">
        <v>105778</v>
      </c>
      <c r="AD540" s="24">
        <v>100430</v>
      </c>
      <c r="AE540" s="24">
        <v>16662</v>
      </c>
      <c r="AF540" s="24">
        <v>16185</v>
      </c>
      <c r="AG540" s="17">
        <v>0</v>
      </c>
      <c r="AH540" s="16" t="s">
        <v>48</v>
      </c>
      <c r="AI540" s="16" t="s">
        <v>49</v>
      </c>
      <c r="AJ540" s="16" t="s">
        <v>76</v>
      </c>
      <c r="AK540" s="16" t="s">
        <v>51</v>
      </c>
      <c r="AL540" s="25">
        <v>241405</v>
      </c>
      <c r="AM540" s="43">
        <f t="shared" si="35"/>
        <v>107.23387823400695</v>
      </c>
      <c r="AN540" s="16">
        <v>0</v>
      </c>
      <c r="AO540" s="16" t="s">
        <v>60</v>
      </c>
    </row>
    <row r="541" spans="1:41" ht="14.5" x14ac:dyDescent="0.35">
      <c r="A541" s="27" t="s">
        <v>1693</v>
      </c>
      <c r="B541" s="16" t="s">
        <v>105</v>
      </c>
      <c r="C541" s="16" t="s">
        <v>157</v>
      </c>
      <c r="D541" s="16" t="s">
        <v>158</v>
      </c>
      <c r="E541" s="16" t="s">
        <v>1694</v>
      </c>
      <c r="F541" s="16">
        <v>5</v>
      </c>
      <c r="G541" s="30" t="s">
        <v>1695</v>
      </c>
      <c r="H541" s="16">
        <v>0</v>
      </c>
      <c r="I541" s="16" t="s">
        <v>47</v>
      </c>
      <c r="J541" s="16">
        <v>264.95</v>
      </c>
      <c r="K541" s="16">
        <v>2053</v>
      </c>
      <c r="L541" s="16">
        <v>176</v>
      </c>
      <c r="M541" s="8">
        <v>104</v>
      </c>
      <c r="N541" s="21">
        <v>45472</v>
      </c>
      <c r="O541" s="7">
        <f t="shared" si="32"/>
        <v>29</v>
      </c>
      <c r="P541" s="22">
        <f t="shared" si="33"/>
        <v>2</v>
      </c>
      <c r="Q541" s="22">
        <f t="shared" si="34"/>
        <v>30</v>
      </c>
      <c r="R541" s="16">
        <v>27</v>
      </c>
      <c r="S541">
        <v>6.2562279957091604</v>
      </c>
      <c r="T541">
        <v>-75.598453102376993</v>
      </c>
      <c r="U541" s="22">
        <v>17828</v>
      </c>
      <c r="V541" s="22">
        <v>16370</v>
      </c>
      <c r="W541" s="25">
        <v>14587</v>
      </c>
      <c r="X541" s="24">
        <v>14542</v>
      </c>
      <c r="Y541" s="24">
        <v>260052</v>
      </c>
      <c r="Z541" s="24">
        <v>238054</v>
      </c>
      <c r="AA541" s="24">
        <v>26275</v>
      </c>
      <c r="AB541" s="24">
        <v>18754</v>
      </c>
      <c r="AC541" s="24">
        <v>96178</v>
      </c>
      <c r="AD541" s="24">
        <v>87997</v>
      </c>
      <c r="AE541" s="24">
        <v>14373</v>
      </c>
      <c r="AF541" s="24">
        <v>14136</v>
      </c>
      <c r="AG541" s="17">
        <v>0</v>
      </c>
      <c r="AH541" s="16" t="s">
        <v>58</v>
      </c>
      <c r="AI541" s="16" t="s">
        <v>49</v>
      </c>
      <c r="AJ541" s="16" t="s">
        <v>50</v>
      </c>
      <c r="AK541" s="16" t="s">
        <v>51</v>
      </c>
      <c r="AL541" s="25">
        <v>232000</v>
      </c>
      <c r="AM541" s="43">
        <f t="shared" si="35"/>
        <v>54.247971315342518</v>
      </c>
      <c r="AN541" s="16" t="s">
        <v>258</v>
      </c>
      <c r="AO541" s="16" t="s">
        <v>60</v>
      </c>
    </row>
    <row r="542" spans="1:41" ht="14.5" x14ac:dyDescent="0.35">
      <c r="A542" s="27" t="s">
        <v>1696</v>
      </c>
      <c r="B542" s="16" t="s">
        <v>55</v>
      </c>
      <c r="C542" s="16" t="s">
        <v>43</v>
      </c>
      <c r="D542" s="16" t="s">
        <v>44</v>
      </c>
      <c r="E542" s="16" t="s">
        <v>236</v>
      </c>
      <c r="F542" s="16">
        <v>3</v>
      </c>
      <c r="G542" s="30" t="s">
        <v>1697</v>
      </c>
      <c r="H542" s="16">
        <v>0</v>
      </c>
      <c r="I542" s="16" t="s">
        <v>47</v>
      </c>
      <c r="J542" s="16">
        <v>75.599999999999994</v>
      </c>
      <c r="K542" s="16">
        <v>278</v>
      </c>
      <c r="L542" s="16">
        <v>355</v>
      </c>
      <c r="M542" s="8">
        <v>0</v>
      </c>
      <c r="N542" s="21">
        <v>44630</v>
      </c>
      <c r="O542" s="7">
        <f t="shared" si="32"/>
        <v>10</v>
      </c>
      <c r="P542" s="22">
        <f t="shared" si="33"/>
        <v>22</v>
      </c>
      <c r="Q542" s="22">
        <f t="shared" si="34"/>
        <v>31</v>
      </c>
      <c r="R542" s="16">
        <v>54</v>
      </c>
      <c r="S542">
        <v>4.6797879500267303</v>
      </c>
      <c r="T542">
        <v>-74.108892299181505</v>
      </c>
      <c r="U542" s="22">
        <v>13387</v>
      </c>
      <c r="V542" s="22">
        <v>13791.833329999999</v>
      </c>
      <c r="W542" s="25">
        <v>12478</v>
      </c>
      <c r="X542" s="24">
        <v>12089</v>
      </c>
      <c r="Y542" s="24">
        <v>167045</v>
      </c>
      <c r="Z542" s="24">
        <v>166726</v>
      </c>
      <c r="AA542" s="24">
        <v>44</v>
      </c>
      <c r="AB542" s="42">
        <v>1728</v>
      </c>
      <c r="AC542" s="24">
        <v>53602</v>
      </c>
      <c r="AD542" s="24">
        <v>52672</v>
      </c>
      <c r="AE542" s="24">
        <v>8192</v>
      </c>
      <c r="AF542" s="24">
        <v>8279</v>
      </c>
      <c r="AG542" s="17">
        <v>0</v>
      </c>
      <c r="AH542" s="16" t="s">
        <v>82</v>
      </c>
      <c r="AI542" s="16" t="s">
        <v>49</v>
      </c>
      <c r="AJ542" s="16" t="s">
        <v>50</v>
      </c>
      <c r="AK542" s="16" t="s">
        <v>51</v>
      </c>
      <c r="AL542" s="25">
        <v>232000</v>
      </c>
      <c r="AM542" s="43">
        <f t="shared" si="35"/>
        <v>108.35978835978837</v>
      </c>
      <c r="AN542" s="16" t="s">
        <v>270</v>
      </c>
      <c r="AO542" s="16" t="s">
        <v>53</v>
      </c>
    </row>
    <row r="543" spans="1:41" ht="14.5" x14ac:dyDescent="0.35">
      <c r="A543" s="27" t="s">
        <v>1698</v>
      </c>
      <c r="B543" s="16" t="s">
        <v>105</v>
      </c>
      <c r="C543" s="16" t="s">
        <v>106</v>
      </c>
      <c r="D543" s="16" t="s">
        <v>298</v>
      </c>
      <c r="E543" s="16" t="s">
        <v>696</v>
      </c>
      <c r="F543" s="16">
        <v>4</v>
      </c>
      <c r="G543" s="30" t="s">
        <v>1699</v>
      </c>
      <c r="H543" s="16">
        <v>0</v>
      </c>
      <c r="I543" s="16" t="s">
        <v>47</v>
      </c>
      <c r="J543" s="16">
        <v>176.77</v>
      </c>
      <c r="K543" s="16">
        <v>1044</v>
      </c>
      <c r="L543" s="16">
        <v>1607</v>
      </c>
      <c r="M543" s="8">
        <v>118</v>
      </c>
      <c r="N543" s="21">
        <v>44820</v>
      </c>
      <c r="O543" s="7">
        <f t="shared" si="32"/>
        <v>16</v>
      </c>
      <c r="P543" s="22">
        <f t="shared" si="33"/>
        <v>15</v>
      </c>
      <c r="Q543" s="22">
        <f t="shared" si="34"/>
        <v>30</v>
      </c>
      <c r="R543" s="16">
        <v>48</v>
      </c>
      <c r="S543">
        <v>4.81587546085838</v>
      </c>
      <c r="T543">
        <v>-75.703478978641598</v>
      </c>
      <c r="U543" s="22">
        <v>16705</v>
      </c>
      <c r="V543" s="22">
        <v>18580.833330000001</v>
      </c>
      <c r="W543" s="25">
        <v>13557</v>
      </c>
      <c r="X543" s="24">
        <v>13201</v>
      </c>
      <c r="Y543" s="24">
        <v>226477</v>
      </c>
      <c r="Z543" s="24">
        <v>245288</v>
      </c>
      <c r="AA543" s="24">
        <v>4706</v>
      </c>
      <c r="AB543" s="24">
        <v>19526</v>
      </c>
      <c r="AC543" s="24">
        <v>76139</v>
      </c>
      <c r="AD543" s="24">
        <v>82814</v>
      </c>
      <c r="AE543" s="24">
        <v>9294</v>
      </c>
      <c r="AF543" s="24">
        <v>9062</v>
      </c>
      <c r="AG543" s="17">
        <v>0</v>
      </c>
      <c r="AH543" s="16" t="s">
        <v>58</v>
      </c>
      <c r="AI543" s="16" t="s">
        <v>49</v>
      </c>
      <c r="AJ543" s="16" t="s">
        <v>50</v>
      </c>
      <c r="AK543" s="16" t="s">
        <v>51</v>
      </c>
      <c r="AL543" s="25">
        <v>232000</v>
      </c>
      <c r="AM543" s="43">
        <f t="shared" si="35"/>
        <v>52.576794704983875</v>
      </c>
      <c r="AN543" s="16" t="s">
        <v>1326</v>
      </c>
      <c r="AO543" s="16" t="s">
        <v>60</v>
      </c>
    </row>
    <row r="544" spans="1:41" ht="14.5" x14ac:dyDescent="0.35">
      <c r="A544" s="27" t="s">
        <v>1700</v>
      </c>
      <c r="B544" s="16" t="s">
        <v>55</v>
      </c>
      <c r="C544" s="16" t="s">
        <v>43</v>
      </c>
      <c r="D544" s="16" t="s">
        <v>44</v>
      </c>
      <c r="E544" s="16" t="s">
        <v>79</v>
      </c>
      <c r="F544" s="16">
        <v>3</v>
      </c>
      <c r="G544" s="30" t="s">
        <v>1701</v>
      </c>
      <c r="H544" s="16">
        <v>0</v>
      </c>
      <c r="I544" s="16" t="s">
        <v>47</v>
      </c>
      <c r="J544" s="16">
        <v>146.08000000000001</v>
      </c>
      <c r="K544" s="16">
        <v>385</v>
      </c>
      <c r="L544" s="16">
        <v>16033</v>
      </c>
      <c r="M544" s="8">
        <v>0</v>
      </c>
      <c r="N544" s="21">
        <v>43392</v>
      </c>
      <c r="O544" s="7">
        <f t="shared" si="32"/>
        <v>19</v>
      </c>
      <c r="P544" s="22">
        <f t="shared" si="33"/>
        <v>13</v>
      </c>
      <c r="Q544" s="22">
        <f t="shared" si="34"/>
        <v>31</v>
      </c>
      <c r="R544" s="16">
        <v>95</v>
      </c>
      <c r="S544">
        <v>4.6012632795127502</v>
      </c>
      <c r="T544">
        <v>-74.078199245080498</v>
      </c>
      <c r="U544" s="22">
        <v>41189</v>
      </c>
      <c r="V544" s="22">
        <v>42242.166669999999</v>
      </c>
      <c r="W544" s="25">
        <v>10476</v>
      </c>
      <c r="X544" s="24">
        <v>10614</v>
      </c>
      <c r="Y544" s="24">
        <v>431478</v>
      </c>
      <c r="Z544" s="24">
        <v>448376</v>
      </c>
      <c r="AA544" s="24">
        <v>54173</v>
      </c>
      <c r="AB544" s="24">
        <v>56760</v>
      </c>
      <c r="AC544" s="24">
        <v>145198</v>
      </c>
      <c r="AD544" s="24">
        <v>151446</v>
      </c>
      <c r="AE544" s="24">
        <v>23459</v>
      </c>
      <c r="AF544" s="24">
        <v>22717</v>
      </c>
      <c r="AG544" s="17">
        <v>0</v>
      </c>
      <c r="AH544" s="16" t="s">
        <v>58</v>
      </c>
      <c r="AI544" s="16" t="s">
        <v>49</v>
      </c>
      <c r="AJ544" s="16" t="s">
        <v>50</v>
      </c>
      <c r="AK544" s="16" t="s">
        <v>51</v>
      </c>
      <c r="AL544" s="25">
        <v>232000</v>
      </c>
      <c r="AM544" s="43">
        <f t="shared" si="35"/>
        <v>160.59008762322014</v>
      </c>
      <c r="AN544" s="16">
        <v>0</v>
      </c>
      <c r="AO544" s="16" t="s">
        <v>60</v>
      </c>
    </row>
    <row r="545" spans="1:41" ht="14.5" x14ac:dyDescent="0.35">
      <c r="A545" s="27" t="s">
        <v>1702</v>
      </c>
      <c r="B545" s="16" t="s">
        <v>42</v>
      </c>
      <c r="C545" s="16" t="s">
        <v>43</v>
      </c>
      <c r="D545" s="16" t="s">
        <v>44</v>
      </c>
      <c r="E545" s="16" t="s">
        <v>254</v>
      </c>
      <c r="F545" s="16">
        <v>4</v>
      </c>
      <c r="G545" s="30" t="s">
        <v>1703</v>
      </c>
      <c r="H545" s="16">
        <v>0</v>
      </c>
      <c r="I545" s="16" t="s">
        <v>47</v>
      </c>
      <c r="J545" s="16">
        <v>132</v>
      </c>
      <c r="K545" s="16">
        <v>1130</v>
      </c>
      <c r="L545" s="16">
        <v>3057</v>
      </c>
      <c r="M545" s="8">
        <v>0</v>
      </c>
      <c r="N545" s="21">
        <v>44113</v>
      </c>
      <c r="O545" s="7">
        <f t="shared" si="32"/>
        <v>9</v>
      </c>
      <c r="P545" s="22">
        <f t="shared" si="33"/>
        <v>23</v>
      </c>
      <c r="Q545" s="22">
        <f t="shared" si="34"/>
        <v>31</v>
      </c>
      <c r="R545" s="16">
        <v>71</v>
      </c>
      <c r="S545">
        <v>4.70094784313671</v>
      </c>
      <c r="T545">
        <v>-74.043161026886594</v>
      </c>
      <c r="U545" s="22">
        <v>20866</v>
      </c>
      <c r="V545" s="22">
        <v>21502.833330000001</v>
      </c>
      <c r="W545" s="25">
        <v>10518</v>
      </c>
      <c r="X545" s="24">
        <v>10497</v>
      </c>
      <c r="Y545" s="24">
        <v>219464</v>
      </c>
      <c r="Z545" s="24">
        <v>225707</v>
      </c>
      <c r="AA545" s="24">
        <v>16755</v>
      </c>
      <c r="AB545" s="24">
        <v>14537</v>
      </c>
      <c r="AC545" s="24">
        <v>85576</v>
      </c>
      <c r="AD545" s="24">
        <v>86280</v>
      </c>
      <c r="AE545" s="24">
        <v>19802</v>
      </c>
      <c r="AF545" s="24">
        <v>19291</v>
      </c>
      <c r="AG545" s="17">
        <v>0</v>
      </c>
      <c r="AH545" s="16" t="s">
        <v>136</v>
      </c>
      <c r="AI545" s="16" t="s">
        <v>49</v>
      </c>
      <c r="AJ545" s="16" t="s">
        <v>76</v>
      </c>
      <c r="AK545" s="16" t="s">
        <v>51</v>
      </c>
      <c r="AL545" s="25">
        <v>241405</v>
      </c>
      <c r="AM545" s="43">
        <f t="shared" si="35"/>
        <v>150.0151515151515</v>
      </c>
      <c r="AN545" s="16" t="s">
        <v>1095</v>
      </c>
      <c r="AO545" s="16" t="s">
        <v>60</v>
      </c>
    </row>
    <row r="546" spans="1:41" ht="14.5" x14ac:dyDescent="0.35">
      <c r="A546" s="27" t="s">
        <v>1704</v>
      </c>
      <c r="B546" s="16" t="s">
        <v>42</v>
      </c>
      <c r="C546" s="16" t="s">
        <v>43</v>
      </c>
      <c r="D546" s="16" t="s">
        <v>44</v>
      </c>
      <c r="E546" s="16" t="s">
        <v>340</v>
      </c>
      <c r="F546" s="16">
        <v>5</v>
      </c>
      <c r="G546" s="30" t="s">
        <v>1705</v>
      </c>
      <c r="H546" s="16" t="s">
        <v>1706</v>
      </c>
      <c r="I546" s="16" t="s">
        <v>102</v>
      </c>
      <c r="J546" s="16">
        <v>154.85</v>
      </c>
      <c r="K546" s="16">
        <v>2160</v>
      </c>
      <c r="L546" s="16">
        <v>3784</v>
      </c>
      <c r="M546" s="8">
        <v>105</v>
      </c>
      <c r="N546" s="21">
        <v>45574</v>
      </c>
      <c r="O546" s="7">
        <f t="shared" si="32"/>
        <v>9</v>
      </c>
      <c r="P546" s="22">
        <f t="shared" si="33"/>
        <v>23</v>
      </c>
      <c r="Q546" s="22">
        <f t="shared" si="34"/>
        <v>31</v>
      </c>
      <c r="R546" s="16">
        <v>23</v>
      </c>
      <c r="S546">
        <v>4.7004894672685298</v>
      </c>
      <c r="T546">
        <v>-74.028895870686</v>
      </c>
      <c r="U546" s="22">
        <v>16643</v>
      </c>
      <c r="V546" s="22">
        <v>15931.333329999999</v>
      </c>
      <c r="W546" s="25">
        <v>11905</v>
      </c>
      <c r="X546" s="24">
        <v>11860</v>
      </c>
      <c r="Y546" s="24">
        <v>198142</v>
      </c>
      <c r="Z546" s="24">
        <v>188937</v>
      </c>
      <c r="AA546" s="24">
        <v>20743</v>
      </c>
      <c r="AB546" s="24">
        <v>13346</v>
      </c>
      <c r="AC546" s="24">
        <v>78697</v>
      </c>
      <c r="AD546" s="24">
        <v>74135</v>
      </c>
      <c r="AE546" s="24">
        <v>14202</v>
      </c>
      <c r="AF546" s="24">
        <v>14340</v>
      </c>
      <c r="AG546" s="17">
        <v>0</v>
      </c>
      <c r="AH546" s="16" t="s">
        <v>90</v>
      </c>
      <c r="AI546" s="16" t="s">
        <v>49</v>
      </c>
      <c r="AJ546" s="16" t="s">
        <v>50</v>
      </c>
      <c r="AK546" s="16" t="s">
        <v>51</v>
      </c>
      <c r="AL546" s="25">
        <v>232000</v>
      </c>
      <c r="AM546" s="43">
        <f t="shared" si="35"/>
        <v>91.714562479819179</v>
      </c>
      <c r="AN546" s="16" t="s">
        <v>87</v>
      </c>
      <c r="AO546" s="16" t="s">
        <v>60</v>
      </c>
    </row>
    <row r="547" spans="1:41" ht="14.5" x14ac:dyDescent="0.35">
      <c r="A547" s="27" t="s">
        <v>1707</v>
      </c>
      <c r="B547" s="16" t="s">
        <v>42</v>
      </c>
      <c r="C547" s="16" t="s">
        <v>43</v>
      </c>
      <c r="D547" s="16" t="s">
        <v>44</v>
      </c>
      <c r="E547" s="16" t="s">
        <v>254</v>
      </c>
      <c r="F547" s="16">
        <v>6</v>
      </c>
      <c r="G547" s="30" t="s">
        <v>1708</v>
      </c>
      <c r="H547" s="16">
        <v>0</v>
      </c>
      <c r="I547" s="16" t="s">
        <v>47</v>
      </c>
      <c r="J547" s="16">
        <v>116.15</v>
      </c>
      <c r="K547" s="16">
        <v>2317</v>
      </c>
      <c r="L547" s="16">
        <v>652</v>
      </c>
      <c r="M547" s="8">
        <v>249</v>
      </c>
      <c r="N547" s="21">
        <v>44974</v>
      </c>
      <c r="O547" s="7">
        <f t="shared" si="32"/>
        <v>17</v>
      </c>
      <c r="P547" s="22">
        <f t="shared" si="33"/>
        <v>12</v>
      </c>
      <c r="Q547" s="22">
        <f t="shared" si="34"/>
        <v>28</v>
      </c>
      <c r="R547" s="16">
        <v>43</v>
      </c>
      <c r="S547">
        <v>4.6934706355820097</v>
      </c>
      <c r="T547">
        <v>-74.051031999511906</v>
      </c>
      <c r="U547" s="22">
        <v>16682</v>
      </c>
      <c r="V547" s="22">
        <v>16464</v>
      </c>
      <c r="W547" s="25">
        <v>11474</v>
      </c>
      <c r="X547" s="24">
        <v>11642</v>
      </c>
      <c r="Y547" s="24">
        <v>191415</v>
      </c>
      <c r="Z547" s="24">
        <v>191677</v>
      </c>
      <c r="AA547" s="24">
        <v>10019</v>
      </c>
      <c r="AB547" s="24">
        <v>12632</v>
      </c>
      <c r="AC547" s="24">
        <v>77063</v>
      </c>
      <c r="AD547" s="24">
        <v>76786</v>
      </c>
      <c r="AE547" s="24">
        <v>14305</v>
      </c>
      <c r="AF547" s="24">
        <v>14444</v>
      </c>
      <c r="AG547" s="17">
        <v>0</v>
      </c>
      <c r="AH547" s="16" t="s">
        <v>58</v>
      </c>
      <c r="AI547" s="16" t="s">
        <v>49</v>
      </c>
      <c r="AJ547" s="16" t="s">
        <v>124</v>
      </c>
      <c r="AK547" s="16" t="s">
        <v>51</v>
      </c>
      <c r="AL547" s="25">
        <v>204160</v>
      </c>
      <c r="AM547" s="43">
        <f t="shared" si="35"/>
        <v>123.15970727507533</v>
      </c>
      <c r="AN547" s="16">
        <v>0</v>
      </c>
      <c r="AO547" s="16" t="s">
        <v>53</v>
      </c>
    </row>
    <row r="548" spans="1:41" ht="14.5" x14ac:dyDescent="0.35">
      <c r="A548" s="27" t="s">
        <v>1709</v>
      </c>
      <c r="B548" s="16" t="s">
        <v>55</v>
      </c>
      <c r="C548" s="16" t="s">
        <v>43</v>
      </c>
      <c r="D548" s="16" t="s">
        <v>44</v>
      </c>
      <c r="E548" s="16" t="s">
        <v>133</v>
      </c>
      <c r="F548" s="16">
        <v>3</v>
      </c>
      <c r="G548" s="30" t="s">
        <v>1710</v>
      </c>
      <c r="H548" s="16">
        <v>0</v>
      </c>
      <c r="I548" s="16" t="s">
        <v>102</v>
      </c>
      <c r="J548" s="16">
        <v>117.74</v>
      </c>
      <c r="K548" s="16">
        <v>1688</v>
      </c>
      <c r="L548" s="16">
        <v>1712</v>
      </c>
      <c r="M548" s="8">
        <v>0</v>
      </c>
      <c r="N548" s="21">
        <v>42359</v>
      </c>
      <c r="O548" s="7">
        <f t="shared" si="32"/>
        <v>21</v>
      </c>
      <c r="P548" s="22">
        <f t="shared" si="33"/>
        <v>11</v>
      </c>
      <c r="Q548" s="22">
        <f t="shared" si="34"/>
        <v>31</v>
      </c>
      <c r="R548" s="16">
        <v>115</v>
      </c>
      <c r="S548">
        <v>4.6918045458813502</v>
      </c>
      <c r="T548">
        <v>-74.101000520580797</v>
      </c>
      <c r="U548" s="22">
        <v>14642</v>
      </c>
      <c r="V548" s="22">
        <v>14750.166670000001</v>
      </c>
      <c r="W548" s="25">
        <v>13489</v>
      </c>
      <c r="X548" s="24">
        <v>12490</v>
      </c>
      <c r="Y548" s="24">
        <v>197511</v>
      </c>
      <c r="Z548" s="24">
        <v>184228</v>
      </c>
      <c r="AA548" s="24">
        <v>9458</v>
      </c>
      <c r="AB548" s="24">
        <v>9726</v>
      </c>
      <c r="AC548" s="24">
        <v>61154</v>
      </c>
      <c r="AD548" s="24">
        <v>56629</v>
      </c>
      <c r="AE548" s="24">
        <v>8899</v>
      </c>
      <c r="AF548" s="24">
        <v>8764</v>
      </c>
      <c r="AG548" s="17">
        <v>0</v>
      </c>
      <c r="AH548" s="16" t="s">
        <v>58</v>
      </c>
      <c r="AI548" s="16" t="s">
        <v>49</v>
      </c>
      <c r="AJ548" s="16" t="s">
        <v>124</v>
      </c>
      <c r="AK548" s="16" t="s">
        <v>51</v>
      </c>
      <c r="AL548" s="25">
        <v>204160</v>
      </c>
      <c r="AM548" s="43">
        <f t="shared" si="35"/>
        <v>75.581790385595383</v>
      </c>
      <c r="AN548" s="16" t="s">
        <v>1711</v>
      </c>
      <c r="AO548" s="16" t="s">
        <v>60</v>
      </c>
    </row>
    <row r="549" spans="1:41" ht="14.5" x14ac:dyDescent="0.35">
      <c r="A549" s="27" t="s">
        <v>1712</v>
      </c>
      <c r="B549" s="16" t="s">
        <v>42</v>
      </c>
      <c r="C549" s="16" t="s">
        <v>43</v>
      </c>
      <c r="D549" s="16" t="s">
        <v>44</v>
      </c>
      <c r="E549" s="16" t="s">
        <v>330</v>
      </c>
      <c r="F549" s="16">
        <v>5</v>
      </c>
      <c r="G549" s="30" t="s">
        <v>1713</v>
      </c>
      <c r="H549" s="16">
        <v>0</v>
      </c>
      <c r="I549" s="16" t="s">
        <v>102</v>
      </c>
      <c r="J549" s="16">
        <v>215</v>
      </c>
      <c r="K549" s="16">
        <v>1185</v>
      </c>
      <c r="L549" s="16">
        <v>1678</v>
      </c>
      <c r="M549" s="8">
        <v>64</v>
      </c>
      <c r="N549" s="21">
        <v>41320</v>
      </c>
      <c r="O549" s="7">
        <f t="shared" si="32"/>
        <v>15</v>
      </c>
      <c r="P549" s="22">
        <f t="shared" si="33"/>
        <v>14</v>
      </c>
      <c r="Q549" s="22">
        <f t="shared" si="34"/>
        <v>28</v>
      </c>
      <c r="R549" s="16">
        <v>116</v>
      </c>
      <c r="S549">
        <v>4.6930111135889199</v>
      </c>
      <c r="T549">
        <v>-74.056636987497001</v>
      </c>
      <c r="U549" s="22">
        <v>17658</v>
      </c>
      <c r="V549" s="22">
        <v>18677.166669999999</v>
      </c>
      <c r="W549" s="25">
        <v>9720</v>
      </c>
      <c r="X549" s="24">
        <v>9887</v>
      </c>
      <c r="Y549" s="24">
        <v>171629</v>
      </c>
      <c r="Z549" s="24">
        <v>184659</v>
      </c>
      <c r="AA549" s="24">
        <v>1897</v>
      </c>
      <c r="AB549" s="24">
        <v>13376</v>
      </c>
      <c r="AC549" s="24">
        <v>68738</v>
      </c>
      <c r="AD549" s="24">
        <v>78510</v>
      </c>
      <c r="AE549" s="24">
        <v>17602</v>
      </c>
      <c r="AF549" s="24">
        <v>17479</v>
      </c>
      <c r="AG549" s="17">
        <v>0</v>
      </c>
      <c r="AH549" s="16" t="s">
        <v>136</v>
      </c>
      <c r="AI549" s="16" t="s">
        <v>49</v>
      </c>
      <c r="AJ549" s="16" t="s">
        <v>50</v>
      </c>
      <c r="AK549" s="16" t="s">
        <v>51</v>
      </c>
      <c r="AL549" s="25">
        <v>232000</v>
      </c>
      <c r="AM549" s="43">
        <f t="shared" si="35"/>
        <v>81.869767441860461</v>
      </c>
      <c r="AN549" s="16" t="s">
        <v>155</v>
      </c>
      <c r="AO549" s="16" t="s">
        <v>60</v>
      </c>
    </row>
    <row r="550" spans="1:41" ht="14.5" x14ac:dyDescent="0.35">
      <c r="A550" s="27" t="s">
        <v>1714</v>
      </c>
      <c r="B550" s="16" t="s">
        <v>55</v>
      </c>
      <c r="C550" s="16" t="s">
        <v>43</v>
      </c>
      <c r="D550" s="16" t="s">
        <v>44</v>
      </c>
      <c r="E550" s="16" t="s">
        <v>133</v>
      </c>
      <c r="F550" s="16">
        <v>3</v>
      </c>
      <c r="G550" s="30" t="s">
        <v>1715</v>
      </c>
      <c r="H550" s="16">
        <v>0</v>
      </c>
      <c r="I550" s="16" t="s">
        <v>47</v>
      </c>
      <c r="J550" s="16">
        <v>139.31</v>
      </c>
      <c r="K550" s="16">
        <v>1549</v>
      </c>
      <c r="L550" s="16">
        <v>1207</v>
      </c>
      <c r="M550" s="8">
        <v>70</v>
      </c>
      <c r="N550" s="21">
        <v>45429</v>
      </c>
      <c r="O550" s="7">
        <f t="shared" si="32"/>
        <v>17</v>
      </c>
      <c r="P550" s="22">
        <f t="shared" si="33"/>
        <v>15</v>
      </c>
      <c r="Q550" s="22">
        <f t="shared" si="34"/>
        <v>31</v>
      </c>
      <c r="R550" s="16">
        <v>28</v>
      </c>
      <c r="S550">
        <v>4.6910752379771603</v>
      </c>
      <c r="T550">
        <v>-74.098133703918094</v>
      </c>
      <c r="U550" s="22">
        <v>20160</v>
      </c>
      <c r="V550" s="22">
        <v>19708</v>
      </c>
      <c r="W550" s="25">
        <v>12596</v>
      </c>
      <c r="X550" s="24">
        <v>12303</v>
      </c>
      <c r="Y550" s="24">
        <v>253942</v>
      </c>
      <c r="Z550" s="24">
        <v>242475</v>
      </c>
      <c r="AA550" s="24">
        <v>22260</v>
      </c>
      <c r="AB550" s="24">
        <v>18653</v>
      </c>
      <c r="AC550" s="24">
        <v>86263</v>
      </c>
      <c r="AD550" s="24">
        <v>81425</v>
      </c>
      <c r="AE550" s="24">
        <v>10504</v>
      </c>
      <c r="AF550" s="24">
        <v>10484</v>
      </c>
      <c r="AG550" s="17">
        <v>0</v>
      </c>
      <c r="AH550" s="16" t="s">
        <v>48</v>
      </c>
      <c r="AI550" s="16" t="s">
        <v>49</v>
      </c>
      <c r="AJ550" s="16" t="s">
        <v>50</v>
      </c>
      <c r="AK550" s="16" t="s">
        <v>51</v>
      </c>
      <c r="AL550" s="25">
        <v>232000</v>
      </c>
      <c r="AM550" s="43">
        <f t="shared" si="35"/>
        <v>75.400186634125333</v>
      </c>
      <c r="AN550" s="16" t="s">
        <v>477</v>
      </c>
      <c r="AO550" s="16" t="s">
        <v>60</v>
      </c>
    </row>
    <row r="551" spans="1:41" ht="14.5" x14ac:dyDescent="0.35">
      <c r="A551" s="27" t="s">
        <v>1716</v>
      </c>
      <c r="B551" s="16" t="s">
        <v>42</v>
      </c>
      <c r="C551" s="16" t="s">
        <v>43</v>
      </c>
      <c r="D551" s="16" t="s">
        <v>44</v>
      </c>
      <c r="E551" s="16" t="s">
        <v>344</v>
      </c>
      <c r="F551" s="16">
        <v>3</v>
      </c>
      <c r="G551" s="30" t="s">
        <v>1717</v>
      </c>
      <c r="H551" s="16">
        <v>0</v>
      </c>
      <c r="I551" s="16" t="s">
        <v>47</v>
      </c>
      <c r="J551" s="16">
        <v>102.18</v>
      </c>
      <c r="K551" s="16">
        <v>1835</v>
      </c>
      <c r="L551" s="16">
        <v>0</v>
      </c>
      <c r="M551" s="8">
        <v>0</v>
      </c>
      <c r="N551" s="21">
        <v>43885</v>
      </c>
      <c r="O551" s="7">
        <f t="shared" si="32"/>
        <v>24</v>
      </c>
      <c r="P551" s="22">
        <f t="shared" si="33"/>
        <v>6</v>
      </c>
      <c r="Q551" s="22">
        <f t="shared" si="34"/>
        <v>29</v>
      </c>
      <c r="R551" s="16">
        <v>80</v>
      </c>
      <c r="S551">
        <v>4.7088001590005701</v>
      </c>
      <c r="T551">
        <v>-74.103821379601399</v>
      </c>
      <c r="U551" s="22">
        <v>15764</v>
      </c>
      <c r="V551" s="22">
        <v>16359.166670000001</v>
      </c>
      <c r="W551" s="25">
        <v>12464</v>
      </c>
      <c r="X551" s="24">
        <v>12751</v>
      </c>
      <c r="Y551" s="24">
        <v>196478</v>
      </c>
      <c r="Z551" s="24">
        <v>208596</v>
      </c>
      <c r="AA551" s="24">
        <v>9625</v>
      </c>
      <c r="AB551" s="24">
        <v>11612</v>
      </c>
      <c r="AC551" s="24">
        <v>61007</v>
      </c>
      <c r="AD551" s="24">
        <v>63853</v>
      </c>
      <c r="AE551" s="24">
        <v>8258</v>
      </c>
      <c r="AF551" s="24">
        <v>8346</v>
      </c>
      <c r="AG551" s="17">
        <v>0</v>
      </c>
      <c r="AH551" s="16" t="s">
        <v>136</v>
      </c>
      <c r="AI551" s="16" t="s">
        <v>49</v>
      </c>
      <c r="AJ551" s="16" t="s">
        <v>50</v>
      </c>
      <c r="AK551" s="16" t="s">
        <v>51</v>
      </c>
      <c r="AL551" s="25">
        <v>232000</v>
      </c>
      <c r="AM551" s="43">
        <f t="shared" si="35"/>
        <v>80.818164024270885</v>
      </c>
      <c r="AN551" s="16" t="s">
        <v>131</v>
      </c>
      <c r="AO551" s="16" t="s">
        <v>60</v>
      </c>
    </row>
    <row r="552" spans="1:41" ht="14.5" x14ac:dyDescent="0.35">
      <c r="A552" s="27" t="s">
        <v>1718</v>
      </c>
      <c r="B552" s="16" t="s">
        <v>55</v>
      </c>
      <c r="C552" s="16" t="s">
        <v>43</v>
      </c>
      <c r="D552" s="16" t="s">
        <v>44</v>
      </c>
      <c r="E552" s="16" t="s">
        <v>524</v>
      </c>
      <c r="F552" s="16">
        <v>3</v>
      </c>
      <c r="G552" s="30" t="s">
        <v>1719</v>
      </c>
      <c r="H552" s="16">
        <v>0</v>
      </c>
      <c r="I552" s="16" t="s">
        <v>47</v>
      </c>
      <c r="J552" s="16">
        <v>132.04</v>
      </c>
      <c r="K552" s="16">
        <v>2328</v>
      </c>
      <c r="L552" s="16">
        <v>0</v>
      </c>
      <c r="M552" s="8">
        <v>147</v>
      </c>
      <c r="N552" s="21">
        <v>44111</v>
      </c>
      <c r="O552" s="7">
        <f t="shared" si="32"/>
        <v>7</v>
      </c>
      <c r="P552" s="22">
        <f t="shared" si="33"/>
        <v>25</v>
      </c>
      <c r="Q552" s="22">
        <f t="shared" si="34"/>
        <v>31</v>
      </c>
      <c r="R552" s="16">
        <v>71</v>
      </c>
      <c r="S552">
        <v>4.6017763416687902</v>
      </c>
      <c r="T552">
        <v>-74.110396218119007</v>
      </c>
      <c r="U552" s="22">
        <v>21721</v>
      </c>
      <c r="V552" s="22">
        <v>22370.5</v>
      </c>
      <c r="W552" s="25">
        <v>13072</v>
      </c>
      <c r="X552" s="24">
        <v>13550</v>
      </c>
      <c r="Y552" s="24">
        <v>283938</v>
      </c>
      <c r="Z552" s="24">
        <v>303126</v>
      </c>
      <c r="AA552" s="24">
        <v>31734</v>
      </c>
      <c r="AB552" s="24">
        <v>38378</v>
      </c>
      <c r="AC552" s="24">
        <v>94910</v>
      </c>
      <c r="AD552" s="24">
        <v>100924</v>
      </c>
      <c r="AE552" s="24">
        <v>7334</v>
      </c>
      <c r="AF552" s="24">
        <v>7157</v>
      </c>
      <c r="AG552" s="17">
        <v>0</v>
      </c>
      <c r="AH552" s="16" t="s">
        <v>82</v>
      </c>
      <c r="AI552" s="16" t="s">
        <v>49</v>
      </c>
      <c r="AJ552" s="16" t="s">
        <v>50</v>
      </c>
      <c r="AK552" s="16" t="s">
        <v>51</v>
      </c>
      <c r="AL552" s="25">
        <v>232000</v>
      </c>
      <c r="AM552" s="43">
        <f t="shared" si="35"/>
        <v>55.543774613753413</v>
      </c>
      <c r="AN552" s="16" t="s">
        <v>1222</v>
      </c>
      <c r="AO552" s="16" t="s">
        <v>60</v>
      </c>
    </row>
    <row r="553" spans="1:41" ht="14.5" x14ac:dyDescent="0.35">
      <c r="A553" s="32" t="s">
        <v>1720</v>
      </c>
      <c r="B553" s="32" t="s">
        <v>42</v>
      </c>
      <c r="C553" s="32" t="s">
        <v>43</v>
      </c>
      <c r="D553" s="32" t="s">
        <v>44</v>
      </c>
      <c r="E553" s="32" t="s">
        <v>254</v>
      </c>
      <c r="F553" s="33">
        <v>6</v>
      </c>
      <c r="G553" s="30" t="s">
        <v>1721</v>
      </c>
      <c r="H553" s="32" t="s">
        <v>64</v>
      </c>
      <c r="I553" s="32" t="s">
        <v>47</v>
      </c>
      <c r="J553" s="34">
        <v>105.01</v>
      </c>
      <c r="K553" s="33">
        <v>2280</v>
      </c>
      <c r="L553" s="33">
        <v>530</v>
      </c>
      <c r="M553" s="8">
        <v>101</v>
      </c>
      <c r="N553" s="35">
        <v>46295</v>
      </c>
      <c r="O553" s="7">
        <f t="shared" si="32"/>
        <v>30</v>
      </c>
      <c r="P553" s="22">
        <f t="shared" si="33"/>
        <v>1</v>
      </c>
      <c r="Q553" s="22">
        <f t="shared" si="34"/>
        <v>30</v>
      </c>
      <c r="R553" s="16">
        <v>0</v>
      </c>
      <c r="S553" s="36">
        <v>4.6922889999999997</v>
      </c>
      <c r="T553" s="36">
        <v>-74.044017999999994</v>
      </c>
      <c r="U553" s="22">
        <v>0</v>
      </c>
      <c r="V553" s="22">
        <v>0</v>
      </c>
      <c r="W553" s="25">
        <v>0</v>
      </c>
      <c r="X553" s="24">
        <v>0</v>
      </c>
      <c r="Y553" s="24">
        <v>0</v>
      </c>
      <c r="Z553" s="24">
        <v>0</v>
      </c>
      <c r="AA553" s="24">
        <v>0</v>
      </c>
      <c r="AB553" s="24">
        <v>0</v>
      </c>
      <c r="AC553" s="24">
        <v>0</v>
      </c>
      <c r="AD553" s="24">
        <v>0</v>
      </c>
      <c r="AE553" s="24">
        <v>0</v>
      </c>
      <c r="AF553" s="24">
        <v>0</v>
      </c>
      <c r="AG553" s="16">
        <v>0</v>
      </c>
      <c r="AH553" s="16" t="s">
        <v>64</v>
      </c>
      <c r="AI553" s="31" t="s">
        <v>49</v>
      </c>
      <c r="AJ553" s="31" t="s">
        <v>50</v>
      </c>
      <c r="AK553" s="31" t="s">
        <v>65</v>
      </c>
      <c r="AL553" s="37">
        <v>232000</v>
      </c>
      <c r="AM553" s="43">
        <f t="shared" si="35"/>
        <v>0</v>
      </c>
      <c r="AN553" s="16" t="s">
        <v>1722</v>
      </c>
      <c r="AO553" s="16" t="s">
        <v>64</v>
      </c>
    </row>
    <row r="554" spans="1:41" ht="14.5" x14ac:dyDescent="0.35">
      <c r="A554" s="27" t="s">
        <v>1723</v>
      </c>
      <c r="B554" s="16" t="s">
        <v>105</v>
      </c>
      <c r="C554" s="16" t="s">
        <v>106</v>
      </c>
      <c r="D554" s="16" t="s">
        <v>298</v>
      </c>
      <c r="E554" s="16" t="s">
        <v>696</v>
      </c>
      <c r="F554" s="16">
        <v>4</v>
      </c>
      <c r="G554" s="30" t="s">
        <v>1724</v>
      </c>
      <c r="H554" s="16" t="s">
        <v>1725</v>
      </c>
      <c r="I554" s="16" t="s">
        <v>47</v>
      </c>
      <c r="J554" s="16">
        <v>74.05</v>
      </c>
      <c r="K554" s="16">
        <v>0</v>
      </c>
      <c r="L554" s="16">
        <v>1306</v>
      </c>
      <c r="M554" s="8">
        <v>140</v>
      </c>
      <c r="N554" s="21">
        <v>45500</v>
      </c>
      <c r="O554" s="7">
        <f t="shared" si="32"/>
        <v>27</v>
      </c>
      <c r="P554" s="22">
        <f t="shared" si="33"/>
        <v>5</v>
      </c>
      <c r="Q554" s="22">
        <f t="shared" si="34"/>
        <v>31</v>
      </c>
      <c r="R554" s="16">
        <v>26</v>
      </c>
      <c r="S554">
        <v>4.8101975955548397</v>
      </c>
      <c r="T554">
        <v>-75.693714776151793</v>
      </c>
      <c r="U554" s="22">
        <v>8408</v>
      </c>
      <c r="V554" s="22">
        <v>10642.666670000001</v>
      </c>
      <c r="W554" s="25">
        <v>9994</v>
      </c>
      <c r="X554" s="24">
        <v>11966</v>
      </c>
      <c r="Y554" s="24">
        <v>84031</v>
      </c>
      <c r="Z554" s="24">
        <v>127346</v>
      </c>
      <c r="AA554" s="42">
        <v>-39143</v>
      </c>
      <c r="AB554" s="42">
        <v>-12473</v>
      </c>
      <c r="AC554" s="24">
        <v>23750</v>
      </c>
      <c r="AD554" s="24">
        <v>43134</v>
      </c>
      <c r="AE554" s="24">
        <v>9398</v>
      </c>
      <c r="AF554" s="24">
        <v>9234</v>
      </c>
      <c r="AG554" s="17">
        <v>0</v>
      </c>
      <c r="AH554" s="16" t="s">
        <v>48</v>
      </c>
      <c r="AI554" s="16" t="s">
        <v>49</v>
      </c>
      <c r="AJ554" s="16" t="s">
        <v>50</v>
      </c>
      <c r="AK554" s="16" t="s">
        <v>51</v>
      </c>
      <c r="AL554" s="25">
        <v>232000</v>
      </c>
      <c r="AM554" s="43">
        <f t="shared" si="35"/>
        <v>126.91424713031736</v>
      </c>
      <c r="AN554" s="16" t="s">
        <v>97</v>
      </c>
      <c r="AO554" s="16" t="s">
        <v>60</v>
      </c>
    </row>
    <row r="555" spans="1:41" ht="14.5" x14ac:dyDescent="0.35">
      <c r="A555" s="27" t="s">
        <v>1726</v>
      </c>
      <c r="B555" s="16" t="s">
        <v>55</v>
      </c>
      <c r="C555" s="16" t="s">
        <v>43</v>
      </c>
      <c r="D555" s="16" t="s">
        <v>44</v>
      </c>
      <c r="E555" s="16" t="s">
        <v>1608</v>
      </c>
      <c r="F555" s="16">
        <v>3</v>
      </c>
      <c r="G555" s="30" t="s">
        <v>1727</v>
      </c>
      <c r="H555" s="16">
        <v>0</v>
      </c>
      <c r="I555" s="16" t="s">
        <v>47</v>
      </c>
      <c r="J555" s="16">
        <v>102.57</v>
      </c>
      <c r="K555" s="16">
        <v>2090</v>
      </c>
      <c r="L555" s="16">
        <v>920</v>
      </c>
      <c r="M555" s="8">
        <v>95</v>
      </c>
      <c r="N555" s="21">
        <v>45254</v>
      </c>
      <c r="O555" s="7">
        <f t="shared" si="32"/>
        <v>24</v>
      </c>
      <c r="P555" s="22">
        <f t="shared" si="33"/>
        <v>7</v>
      </c>
      <c r="Q555" s="22">
        <f t="shared" si="34"/>
        <v>30</v>
      </c>
      <c r="R555" s="16">
        <v>34</v>
      </c>
      <c r="S555">
        <v>4.5845699099074997</v>
      </c>
      <c r="T555">
        <v>-74.109966354502504</v>
      </c>
      <c r="U555" s="22">
        <v>17257</v>
      </c>
      <c r="V555" s="22">
        <v>16842.5</v>
      </c>
      <c r="W555" s="25">
        <v>11902</v>
      </c>
      <c r="X555" s="24">
        <v>12032</v>
      </c>
      <c r="Y555" s="24">
        <v>205394</v>
      </c>
      <c r="Z555" s="24">
        <v>202641</v>
      </c>
      <c r="AA555" s="24">
        <v>11310</v>
      </c>
      <c r="AB555" s="24">
        <v>9678</v>
      </c>
      <c r="AC555" s="24">
        <v>66965</v>
      </c>
      <c r="AD555" s="24">
        <v>65980</v>
      </c>
      <c r="AE555" s="24">
        <v>7243</v>
      </c>
      <c r="AF555" s="24">
        <v>7322</v>
      </c>
      <c r="AG555" s="17">
        <v>0</v>
      </c>
      <c r="AH555" s="16" t="s">
        <v>58</v>
      </c>
      <c r="AI555" s="16" t="s">
        <v>49</v>
      </c>
      <c r="AJ555" s="16" t="s">
        <v>124</v>
      </c>
      <c r="AK555" s="16" t="s">
        <v>51</v>
      </c>
      <c r="AL555" s="25">
        <v>204160</v>
      </c>
      <c r="AM555" s="43">
        <f t="shared" si="35"/>
        <v>70.615189626596475</v>
      </c>
      <c r="AN555" s="16" t="s">
        <v>591</v>
      </c>
      <c r="AO555" s="16" t="s">
        <v>60</v>
      </c>
    </row>
    <row r="556" spans="1:41" ht="14.5" x14ac:dyDescent="0.35">
      <c r="A556" s="27" t="s">
        <v>1728</v>
      </c>
      <c r="B556" s="16" t="s">
        <v>55</v>
      </c>
      <c r="C556" s="16" t="s">
        <v>43</v>
      </c>
      <c r="D556" s="16" t="s">
        <v>44</v>
      </c>
      <c r="E556" s="16" t="s">
        <v>473</v>
      </c>
      <c r="F556" s="16">
        <v>3</v>
      </c>
      <c r="G556" s="30" t="s">
        <v>1729</v>
      </c>
      <c r="H556" s="16">
        <v>0</v>
      </c>
      <c r="I556" s="16" t="s">
        <v>47</v>
      </c>
      <c r="J556" s="16">
        <v>160.27000000000001</v>
      </c>
      <c r="K556" s="16">
        <v>2886</v>
      </c>
      <c r="L556" s="16">
        <v>8600</v>
      </c>
      <c r="M556" s="8">
        <v>0</v>
      </c>
      <c r="N556" s="21">
        <v>43515</v>
      </c>
      <c r="O556" s="7">
        <f t="shared" si="32"/>
        <v>19</v>
      </c>
      <c r="P556" s="22">
        <f t="shared" si="33"/>
        <v>10</v>
      </c>
      <c r="Q556" s="22">
        <f t="shared" si="34"/>
        <v>28</v>
      </c>
      <c r="R556" s="16">
        <v>91</v>
      </c>
      <c r="S556">
        <v>4.6382904180672497</v>
      </c>
      <c r="T556">
        <v>-74.065506699229303</v>
      </c>
      <c r="U556" s="22">
        <v>32193</v>
      </c>
      <c r="V556" s="22">
        <v>29972.833330000001</v>
      </c>
      <c r="W556" s="25">
        <v>9953</v>
      </c>
      <c r="X556" s="24">
        <v>9932</v>
      </c>
      <c r="Y556" s="24">
        <v>320409</v>
      </c>
      <c r="Z556" s="24">
        <v>297686</v>
      </c>
      <c r="AA556" s="24">
        <v>34313</v>
      </c>
      <c r="AB556" s="24">
        <v>27062</v>
      </c>
      <c r="AC556" s="24">
        <v>117844</v>
      </c>
      <c r="AD556" s="24">
        <v>106748</v>
      </c>
      <c r="AE556" s="24">
        <v>17937</v>
      </c>
      <c r="AF556" s="24">
        <v>18106</v>
      </c>
      <c r="AG556" s="17">
        <v>0</v>
      </c>
      <c r="AH556" s="16" t="s">
        <v>58</v>
      </c>
      <c r="AI556" s="16" t="s">
        <v>49</v>
      </c>
      <c r="AJ556" s="16" t="s">
        <v>50</v>
      </c>
      <c r="AK556" s="16" t="s">
        <v>51</v>
      </c>
      <c r="AL556" s="25">
        <v>232000</v>
      </c>
      <c r="AM556" s="43">
        <f t="shared" si="35"/>
        <v>111.91738940537842</v>
      </c>
      <c r="AN556" s="16">
        <v>0</v>
      </c>
      <c r="AO556" s="16" t="s">
        <v>98</v>
      </c>
    </row>
    <row r="557" spans="1:41" ht="14.5" x14ac:dyDescent="0.35">
      <c r="A557" s="27" t="s">
        <v>1730</v>
      </c>
      <c r="B557" s="16" t="s">
        <v>55</v>
      </c>
      <c r="C557" s="16" t="s">
        <v>43</v>
      </c>
      <c r="D557" s="16" t="s">
        <v>44</v>
      </c>
      <c r="E557" s="16" t="s">
        <v>240</v>
      </c>
      <c r="F557" s="16">
        <v>4</v>
      </c>
      <c r="G557" s="30" t="s">
        <v>1731</v>
      </c>
      <c r="H557" s="16">
        <v>0</v>
      </c>
      <c r="I557" s="16" t="s">
        <v>47</v>
      </c>
      <c r="J557" s="16">
        <v>126.23</v>
      </c>
      <c r="K557" s="16">
        <v>1387</v>
      </c>
      <c r="L557" s="16">
        <v>0</v>
      </c>
      <c r="M557" s="8">
        <v>0</v>
      </c>
      <c r="N557" s="21">
        <v>43665</v>
      </c>
      <c r="O557" s="7">
        <f t="shared" si="32"/>
        <v>19</v>
      </c>
      <c r="P557" s="22">
        <f t="shared" si="33"/>
        <v>13</v>
      </c>
      <c r="Q557" s="22">
        <f t="shared" si="34"/>
        <v>31</v>
      </c>
      <c r="R557" s="16">
        <v>86</v>
      </c>
      <c r="S557">
        <v>4.6546332723317603</v>
      </c>
      <c r="T557">
        <v>-74.111925716651598</v>
      </c>
      <c r="U557" s="22">
        <v>17783</v>
      </c>
      <c r="V557" s="22">
        <v>17499.833330000001</v>
      </c>
      <c r="W557" s="25">
        <v>12107</v>
      </c>
      <c r="X557" s="24">
        <v>12064</v>
      </c>
      <c r="Y557" s="24">
        <v>215290</v>
      </c>
      <c r="Z557" s="24">
        <v>211123</v>
      </c>
      <c r="AA557" s="24">
        <v>15559</v>
      </c>
      <c r="AB557" s="24">
        <v>13971</v>
      </c>
      <c r="AC557" s="24">
        <v>78044</v>
      </c>
      <c r="AD557" s="24">
        <v>74857</v>
      </c>
      <c r="AE557" s="24">
        <v>14008</v>
      </c>
      <c r="AF557" s="24">
        <v>13801</v>
      </c>
      <c r="AG557" s="17">
        <v>0</v>
      </c>
      <c r="AH557" s="16" t="s">
        <v>58</v>
      </c>
      <c r="AI557" s="16" t="s">
        <v>49</v>
      </c>
      <c r="AJ557" s="16" t="s">
        <v>50</v>
      </c>
      <c r="AK557" s="16" t="s">
        <v>51</v>
      </c>
      <c r="AL557" s="25">
        <v>232000</v>
      </c>
      <c r="AM557" s="43">
        <f t="shared" si="35"/>
        <v>110.97203517388893</v>
      </c>
      <c r="AN557" s="16" t="s">
        <v>234</v>
      </c>
      <c r="AO557" s="16" t="s">
        <v>60</v>
      </c>
    </row>
    <row r="558" spans="1:41" ht="14.5" x14ac:dyDescent="0.35">
      <c r="A558" s="27" t="s">
        <v>1732</v>
      </c>
      <c r="B558" s="16" t="s">
        <v>55</v>
      </c>
      <c r="C558" s="16" t="s">
        <v>43</v>
      </c>
      <c r="D558" s="16" t="s">
        <v>44</v>
      </c>
      <c r="E558" s="16" t="s">
        <v>62</v>
      </c>
      <c r="F558" s="16">
        <v>4</v>
      </c>
      <c r="G558" s="30" t="s">
        <v>1733</v>
      </c>
      <c r="H558" s="16" t="s">
        <v>1734</v>
      </c>
      <c r="I558" s="16" t="s">
        <v>47</v>
      </c>
      <c r="J558" s="16">
        <v>106.96</v>
      </c>
      <c r="K558" s="16">
        <v>2517</v>
      </c>
      <c r="L558" s="16">
        <v>1900</v>
      </c>
      <c r="M558" s="8">
        <v>110</v>
      </c>
      <c r="N558" s="21">
        <v>45565</v>
      </c>
      <c r="O558" s="7">
        <f t="shared" si="32"/>
        <v>30</v>
      </c>
      <c r="P558" s="22">
        <f t="shared" si="33"/>
        <v>1</v>
      </c>
      <c r="Q558" s="22">
        <f t="shared" si="34"/>
        <v>30</v>
      </c>
      <c r="R558" s="16">
        <v>24</v>
      </c>
      <c r="S558">
        <v>4.6360576293504998</v>
      </c>
      <c r="T558">
        <v>-74.063550199255999</v>
      </c>
      <c r="U558" s="22">
        <v>20221</v>
      </c>
      <c r="V558" s="22">
        <v>19704.833330000001</v>
      </c>
      <c r="W558" s="25">
        <v>11846</v>
      </c>
      <c r="X558" s="24">
        <v>12288</v>
      </c>
      <c r="Y558" s="24">
        <v>239539</v>
      </c>
      <c r="Z558" s="24">
        <v>242137</v>
      </c>
      <c r="AA558" s="24">
        <v>29080</v>
      </c>
      <c r="AB558" s="24">
        <v>27227</v>
      </c>
      <c r="AC558" s="24">
        <v>87544</v>
      </c>
      <c r="AD558" s="24">
        <v>84406</v>
      </c>
      <c r="AE558" s="24">
        <v>11993</v>
      </c>
      <c r="AF558" s="24">
        <v>12112</v>
      </c>
      <c r="AG558" s="17">
        <v>0</v>
      </c>
      <c r="AH558" s="16" t="s">
        <v>136</v>
      </c>
      <c r="AI558" s="16" t="s">
        <v>49</v>
      </c>
      <c r="AJ558" s="16" t="s">
        <v>50</v>
      </c>
      <c r="AK558" s="16" t="s">
        <v>51</v>
      </c>
      <c r="AL558" s="25">
        <v>232000</v>
      </c>
      <c r="AM558" s="43">
        <f t="shared" si="35"/>
        <v>112.12602842183995</v>
      </c>
      <c r="AN558" s="16" t="s">
        <v>1171</v>
      </c>
      <c r="AO558" s="16" t="s">
        <v>60</v>
      </c>
    </row>
    <row r="559" spans="1:41" ht="14.5" x14ac:dyDescent="0.35">
      <c r="A559" s="27" t="s">
        <v>1735</v>
      </c>
      <c r="B559" s="16" t="s">
        <v>55</v>
      </c>
      <c r="C559" s="16" t="s">
        <v>43</v>
      </c>
      <c r="D559" s="16" t="s">
        <v>44</v>
      </c>
      <c r="E559" s="16" t="s">
        <v>79</v>
      </c>
      <c r="F559" s="16">
        <v>3</v>
      </c>
      <c r="G559" s="30" t="s">
        <v>1736</v>
      </c>
      <c r="H559" s="16">
        <v>0</v>
      </c>
      <c r="I559" s="16" t="s">
        <v>47</v>
      </c>
      <c r="J559" s="16">
        <v>235.96</v>
      </c>
      <c r="K559" s="16">
        <v>1624</v>
      </c>
      <c r="L559" s="16">
        <v>7930</v>
      </c>
      <c r="M559" s="8">
        <v>390</v>
      </c>
      <c r="N559" s="21">
        <v>43809</v>
      </c>
      <c r="O559" s="7">
        <f t="shared" si="32"/>
        <v>10</v>
      </c>
      <c r="P559" s="22">
        <f t="shared" si="33"/>
        <v>22</v>
      </c>
      <c r="Q559" s="22">
        <f t="shared" si="34"/>
        <v>31</v>
      </c>
      <c r="R559" s="16">
        <v>81</v>
      </c>
      <c r="S559">
        <v>4.6069876201306004</v>
      </c>
      <c r="T559">
        <v>-74.070931367925297</v>
      </c>
      <c r="U559" s="22">
        <v>21429</v>
      </c>
      <c r="V559" s="22">
        <v>22214.333330000001</v>
      </c>
      <c r="W559" s="25">
        <v>9600</v>
      </c>
      <c r="X559" s="24">
        <v>9257</v>
      </c>
      <c r="Y559" s="24">
        <v>205722</v>
      </c>
      <c r="Z559" s="24">
        <v>205627</v>
      </c>
      <c r="AA559" s="24">
        <v>9570</v>
      </c>
      <c r="AB559" s="24">
        <v>7782</v>
      </c>
      <c r="AC559" s="24">
        <v>76388</v>
      </c>
      <c r="AD559" s="24">
        <v>74840</v>
      </c>
      <c r="AE559" s="24">
        <v>18843</v>
      </c>
      <c r="AF559" s="24">
        <v>19020</v>
      </c>
      <c r="AG559" s="17">
        <v>0</v>
      </c>
      <c r="AH559" s="16" t="s">
        <v>58</v>
      </c>
      <c r="AI559" s="16" t="s">
        <v>49</v>
      </c>
      <c r="AJ559" s="16" t="s">
        <v>50</v>
      </c>
      <c r="AK559" s="16" t="s">
        <v>51</v>
      </c>
      <c r="AL559" s="25">
        <v>232000</v>
      </c>
      <c r="AM559" s="43">
        <f t="shared" si="35"/>
        <v>79.856755382268176</v>
      </c>
      <c r="AN559" s="16" t="s">
        <v>279</v>
      </c>
      <c r="AO559" s="16" t="s">
        <v>60</v>
      </c>
    </row>
    <row r="560" spans="1:41" ht="14.5" x14ac:dyDescent="0.35">
      <c r="A560" s="27" t="s">
        <v>1737</v>
      </c>
      <c r="B560" s="16" t="s">
        <v>42</v>
      </c>
      <c r="C560" s="16" t="s">
        <v>43</v>
      </c>
      <c r="D560" s="16" t="s">
        <v>44</v>
      </c>
      <c r="E560" s="16" t="s">
        <v>344</v>
      </c>
      <c r="F560" s="16">
        <v>3</v>
      </c>
      <c r="G560" s="30" t="s">
        <v>1738</v>
      </c>
      <c r="H560" s="16" t="s">
        <v>1739</v>
      </c>
      <c r="I560" s="16" t="s">
        <v>47</v>
      </c>
      <c r="J560" s="16">
        <v>119.84</v>
      </c>
      <c r="K560" s="16">
        <v>1742</v>
      </c>
      <c r="L560" s="16">
        <v>810</v>
      </c>
      <c r="M560" s="8">
        <v>0</v>
      </c>
      <c r="N560" s="21">
        <v>45639</v>
      </c>
      <c r="O560" s="7">
        <f t="shared" si="32"/>
        <v>13</v>
      </c>
      <c r="P560" s="22">
        <f t="shared" si="33"/>
        <v>19</v>
      </c>
      <c r="Q560" s="22">
        <f t="shared" si="34"/>
        <v>31</v>
      </c>
      <c r="R560" s="16">
        <v>21</v>
      </c>
      <c r="S560">
        <v>4.7109415478263497</v>
      </c>
      <c r="T560">
        <v>-74.0957522669555</v>
      </c>
      <c r="U560" s="22">
        <v>16672</v>
      </c>
      <c r="V560" s="22">
        <v>15646.333329999999</v>
      </c>
      <c r="W560" s="25">
        <v>13443</v>
      </c>
      <c r="X560" s="24">
        <v>14161</v>
      </c>
      <c r="Y560" s="24">
        <v>224123</v>
      </c>
      <c r="Z560" s="24">
        <v>221565</v>
      </c>
      <c r="AA560" s="24">
        <v>18853</v>
      </c>
      <c r="AB560" s="24">
        <v>17328</v>
      </c>
      <c r="AC560" s="24">
        <v>74009</v>
      </c>
      <c r="AD560" s="24">
        <v>72428</v>
      </c>
      <c r="AE560" s="24">
        <v>7364</v>
      </c>
      <c r="AF560" s="24">
        <v>7445</v>
      </c>
      <c r="AG560" s="17">
        <v>0</v>
      </c>
      <c r="AH560" s="16" t="s">
        <v>130</v>
      </c>
      <c r="AI560" s="16" t="s">
        <v>49</v>
      </c>
      <c r="AJ560" s="16" t="s">
        <v>50</v>
      </c>
      <c r="AK560" s="16" t="s">
        <v>51</v>
      </c>
      <c r="AL560" s="25">
        <v>232000</v>
      </c>
      <c r="AM560" s="43">
        <f t="shared" si="35"/>
        <v>61.44859813084112</v>
      </c>
      <c r="AN560" s="16">
        <v>0</v>
      </c>
      <c r="AO560" s="16" t="s">
        <v>60</v>
      </c>
    </row>
    <row r="561" spans="1:41" ht="14.5" x14ac:dyDescent="0.35">
      <c r="A561" s="27" t="s">
        <v>1740</v>
      </c>
      <c r="B561" s="16" t="s">
        <v>55</v>
      </c>
      <c r="C561" s="16" t="s">
        <v>43</v>
      </c>
      <c r="D561" s="16" t="s">
        <v>44</v>
      </c>
      <c r="E561" s="16" t="s">
        <v>56</v>
      </c>
      <c r="F561" s="16">
        <v>3</v>
      </c>
      <c r="G561" s="30" t="s">
        <v>1741</v>
      </c>
      <c r="H561" s="16" t="s">
        <v>1742</v>
      </c>
      <c r="I561" s="16" t="s">
        <v>47</v>
      </c>
      <c r="J561" s="16">
        <v>108.59</v>
      </c>
      <c r="K561" s="16">
        <v>1531</v>
      </c>
      <c r="L561" s="16">
        <v>1335</v>
      </c>
      <c r="M561" s="8">
        <v>84</v>
      </c>
      <c r="N561" s="21">
        <v>45569</v>
      </c>
      <c r="O561" s="7">
        <f t="shared" si="32"/>
        <v>4</v>
      </c>
      <c r="P561" s="22">
        <f t="shared" si="33"/>
        <v>28</v>
      </c>
      <c r="Q561" s="22">
        <f t="shared" si="34"/>
        <v>31</v>
      </c>
      <c r="R561" s="16">
        <v>23</v>
      </c>
      <c r="S561">
        <v>4.5894476350591296</v>
      </c>
      <c r="T561">
        <v>-74.091132606821404</v>
      </c>
      <c r="U561" s="22">
        <v>19559</v>
      </c>
      <c r="V561" s="22">
        <v>19827.5</v>
      </c>
      <c r="W561" s="25">
        <v>10717</v>
      </c>
      <c r="X561" s="24">
        <v>10958</v>
      </c>
      <c r="Y561" s="24">
        <v>209614</v>
      </c>
      <c r="Z561" s="24">
        <v>217274</v>
      </c>
      <c r="AA561" s="24">
        <v>15707</v>
      </c>
      <c r="AB561" s="24">
        <v>17053</v>
      </c>
      <c r="AC561" s="24">
        <v>70194</v>
      </c>
      <c r="AD561" s="24">
        <v>72636</v>
      </c>
      <c r="AE561" s="24">
        <v>9994</v>
      </c>
      <c r="AF561" s="24">
        <v>10097</v>
      </c>
      <c r="AG561" s="17">
        <v>0</v>
      </c>
      <c r="AH561" s="16" t="s">
        <v>58</v>
      </c>
      <c r="AI561" s="16" t="s">
        <v>49</v>
      </c>
      <c r="AJ561" s="16" t="s">
        <v>50</v>
      </c>
      <c r="AK561" s="16" t="s">
        <v>51</v>
      </c>
      <c r="AL561" s="25">
        <v>232000</v>
      </c>
      <c r="AM561" s="43">
        <f t="shared" si="35"/>
        <v>92.034257298093749</v>
      </c>
      <c r="AN561" s="16" t="s">
        <v>1722</v>
      </c>
      <c r="AO561" s="16" t="s">
        <v>60</v>
      </c>
    </row>
    <row r="562" spans="1:41" ht="14.5" x14ac:dyDescent="0.35">
      <c r="A562" s="27" t="s">
        <v>1743</v>
      </c>
      <c r="B562" s="16" t="s">
        <v>42</v>
      </c>
      <c r="C562" s="16" t="s">
        <v>43</v>
      </c>
      <c r="D562" s="16" t="s">
        <v>44</v>
      </c>
      <c r="E562" s="16" t="s">
        <v>272</v>
      </c>
      <c r="F562" s="16">
        <v>4</v>
      </c>
      <c r="G562" s="30" t="s">
        <v>1744</v>
      </c>
      <c r="H562" s="16">
        <v>0</v>
      </c>
      <c r="I562" s="16" t="s">
        <v>47</v>
      </c>
      <c r="J562" s="16">
        <v>147.13</v>
      </c>
      <c r="K562" s="16">
        <v>784</v>
      </c>
      <c r="L562" s="16">
        <v>233</v>
      </c>
      <c r="M562" s="8">
        <v>90</v>
      </c>
      <c r="N562" s="21">
        <v>40326</v>
      </c>
      <c r="O562" s="7">
        <f t="shared" si="32"/>
        <v>28</v>
      </c>
      <c r="P562" s="22">
        <f t="shared" si="33"/>
        <v>4</v>
      </c>
      <c r="Q562" s="22">
        <f t="shared" si="34"/>
        <v>31</v>
      </c>
      <c r="R562" s="16">
        <v>116</v>
      </c>
      <c r="S562">
        <v>4.6991932595494497</v>
      </c>
      <c r="T562">
        <v>-74.076766889107105</v>
      </c>
      <c r="U562" s="22">
        <v>15621</v>
      </c>
      <c r="V562" s="22">
        <v>15527</v>
      </c>
      <c r="W562" s="25">
        <v>12239</v>
      </c>
      <c r="X562" s="24">
        <v>12420</v>
      </c>
      <c r="Y562" s="24">
        <v>191177</v>
      </c>
      <c r="Z562" s="24">
        <v>192838</v>
      </c>
      <c r="AA562" s="24">
        <v>13775</v>
      </c>
      <c r="AB562" s="24">
        <v>8619</v>
      </c>
      <c r="AC562" s="24">
        <v>68699</v>
      </c>
      <c r="AD562" s="24">
        <v>67599</v>
      </c>
      <c r="AE562" s="24">
        <v>10520</v>
      </c>
      <c r="AF562" s="24">
        <v>10627</v>
      </c>
      <c r="AG562" s="17">
        <v>0</v>
      </c>
      <c r="AH562" s="16" t="s">
        <v>82</v>
      </c>
      <c r="AI562" s="16" t="s">
        <v>49</v>
      </c>
      <c r="AJ562" s="16" t="s">
        <v>124</v>
      </c>
      <c r="AK562" s="16" t="s">
        <v>51</v>
      </c>
      <c r="AL562" s="25">
        <v>204160</v>
      </c>
      <c r="AM562" s="43">
        <f t="shared" si="35"/>
        <v>71.501393325630403</v>
      </c>
      <c r="AN562" s="16" t="s">
        <v>598</v>
      </c>
      <c r="AO562" s="16" t="s">
        <v>53</v>
      </c>
    </row>
    <row r="563" spans="1:41" ht="14.5" x14ac:dyDescent="0.35">
      <c r="A563" s="27" t="s">
        <v>1745</v>
      </c>
      <c r="B563" s="16" t="s">
        <v>42</v>
      </c>
      <c r="C563" s="16" t="s">
        <v>93</v>
      </c>
      <c r="D563" s="16" t="s">
        <v>281</v>
      </c>
      <c r="E563" s="16" t="s">
        <v>282</v>
      </c>
      <c r="F563" s="16">
        <v>3</v>
      </c>
      <c r="G563" s="30" t="s">
        <v>1746</v>
      </c>
      <c r="H563" s="16">
        <v>0</v>
      </c>
      <c r="I563" s="16" t="s">
        <v>47</v>
      </c>
      <c r="J563" s="16">
        <v>90.3</v>
      </c>
      <c r="K563" s="16">
        <v>1450</v>
      </c>
      <c r="L563" s="16">
        <v>700</v>
      </c>
      <c r="M563" s="8">
        <v>72</v>
      </c>
      <c r="N563" s="21">
        <v>44832</v>
      </c>
      <c r="O563" s="7">
        <f t="shared" si="32"/>
        <v>28</v>
      </c>
      <c r="P563" s="22">
        <f t="shared" si="33"/>
        <v>3</v>
      </c>
      <c r="Q563" s="22">
        <f t="shared" si="34"/>
        <v>30</v>
      </c>
      <c r="R563" s="16">
        <v>48</v>
      </c>
      <c r="S563">
        <v>4.8636844429312696</v>
      </c>
      <c r="T563">
        <v>-74.061226907172198</v>
      </c>
      <c r="U563" s="22">
        <v>18699</v>
      </c>
      <c r="V563" s="22">
        <v>18463.166669999999</v>
      </c>
      <c r="W563" s="25">
        <v>14063</v>
      </c>
      <c r="X563" s="24">
        <v>14185</v>
      </c>
      <c r="Y563" s="24">
        <v>262957</v>
      </c>
      <c r="Z563" s="24">
        <v>261895</v>
      </c>
      <c r="AA563" s="24">
        <v>21996</v>
      </c>
      <c r="AB563" s="24">
        <v>24670</v>
      </c>
      <c r="AC563" s="24">
        <v>87062</v>
      </c>
      <c r="AD563" s="24">
        <v>87219</v>
      </c>
      <c r="AE563" s="24">
        <v>8453</v>
      </c>
      <c r="AF563" s="24">
        <v>8543</v>
      </c>
      <c r="AG563" s="17">
        <v>0</v>
      </c>
      <c r="AH563" s="16" t="s">
        <v>136</v>
      </c>
      <c r="AI563" s="16" t="s">
        <v>49</v>
      </c>
      <c r="AJ563" s="16" t="s">
        <v>76</v>
      </c>
      <c r="AK563" s="16" t="s">
        <v>51</v>
      </c>
      <c r="AL563" s="25">
        <v>241405</v>
      </c>
      <c r="AM563" s="43">
        <f t="shared" si="35"/>
        <v>93.610188261351055</v>
      </c>
      <c r="AN563" s="16" t="s">
        <v>117</v>
      </c>
      <c r="AO563" s="16" t="s">
        <v>60</v>
      </c>
    </row>
    <row r="564" spans="1:41" ht="14.5" x14ac:dyDescent="0.35">
      <c r="A564" s="27" t="s">
        <v>1747</v>
      </c>
      <c r="B564" s="16" t="s">
        <v>55</v>
      </c>
      <c r="C564" s="16" t="s">
        <v>93</v>
      </c>
      <c r="D564" s="16" t="s">
        <v>776</v>
      </c>
      <c r="E564" s="16" t="s">
        <v>777</v>
      </c>
      <c r="F564" s="16">
        <v>3</v>
      </c>
      <c r="G564" s="30" t="s">
        <v>1748</v>
      </c>
      <c r="H564" s="16">
        <v>0</v>
      </c>
      <c r="I564" s="16" t="s">
        <v>47</v>
      </c>
      <c r="J564" s="16">
        <v>119.92</v>
      </c>
      <c r="K564" s="16">
        <v>1840</v>
      </c>
      <c r="L564" s="16">
        <v>918</v>
      </c>
      <c r="M564" s="8">
        <v>84</v>
      </c>
      <c r="N564" s="21">
        <v>45138</v>
      </c>
      <c r="O564" s="7">
        <f t="shared" si="32"/>
        <v>31</v>
      </c>
      <c r="P564" s="22">
        <f t="shared" si="33"/>
        <v>1</v>
      </c>
      <c r="Q564" s="22">
        <f t="shared" si="34"/>
        <v>31</v>
      </c>
      <c r="R564" s="16">
        <v>38</v>
      </c>
      <c r="S564">
        <v>4.5851383039537899</v>
      </c>
      <c r="T564">
        <v>-74.217912602428399</v>
      </c>
      <c r="U564" s="22">
        <v>15092</v>
      </c>
      <c r="V564" s="22">
        <v>15506.166670000001</v>
      </c>
      <c r="W564" s="25">
        <v>14247</v>
      </c>
      <c r="X564" s="24">
        <v>14704</v>
      </c>
      <c r="Y564" s="24">
        <v>215019</v>
      </c>
      <c r="Z564" s="24">
        <v>228004</v>
      </c>
      <c r="AA564" s="24">
        <v>12827</v>
      </c>
      <c r="AB564" s="24">
        <v>12328</v>
      </c>
      <c r="AC564" s="24">
        <v>70402</v>
      </c>
      <c r="AD564" s="24">
        <v>72406</v>
      </c>
      <c r="AE564" s="24">
        <v>6393</v>
      </c>
      <c r="AF564" s="24">
        <v>6272</v>
      </c>
      <c r="AG564" s="17">
        <v>0</v>
      </c>
      <c r="AH564" s="16" t="s">
        <v>136</v>
      </c>
      <c r="AI564" s="16" t="s">
        <v>49</v>
      </c>
      <c r="AJ564" s="16" t="s">
        <v>76</v>
      </c>
      <c r="AK564" s="16" t="s">
        <v>51</v>
      </c>
      <c r="AL564" s="25">
        <v>241405</v>
      </c>
      <c r="AM564" s="43">
        <f t="shared" si="35"/>
        <v>53.310540360240161</v>
      </c>
      <c r="AN564" s="16" t="s">
        <v>274</v>
      </c>
      <c r="AO564" s="16" t="s">
        <v>60</v>
      </c>
    </row>
    <row r="565" spans="1:41" ht="14.5" x14ac:dyDescent="0.35">
      <c r="A565" s="27" t="s">
        <v>1749</v>
      </c>
      <c r="B565" s="16" t="s">
        <v>55</v>
      </c>
      <c r="C565" s="16" t="s">
        <v>43</v>
      </c>
      <c r="D565" s="16" t="s">
        <v>44</v>
      </c>
      <c r="E565" s="16" t="s">
        <v>647</v>
      </c>
      <c r="F565" s="16">
        <v>4</v>
      </c>
      <c r="G565" s="30" t="s">
        <v>1750</v>
      </c>
      <c r="H565" s="16" t="s">
        <v>1751</v>
      </c>
      <c r="I565" s="16" t="s">
        <v>102</v>
      </c>
      <c r="J565" s="16">
        <v>156.38</v>
      </c>
      <c r="K565" s="16">
        <v>1729</v>
      </c>
      <c r="L565" s="16">
        <v>1380</v>
      </c>
      <c r="M565" s="8">
        <v>48</v>
      </c>
      <c r="N565" s="21">
        <v>45832</v>
      </c>
      <c r="O565" s="7">
        <f t="shared" si="32"/>
        <v>24</v>
      </c>
      <c r="P565" s="22">
        <f t="shared" si="33"/>
        <v>7</v>
      </c>
      <c r="Q565" s="22">
        <f t="shared" si="34"/>
        <v>30</v>
      </c>
      <c r="R565" s="16">
        <v>15</v>
      </c>
      <c r="S565">
        <v>4.6268600339544701</v>
      </c>
      <c r="T565">
        <v>-74.074943966837495</v>
      </c>
      <c r="U565" s="22">
        <v>21534</v>
      </c>
      <c r="V565" s="22">
        <v>19345.5</v>
      </c>
      <c r="W565" s="25">
        <v>13388</v>
      </c>
      <c r="X565" s="24">
        <v>13592</v>
      </c>
      <c r="Y565" s="24">
        <v>288296</v>
      </c>
      <c r="Z565" s="24">
        <v>262934</v>
      </c>
      <c r="AA565" s="24">
        <v>32845</v>
      </c>
      <c r="AB565" s="24">
        <v>26647</v>
      </c>
      <c r="AC565" s="24">
        <v>105710</v>
      </c>
      <c r="AD565" s="24">
        <v>91590</v>
      </c>
      <c r="AE565" s="24">
        <v>12612</v>
      </c>
      <c r="AF565" s="24">
        <v>12457</v>
      </c>
      <c r="AG565" s="17">
        <v>1.7565</v>
      </c>
      <c r="AH565" s="16" t="s">
        <v>58</v>
      </c>
      <c r="AI565" s="16" t="s">
        <v>49</v>
      </c>
      <c r="AJ565" s="16" t="s">
        <v>50</v>
      </c>
      <c r="AK565" s="16" t="s">
        <v>51</v>
      </c>
      <c r="AL565" s="25">
        <v>232000</v>
      </c>
      <c r="AM565" s="43">
        <f t="shared" si="35"/>
        <v>80.649699450057554</v>
      </c>
      <c r="AN565" s="16" t="s">
        <v>1171</v>
      </c>
      <c r="AO565" s="16" t="s">
        <v>60</v>
      </c>
    </row>
    <row r="566" spans="1:41" ht="14.5" x14ac:dyDescent="0.35">
      <c r="A566" s="27" t="s">
        <v>1752</v>
      </c>
      <c r="B566" s="16" t="s">
        <v>55</v>
      </c>
      <c r="C566" s="16" t="s">
        <v>43</v>
      </c>
      <c r="D566" s="16" t="s">
        <v>44</v>
      </c>
      <c r="E566" s="16" t="s">
        <v>206</v>
      </c>
      <c r="F566" s="16">
        <v>3</v>
      </c>
      <c r="G566" s="30" t="s">
        <v>1753</v>
      </c>
      <c r="H566" s="16">
        <v>0</v>
      </c>
      <c r="I566" s="16" t="s">
        <v>47</v>
      </c>
      <c r="J566" s="16">
        <v>71.7</v>
      </c>
      <c r="K566" s="16">
        <v>8000</v>
      </c>
      <c r="L566" s="16">
        <v>4800</v>
      </c>
      <c r="M566" s="8">
        <v>0</v>
      </c>
      <c r="N566" s="21">
        <v>44153</v>
      </c>
      <c r="O566" s="7">
        <f t="shared" si="32"/>
        <v>18</v>
      </c>
      <c r="P566" s="22">
        <f t="shared" si="33"/>
        <v>13</v>
      </c>
      <c r="Q566" s="22">
        <f t="shared" si="34"/>
        <v>30</v>
      </c>
      <c r="R566" s="16">
        <v>70</v>
      </c>
      <c r="S566">
        <v>4.6395027177799602</v>
      </c>
      <c r="T566">
        <v>-74.115727511573098</v>
      </c>
      <c r="U566" s="22">
        <v>29343</v>
      </c>
      <c r="V566" s="22">
        <v>28314.5</v>
      </c>
      <c r="W566" s="25">
        <v>8267</v>
      </c>
      <c r="X566" s="24">
        <v>8578</v>
      </c>
      <c r="Y566" s="24">
        <v>242587</v>
      </c>
      <c r="Z566" s="24">
        <v>242890</v>
      </c>
      <c r="AA566" s="24">
        <v>38660</v>
      </c>
      <c r="AB566" s="24">
        <v>41175</v>
      </c>
      <c r="AC566" s="24">
        <v>100427</v>
      </c>
      <c r="AD566" s="24">
        <v>101609</v>
      </c>
      <c r="AE566" s="24">
        <v>10088</v>
      </c>
      <c r="AF566" s="24">
        <v>9880</v>
      </c>
      <c r="AG566" s="17">
        <v>0</v>
      </c>
      <c r="AH566" s="16" t="s">
        <v>64</v>
      </c>
      <c r="AI566" s="16" t="s">
        <v>49</v>
      </c>
      <c r="AJ566" s="16" t="s">
        <v>50</v>
      </c>
      <c r="AK566" s="16" t="s">
        <v>51</v>
      </c>
      <c r="AL566" s="25">
        <v>232000</v>
      </c>
      <c r="AM566" s="43">
        <f t="shared" si="35"/>
        <v>140.69735006973499</v>
      </c>
      <c r="AN566" s="16" t="s">
        <v>1754</v>
      </c>
      <c r="AO566" s="16" t="s">
        <v>60</v>
      </c>
    </row>
    <row r="567" spans="1:41" ht="14.5" x14ac:dyDescent="0.35">
      <c r="A567" s="27" t="s">
        <v>1755</v>
      </c>
      <c r="B567" s="16" t="s">
        <v>55</v>
      </c>
      <c r="C567" s="16" t="s">
        <v>43</v>
      </c>
      <c r="D567" s="16" t="s">
        <v>44</v>
      </c>
      <c r="E567" s="16" t="s">
        <v>1756</v>
      </c>
      <c r="F567" s="16">
        <v>0</v>
      </c>
      <c r="G567" s="30" t="s">
        <v>1756</v>
      </c>
      <c r="H567" s="16" t="s">
        <v>1757</v>
      </c>
      <c r="I567" s="16" t="s">
        <v>47</v>
      </c>
      <c r="J567" s="16">
        <v>129</v>
      </c>
      <c r="K567" s="16">
        <v>629</v>
      </c>
      <c r="L567" s="16">
        <v>2160</v>
      </c>
      <c r="M567" s="8">
        <v>95</v>
      </c>
      <c r="N567" s="21">
        <v>46265</v>
      </c>
      <c r="O567" s="7">
        <f t="shared" si="32"/>
        <v>31</v>
      </c>
      <c r="P567" s="22">
        <f t="shared" si="33"/>
        <v>1</v>
      </c>
      <c r="Q567" s="22">
        <f t="shared" si="34"/>
        <v>31</v>
      </c>
      <c r="R567" s="16">
        <v>1</v>
      </c>
      <c r="S567" s="29">
        <v>4.5779050000000003</v>
      </c>
      <c r="T567" s="29">
        <v>-74.091375999999997</v>
      </c>
      <c r="U567" s="22">
        <v>476</v>
      </c>
      <c r="V567" s="22">
        <v>476</v>
      </c>
      <c r="W567" s="25">
        <v>12125</v>
      </c>
      <c r="X567" s="24">
        <v>12125</v>
      </c>
      <c r="Y567" s="24">
        <v>5772</v>
      </c>
      <c r="Z567" s="24">
        <v>5772</v>
      </c>
      <c r="AA567" s="24">
        <v>-9163</v>
      </c>
      <c r="AB567" s="24">
        <v>-9163</v>
      </c>
      <c r="AC567" s="24">
        <v>6281</v>
      </c>
      <c r="AD567" s="24">
        <v>6281</v>
      </c>
      <c r="AE567" s="24">
        <v>3000</v>
      </c>
      <c r="AF567" s="24">
        <v>3000</v>
      </c>
      <c r="AG567" s="17">
        <v>0</v>
      </c>
      <c r="AH567" s="16" t="s">
        <v>64</v>
      </c>
      <c r="AI567" s="16" t="s">
        <v>49</v>
      </c>
      <c r="AJ567" s="16" t="s">
        <v>50</v>
      </c>
      <c r="AK567" s="16" t="s">
        <v>65</v>
      </c>
      <c r="AL567" s="25">
        <v>232000</v>
      </c>
      <c r="AM567" s="43">
        <f t="shared" si="35"/>
        <v>23.255813953488371</v>
      </c>
      <c r="AN567" s="16" t="s">
        <v>645</v>
      </c>
      <c r="AO567" s="16" t="s">
        <v>60</v>
      </c>
    </row>
    <row r="568" spans="1:41" ht="14.5" x14ac:dyDescent="0.35">
      <c r="A568" s="27" t="s">
        <v>1758</v>
      </c>
      <c r="B568" s="16" t="s">
        <v>119</v>
      </c>
      <c r="C568" s="16" t="s">
        <v>120</v>
      </c>
      <c r="D568" s="16" t="s">
        <v>121</v>
      </c>
      <c r="E568" s="16" t="s">
        <v>190</v>
      </c>
      <c r="F568" s="16">
        <v>5</v>
      </c>
      <c r="G568" s="30" t="s">
        <v>1759</v>
      </c>
      <c r="H568" s="16">
        <v>0</v>
      </c>
      <c r="I568" s="16" t="s">
        <v>47</v>
      </c>
      <c r="J568" s="16">
        <v>138</v>
      </c>
      <c r="K568" s="16">
        <v>1591</v>
      </c>
      <c r="L568" s="16">
        <v>1109</v>
      </c>
      <c r="M568" s="8">
        <v>44</v>
      </c>
      <c r="N568" s="21">
        <v>45289</v>
      </c>
      <c r="O568" s="7">
        <f t="shared" si="32"/>
        <v>29</v>
      </c>
      <c r="P568" s="22">
        <f t="shared" si="33"/>
        <v>3</v>
      </c>
      <c r="Q568" s="22">
        <f t="shared" si="34"/>
        <v>31</v>
      </c>
      <c r="R568" s="16">
        <v>33</v>
      </c>
      <c r="S568">
        <v>7.1193019242429303</v>
      </c>
      <c r="T568">
        <v>-73.114975964722106</v>
      </c>
      <c r="U568" s="22">
        <v>18380</v>
      </c>
      <c r="V568" s="22">
        <v>17206.666669999999</v>
      </c>
      <c r="W568" s="25">
        <v>10822</v>
      </c>
      <c r="X568" s="24">
        <v>11145</v>
      </c>
      <c r="Y568" s="24">
        <v>198902</v>
      </c>
      <c r="Z568" s="24">
        <v>191759</v>
      </c>
      <c r="AA568" s="24">
        <v>3997</v>
      </c>
      <c r="AB568" s="24">
        <v>9477</v>
      </c>
      <c r="AC568" s="24">
        <v>75692</v>
      </c>
      <c r="AD568" s="24">
        <v>71294</v>
      </c>
      <c r="AE568" s="24">
        <v>10347</v>
      </c>
      <c r="AF568" s="24">
        <v>10452</v>
      </c>
      <c r="AG568" s="17">
        <v>0</v>
      </c>
      <c r="AH568" s="16" t="s">
        <v>58</v>
      </c>
      <c r="AI568" s="16" t="s">
        <v>49</v>
      </c>
      <c r="AJ568" s="16" t="s">
        <v>124</v>
      </c>
      <c r="AK568" s="16" t="s">
        <v>51</v>
      </c>
      <c r="AL568" s="25">
        <v>204160</v>
      </c>
      <c r="AM568" s="43">
        <f t="shared" si="35"/>
        <v>74.978260869565219</v>
      </c>
      <c r="AN568" s="16" t="s">
        <v>979</v>
      </c>
      <c r="AO568" s="16" t="s">
        <v>60</v>
      </c>
    </row>
    <row r="569" spans="1:41" ht="14.5" x14ac:dyDescent="0.35">
      <c r="A569" s="27" t="s">
        <v>1760</v>
      </c>
      <c r="B569" s="16" t="s">
        <v>119</v>
      </c>
      <c r="C569" s="16" t="s">
        <v>120</v>
      </c>
      <c r="D569" s="16" t="s">
        <v>121</v>
      </c>
      <c r="E569" s="16" t="s">
        <v>190</v>
      </c>
      <c r="F569" s="16">
        <v>6</v>
      </c>
      <c r="G569" s="30" t="s">
        <v>1761</v>
      </c>
      <c r="H569" s="16">
        <v>0</v>
      </c>
      <c r="I569" s="16" t="s">
        <v>47</v>
      </c>
      <c r="J569" s="16">
        <v>123.15</v>
      </c>
      <c r="K569" s="16">
        <v>1509</v>
      </c>
      <c r="L569" s="16">
        <v>2770</v>
      </c>
      <c r="M569" s="8">
        <v>0</v>
      </c>
      <c r="N569" s="21">
        <v>42551</v>
      </c>
      <c r="O569" s="7">
        <f t="shared" si="32"/>
        <v>30</v>
      </c>
      <c r="P569" s="22">
        <f t="shared" si="33"/>
        <v>1</v>
      </c>
      <c r="Q569" s="22">
        <f t="shared" si="34"/>
        <v>30</v>
      </c>
      <c r="R569" s="16">
        <v>116</v>
      </c>
      <c r="S569">
        <v>7.1173554804597901</v>
      </c>
      <c r="T569">
        <v>-73.112337354018294</v>
      </c>
      <c r="U569" s="22">
        <v>25822</v>
      </c>
      <c r="V569" s="22">
        <v>25513.166669999999</v>
      </c>
      <c r="W569" s="25">
        <v>10168</v>
      </c>
      <c r="X569" s="24">
        <v>10472</v>
      </c>
      <c r="Y569" s="24">
        <v>262549</v>
      </c>
      <c r="Z569" s="24">
        <v>267182</v>
      </c>
      <c r="AA569" s="24">
        <v>31558</v>
      </c>
      <c r="AB569" s="24">
        <v>37442</v>
      </c>
      <c r="AC569" s="24">
        <v>111445</v>
      </c>
      <c r="AD569" s="24">
        <v>112883</v>
      </c>
      <c r="AE569" s="24">
        <v>13127</v>
      </c>
      <c r="AF569" s="24">
        <v>13871</v>
      </c>
      <c r="AG569" s="17">
        <v>0</v>
      </c>
      <c r="AH569" s="16" t="s">
        <v>58</v>
      </c>
      <c r="AI569" s="16" t="s">
        <v>49</v>
      </c>
      <c r="AJ569" s="16" t="s">
        <v>124</v>
      </c>
      <c r="AK569" s="16" t="s">
        <v>51</v>
      </c>
      <c r="AL569" s="25">
        <v>204160</v>
      </c>
      <c r="AM569" s="43">
        <f t="shared" si="35"/>
        <v>106.59358505887128</v>
      </c>
      <c r="AN569" s="16" t="s">
        <v>723</v>
      </c>
      <c r="AO569" s="16" t="s">
        <v>53</v>
      </c>
    </row>
    <row r="570" spans="1:41" ht="14.5" x14ac:dyDescent="0.35">
      <c r="A570" s="27" t="s">
        <v>1762</v>
      </c>
      <c r="B570" s="16" t="s">
        <v>105</v>
      </c>
      <c r="C570" s="16" t="s">
        <v>157</v>
      </c>
      <c r="D570" s="16" t="s">
        <v>158</v>
      </c>
      <c r="E570" s="16" t="s">
        <v>596</v>
      </c>
      <c r="F570" s="16">
        <v>6</v>
      </c>
      <c r="G570" s="30" t="s">
        <v>1763</v>
      </c>
      <c r="H570" s="16" t="s">
        <v>1764</v>
      </c>
      <c r="I570" s="16" t="s">
        <v>102</v>
      </c>
      <c r="J570" s="16">
        <v>80.7</v>
      </c>
      <c r="K570" s="16">
        <v>108</v>
      </c>
      <c r="L570" s="16">
        <v>1790</v>
      </c>
      <c r="M570" s="8">
        <v>55</v>
      </c>
      <c r="N570" s="21">
        <v>45626</v>
      </c>
      <c r="O570" s="7">
        <f t="shared" si="32"/>
        <v>30</v>
      </c>
      <c r="P570" s="22">
        <f t="shared" si="33"/>
        <v>1</v>
      </c>
      <c r="Q570" s="22">
        <f t="shared" si="34"/>
        <v>30</v>
      </c>
      <c r="R570" s="16">
        <v>22</v>
      </c>
      <c r="S570">
        <v>6.1944256604599897</v>
      </c>
      <c r="T570">
        <v>-75.576119099305103</v>
      </c>
      <c r="U570" s="22">
        <v>16301</v>
      </c>
      <c r="V570" s="22">
        <v>14893</v>
      </c>
      <c r="W570" s="25">
        <v>10769</v>
      </c>
      <c r="X570" s="24">
        <v>10885</v>
      </c>
      <c r="Y570" s="24">
        <v>175540</v>
      </c>
      <c r="Z570" s="24">
        <v>162113</v>
      </c>
      <c r="AA570" s="24">
        <v>21365</v>
      </c>
      <c r="AB570" s="24">
        <v>12980</v>
      </c>
      <c r="AC570" s="24">
        <v>73953</v>
      </c>
      <c r="AD570" s="24">
        <v>67512</v>
      </c>
      <c r="AE570" s="24">
        <v>14000</v>
      </c>
      <c r="AF570" s="24">
        <v>14136</v>
      </c>
      <c r="AG570" s="17">
        <v>0</v>
      </c>
      <c r="AH570" s="16" t="s">
        <v>130</v>
      </c>
      <c r="AI570" s="16" t="s">
        <v>49</v>
      </c>
      <c r="AJ570" s="16" t="s">
        <v>124</v>
      </c>
      <c r="AK570" s="16" t="s">
        <v>51</v>
      </c>
      <c r="AL570" s="25">
        <v>204160</v>
      </c>
      <c r="AM570" s="43">
        <f t="shared" si="35"/>
        <v>173.48203221809169</v>
      </c>
      <c r="AN570" s="16" t="s">
        <v>83</v>
      </c>
      <c r="AO570" s="16" t="s">
        <v>53</v>
      </c>
    </row>
    <row r="571" spans="1:41" ht="14.5" x14ac:dyDescent="0.35">
      <c r="A571" s="27" t="s">
        <v>1765</v>
      </c>
      <c r="B571" s="16" t="s">
        <v>42</v>
      </c>
      <c r="C571" s="16" t="s">
        <v>43</v>
      </c>
      <c r="D571" s="16" t="s">
        <v>44</v>
      </c>
      <c r="E571" s="16" t="s">
        <v>865</v>
      </c>
      <c r="F571" s="16">
        <v>3</v>
      </c>
      <c r="G571" s="30" t="s">
        <v>1766</v>
      </c>
      <c r="H571" s="16">
        <v>0</v>
      </c>
      <c r="I571" s="16" t="s">
        <v>102</v>
      </c>
      <c r="J571" s="16">
        <v>131.71</v>
      </c>
      <c r="K571" s="16">
        <v>2756</v>
      </c>
      <c r="L571" s="16">
        <v>466</v>
      </c>
      <c r="M571" s="8">
        <v>0</v>
      </c>
      <c r="N571" s="21">
        <v>44530</v>
      </c>
      <c r="O571" s="7">
        <f t="shared" si="32"/>
        <v>30</v>
      </c>
      <c r="P571" s="22">
        <f t="shared" si="33"/>
        <v>1</v>
      </c>
      <c r="Q571" s="22">
        <f t="shared" si="34"/>
        <v>30</v>
      </c>
      <c r="R571" s="16">
        <v>58</v>
      </c>
      <c r="S571">
        <v>4.7504677224519396</v>
      </c>
      <c r="T571">
        <v>-74.092377339918599</v>
      </c>
      <c r="U571" s="22">
        <v>27346</v>
      </c>
      <c r="V571" s="22">
        <v>27715.5</v>
      </c>
      <c r="W571" s="25">
        <v>12923</v>
      </c>
      <c r="X571" s="24">
        <v>13780</v>
      </c>
      <c r="Y571" s="24">
        <v>353402</v>
      </c>
      <c r="Z571" s="24">
        <v>381912</v>
      </c>
      <c r="AA571" s="24">
        <v>36020</v>
      </c>
      <c r="AB571" s="24">
        <v>41147</v>
      </c>
      <c r="AC571" s="24">
        <v>119258</v>
      </c>
      <c r="AD571" s="24">
        <v>125440</v>
      </c>
      <c r="AE571" s="24">
        <v>9615</v>
      </c>
      <c r="AF571" s="24">
        <v>9715</v>
      </c>
      <c r="AG571" s="17">
        <v>0</v>
      </c>
      <c r="AH571" s="16" t="s">
        <v>58</v>
      </c>
      <c r="AI571" s="16" t="s">
        <v>49</v>
      </c>
      <c r="AJ571" s="16" t="s">
        <v>124</v>
      </c>
      <c r="AK571" s="16" t="s">
        <v>51</v>
      </c>
      <c r="AL571" s="25">
        <v>204160</v>
      </c>
      <c r="AM571" s="43">
        <f t="shared" si="35"/>
        <v>73.001290714448402</v>
      </c>
      <c r="AN571" s="16">
        <v>0</v>
      </c>
      <c r="AO571" s="16" t="s">
        <v>53</v>
      </c>
    </row>
    <row r="572" spans="1:41" ht="14.5" x14ac:dyDescent="0.35">
      <c r="A572" s="27" t="s">
        <v>1767</v>
      </c>
      <c r="B572" s="16" t="s">
        <v>42</v>
      </c>
      <c r="C572" s="16" t="s">
        <v>43</v>
      </c>
      <c r="D572" s="16" t="s">
        <v>44</v>
      </c>
      <c r="E572" s="16" t="s">
        <v>865</v>
      </c>
      <c r="F572" s="16">
        <v>4</v>
      </c>
      <c r="G572" s="30" t="s">
        <v>1768</v>
      </c>
      <c r="H572" s="16">
        <v>0</v>
      </c>
      <c r="I572" s="16" t="s">
        <v>47</v>
      </c>
      <c r="J572" s="16">
        <v>108.07</v>
      </c>
      <c r="K572" s="16">
        <v>2188</v>
      </c>
      <c r="L572" s="16">
        <v>0</v>
      </c>
      <c r="M572" s="8">
        <v>0</v>
      </c>
      <c r="N572" s="21">
        <v>44559</v>
      </c>
      <c r="O572" s="7">
        <f t="shared" si="32"/>
        <v>29</v>
      </c>
      <c r="P572" s="22">
        <f t="shared" si="33"/>
        <v>3</v>
      </c>
      <c r="Q572" s="22">
        <f t="shared" si="34"/>
        <v>31</v>
      </c>
      <c r="R572" s="16">
        <v>57</v>
      </c>
      <c r="S572">
        <v>4.74801987930074</v>
      </c>
      <c r="T572">
        <v>-74.085605210172801</v>
      </c>
      <c r="U572" s="22">
        <v>18992</v>
      </c>
      <c r="V572" s="22">
        <v>18848.666669999999</v>
      </c>
      <c r="W572" s="25">
        <v>13043</v>
      </c>
      <c r="X572" s="24">
        <v>13182</v>
      </c>
      <c r="Y572" s="24">
        <v>247713</v>
      </c>
      <c r="Z572" s="24">
        <v>248455</v>
      </c>
      <c r="AA572" s="24">
        <v>30166</v>
      </c>
      <c r="AB572" s="24">
        <v>25224</v>
      </c>
      <c r="AC572" s="24">
        <v>83889</v>
      </c>
      <c r="AD572" s="24">
        <v>82765</v>
      </c>
      <c r="AE572" s="24">
        <v>6868</v>
      </c>
      <c r="AF572" s="24">
        <v>6945</v>
      </c>
      <c r="AG572" s="17">
        <v>0</v>
      </c>
      <c r="AH572" s="16" t="s">
        <v>136</v>
      </c>
      <c r="AI572" s="16" t="s">
        <v>49</v>
      </c>
      <c r="AJ572" s="16" t="s">
        <v>76</v>
      </c>
      <c r="AK572" s="16" t="s">
        <v>51</v>
      </c>
      <c r="AL572" s="25">
        <v>241405</v>
      </c>
      <c r="AM572" s="43">
        <f t="shared" si="35"/>
        <v>63.55140186915888</v>
      </c>
      <c r="AN572" s="16">
        <v>0</v>
      </c>
      <c r="AO572" s="16" t="s">
        <v>60</v>
      </c>
    </row>
    <row r="573" spans="1:41" ht="14.5" x14ac:dyDescent="0.35">
      <c r="A573" s="27" t="s">
        <v>1769</v>
      </c>
      <c r="B573" s="16" t="s">
        <v>42</v>
      </c>
      <c r="C573" s="16" t="s">
        <v>43</v>
      </c>
      <c r="D573" s="16" t="s">
        <v>44</v>
      </c>
      <c r="E573" s="16" t="s">
        <v>865</v>
      </c>
      <c r="F573" s="16">
        <v>4</v>
      </c>
      <c r="G573" s="30" t="s">
        <v>1770</v>
      </c>
      <c r="H573" s="16">
        <v>0</v>
      </c>
      <c r="I573" s="16" t="s">
        <v>47</v>
      </c>
      <c r="J573" s="16">
        <v>170.08</v>
      </c>
      <c r="K573" s="16">
        <v>3578</v>
      </c>
      <c r="L573" s="16">
        <v>0</v>
      </c>
      <c r="M573" s="8">
        <v>137</v>
      </c>
      <c r="N573" s="21">
        <v>45055</v>
      </c>
      <c r="O573" s="7">
        <f t="shared" si="32"/>
        <v>9</v>
      </c>
      <c r="P573" s="22">
        <f t="shared" si="33"/>
        <v>23</v>
      </c>
      <c r="Q573" s="22">
        <f t="shared" si="34"/>
        <v>31</v>
      </c>
      <c r="R573" s="16">
        <v>40</v>
      </c>
      <c r="S573">
        <v>4.7446201624305102</v>
      </c>
      <c r="T573">
        <v>-74.089562431312899</v>
      </c>
      <c r="U573" s="22">
        <v>18197</v>
      </c>
      <c r="V573" s="22">
        <v>18361.5</v>
      </c>
      <c r="W573" s="25">
        <v>12967</v>
      </c>
      <c r="X573" s="24">
        <v>13443</v>
      </c>
      <c r="Y573" s="24">
        <v>235954</v>
      </c>
      <c r="Z573" s="24">
        <v>246838</v>
      </c>
      <c r="AA573" s="24">
        <v>5082</v>
      </c>
      <c r="AB573" s="24">
        <v>11941</v>
      </c>
      <c r="AC573" s="24">
        <v>80845</v>
      </c>
      <c r="AD573" s="24">
        <v>83890</v>
      </c>
      <c r="AE573" s="24">
        <v>13291</v>
      </c>
      <c r="AF573" s="24">
        <v>13418</v>
      </c>
      <c r="AG573" s="17">
        <v>0</v>
      </c>
      <c r="AH573" s="16" t="s">
        <v>58</v>
      </c>
      <c r="AI573" s="16" t="s">
        <v>49</v>
      </c>
      <c r="AJ573" s="16" t="s">
        <v>50</v>
      </c>
      <c r="AK573" s="16" t="s">
        <v>51</v>
      </c>
      <c r="AL573" s="25">
        <v>232000</v>
      </c>
      <c r="AM573" s="43">
        <f t="shared" si="35"/>
        <v>78.145578551269992</v>
      </c>
      <c r="AN573" s="16" t="s">
        <v>234</v>
      </c>
      <c r="AO573" s="16" t="s">
        <v>98</v>
      </c>
    </row>
    <row r="574" spans="1:41" ht="14.5" x14ac:dyDescent="0.35">
      <c r="A574" s="27" t="s">
        <v>1771</v>
      </c>
      <c r="B574" s="16" t="s">
        <v>42</v>
      </c>
      <c r="C574" s="16" t="s">
        <v>43</v>
      </c>
      <c r="D574" s="16" t="s">
        <v>44</v>
      </c>
      <c r="E574" s="16" t="s">
        <v>865</v>
      </c>
      <c r="F574" s="16">
        <v>3</v>
      </c>
      <c r="G574" s="30" t="s">
        <v>1772</v>
      </c>
      <c r="H574" s="16">
        <v>0</v>
      </c>
      <c r="I574" s="16" t="s">
        <v>47</v>
      </c>
      <c r="J574" s="16">
        <v>133.84</v>
      </c>
      <c r="K574" s="16">
        <v>1532</v>
      </c>
      <c r="L574" s="16">
        <v>1600</v>
      </c>
      <c r="M574" s="8">
        <v>108</v>
      </c>
      <c r="N574" s="21">
        <v>44547</v>
      </c>
      <c r="O574" s="7">
        <f t="shared" si="32"/>
        <v>17</v>
      </c>
      <c r="P574" s="22">
        <f t="shared" si="33"/>
        <v>15</v>
      </c>
      <c r="Q574" s="22">
        <f t="shared" si="34"/>
        <v>31</v>
      </c>
      <c r="R574" s="16">
        <v>57</v>
      </c>
      <c r="S574">
        <v>4.7388151233120803</v>
      </c>
      <c r="T574">
        <v>-74.085355775595602</v>
      </c>
      <c r="U574" s="22">
        <v>19480</v>
      </c>
      <c r="V574" s="22">
        <v>18560.5</v>
      </c>
      <c r="W574" s="25">
        <v>11837</v>
      </c>
      <c r="X574" s="24">
        <v>11828</v>
      </c>
      <c r="Y574" s="24">
        <v>230593</v>
      </c>
      <c r="Z574" s="24">
        <v>219538</v>
      </c>
      <c r="AA574" s="24">
        <v>19445</v>
      </c>
      <c r="AB574" s="24">
        <v>13073</v>
      </c>
      <c r="AC574" s="24">
        <v>77009</v>
      </c>
      <c r="AD574" s="24">
        <v>73774</v>
      </c>
      <c r="AE574" s="24">
        <v>14993</v>
      </c>
      <c r="AF574" s="24">
        <v>15128</v>
      </c>
      <c r="AG574" s="17">
        <v>0</v>
      </c>
      <c r="AH574" s="16" t="s">
        <v>48</v>
      </c>
      <c r="AI574" s="16" t="s">
        <v>49</v>
      </c>
      <c r="AJ574" s="16" t="s">
        <v>76</v>
      </c>
      <c r="AK574" s="16" t="s">
        <v>51</v>
      </c>
      <c r="AL574" s="25">
        <v>241405</v>
      </c>
      <c r="AM574" s="43">
        <f t="shared" si="35"/>
        <v>112.02181709503886</v>
      </c>
      <c r="AN574" s="16">
        <v>0</v>
      </c>
      <c r="AO574" s="16" t="s">
        <v>60</v>
      </c>
    </row>
    <row r="575" spans="1:41" ht="14.5" x14ac:dyDescent="0.35">
      <c r="A575" s="27" t="s">
        <v>1773</v>
      </c>
      <c r="B575" s="16" t="s">
        <v>55</v>
      </c>
      <c r="C575" s="16" t="s">
        <v>43</v>
      </c>
      <c r="D575" s="16" t="s">
        <v>44</v>
      </c>
      <c r="E575" s="16" t="s">
        <v>473</v>
      </c>
      <c r="F575" s="16">
        <v>4</v>
      </c>
      <c r="G575" s="30" t="s">
        <v>1774</v>
      </c>
      <c r="H575" s="16" t="s">
        <v>1775</v>
      </c>
      <c r="I575" s="16" t="s">
        <v>102</v>
      </c>
      <c r="J575" s="16">
        <v>221.44</v>
      </c>
      <c r="K575" s="16">
        <v>813</v>
      </c>
      <c r="L575" s="16">
        <v>10895</v>
      </c>
      <c r="M575" s="8">
        <v>174</v>
      </c>
      <c r="N575" s="21">
        <v>46112</v>
      </c>
      <c r="O575" s="7">
        <f t="shared" si="32"/>
        <v>31</v>
      </c>
      <c r="P575" s="22">
        <f t="shared" si="33"/>
        <v>1</v>
      </c>
      <c r="Q575" s="22">
        <f t="shared" si="34"/>
        <v>31</v>
      </c>
      <c r="R575" s="16">
        <v>6</v>
      </c>
      <c r="S575">
        <v>4.6294637396306904</v>
      </c>
      <c r="T575">
        <v>-74.067057007100999</v>
      </c>
      <c r="U575" s="22">
        <v>18977</v>
      </c>
      <c r="V575" s="22">
        <v>13908.5</v>
      </c>
      <c r="W575" s="25">
        <v>11347</v>
      </c>
      <c r="X575" s="24">
        <v>11269</v>
      </c>
      <c r="Y575" s="24">
        <v>215330</v>
      </c>
      <c r="Z575" s="24">
        <v>156729</v>
      </c>
      <c r="AA575" s="42">
        <v>5622</v>
      </c>
      <c r="AB575" s="42">
        <v>838</v>
      </c>
      <c r="AC575" s="24">
        <v>75579</v>
      </c>
      <c r="AD575" s="24">
        <v>55894</v>
      </c>
      <c r="AE575" s="24">
        <v>17000</v>
      </c>
      <c r="AF575" s="24">
        <v>11847</v>
      </c>
      <c r="AG575" s="17">
        <v>1.4741</v>
      </c>
      <c r="AH575" s="16" t="s">
        <v>58</v>
      </c>
      <c r="AI575" s="16" t="s">
        <v>49</v>
      </c>
      <c r="AJ575" s="16" t="s">
        <v>50</v>
      </c>
      <c r="AK575" s="16" t="s">
        <v>65</v>
      </c>
      <c r="AL575" s="25">
        <v>232000</v>
      </c>
      <c r="AM575" s="43">
        <f t="shared" si="35"/>
        <v>76.770231213872833</v>
      </c>
      <c r="AN575" s="16" t="s">
        <v>1776</v>
      </c>
      <c r="AO575" s="16" t="s">
        <v>53</v>
      </c>
    </row>
    <row r="576" spans="1:41" ht="14.5" x14ac:dyDescent="0.35">
      <c r="A576" s="27" t="s">
        <v>1777</v>
      </c>
      <c r="B576" s="16" t="s">
        <v>55</v>
      </c>
      <c r="C576" s="16" t="s">
        <v>93</v>
      </c>
      <c r="D576" s="16" t="s">
        <v>321</v>
      </c>
      <c r="E576" s="16" t="s">
        <v>322</v>
      </c>
      <c r="F576" s="16">
        <v>3</v>
      </c>
      <c r="G576" s="30" t="s">
        <v>1778</v>
      </c>
      <c r="H576" s="16">
        <v>0</v>
      </c>
      <c r="I576" s="16" t="s">
        <v>47</v>
      </c>
      <c r="J576" s="16">
        <v>98.07</v>
      </c>
      <c r="K576" s="16">
        <v>153</v>
      </c>
      <c r="L576" s="16">
        <v>3278</v>
      </c>
      <c r="M576" s="8">
        <v>88</v>
      </c>
      <c r="N576" s="21">
        <v>45230</v>
      </c>
      <c r="O576" s="7">
        <f t="shared" si="32"/>
        <v>31</v>
      </c>
      <c r="P576" s="22">
        <f t="shared" si="33"/>
        <v>1</v>
      </c>
      <c r="Q576" s="22">
        <f t="shared" si="34"/>
        <v>31</v>
      </c>
      <c r="R576" s="16">
        <v>35</v>
      </c>
      <c r="S576">
        <v>4.2090091334454804</v>
      </c>
      <c r="T576">
        <v>-74.637315216603994</v>
      </c>
      <c r="U576" s="22">
        <v>14526</v>
      </c>
      <c r="V576" s="22">
        <v>14117</v>
      </c>
      <c r="W576" s="25">
        <v>16166</v>
      </c>
      <c r="X576" s="24">
        <v>16522</v>
      </c>
      <c r="Y576" s="24">
        <v>234832</v>
      </c>
      <c r="Z576" s="24">
        <v>233240</v>
      </c>
      <c r="AA576" s="24">
        <v>18703</v>
      </c>
      <c r="AB576" s="24">
        <v>16719</v>
      </c>
      <c r="AC576" s="24">
        <v>77464</v>
      </c>
      <c r="AD576" s="24">
        <v>74816</v>
      </c>
      <c r="AE576" s="24">
        <v>8622</v>
      </c>
      <c r="AF576" s="24">
        <v>8714</v>
      </c>
      <c r="AG576" s="17">
        <v>0</v>
      </c>
      <c r="AH576" s="16" t="s">
        <v>64</v>
      </c>
      <c r="AI576" s="16" t="s">
        <v>49</v>
      </c>
      <c r="AJ576" s="16" t="s">
        <v>76</v>
      </c>
      <c r="AK576" s="16" t="s">
        <v>51</v>
      </c>
      <c r="AL576" s="25">
        <v>241405</v>
      </c>
      <c r="AM576" s="43">
        <f t="shared" si="35"/>
        <v>87.916794126644234</v>
      </c>
      <c r="AN576" s="16">
        <v>0</v>
      </c>
      <c r="AO576" s="16" t="s">
        <v>60</v>
      </c>
    </row>
    <row r="577" spans="1:41" ht="14.5" x14ac:dyDescent="0.35">
      <c r="A577" s="27" t="s">
        <v>1779</v>
      </c>
      <c r="B577" s="16" t="s">
        <v>183</v>
      </c>
      <c r="C577" s="16" t="s">
        <v>184</v>
      </c>
      <c r="D577" s="16" t="s">
        <v>185</v>
      </c>
      <c r="E577" s="16" t="s">
        <v>186</v>
      </c>
      <c r="F577" s="16">
        <v>4</v>
      </c>
      <c r="G577" s="30" t="s">
        <v>1780</v>
      </c>
      <c r="H577" s="16" t="s">
        <v>1781</v>
      </c>
      <c r="I577" s="16" t="s">
        <v>102</v>
      </c>
      <c r="J577" s="16">
        <v>114.03</v>
      </c>
      <c r="K577" s="16">
        <v>377</v>
      </c>
      <c r="L577" s="16">
        <v>2546</v>
      </c>
      <c r="M577" s="8">
        <v>181</v>
      </c>
      <c r="N577" s="21">
        <v>45709</v>
      </c>
      <c r="O577" s="7">
        <f t="shared" si="32"/>
        <v>21</v>
      </c>
      <c r="P577" s="22">
        <f t="shared" si="33"/>
        <v>8</v>
      </c>
      <c r="Q577" s="22">
        <f t="shared" si="34"/>
        <v>28</v>
      </c>
      <c r="R577" s="16">
        <v>19</v>
      </c>
      <c r="S577">
        <v>10.9940667240545</v>
      </c>
      <c r="T577">
        <v>-74.803040327985499</v>
      </c>
      <c r="U577" s="22">
        <v>16780</v>
      </c>
      <c r="V577" s="22">
        <v>15065.833329999999</v>
      </c>
      <c r="W577" s="25">
        <v>10656</v>
      </c>
      <c r="X577" s="24">
        <v>10752</v>
      </c>
      <c r="Y577" s="24">
        <v>178807</v>
      </c>
      <c r="Z577" s="24">
        <v>161991</v>
      </c>
      <c r="AA577" s="24">
        <v>4738</v>
      </c>
      <c r="AB577" s="24">
        <v>5768</v>
      </c>
      <c r="AC577" s="24">
        <v>71399</v>
      </c>
      <c r="AD577" s="24">
        <v>63382</v>
      </c>
      <c r="AE577" s="24">
        <v>8408</v>
      </c>
      <c r="AF577" s="24">
        <v>8498</v>
      </c>
      <c r="AG577" s="17">
        <v>0</v>
      </c>
      <c r="AH577" s="16" t="s">
        <v>198</v>
      </c>
      <c r="AI577" s="16" t="s">
        <v>49</v>
      </c>
      <c r="AJ577" s="16" t="s">
        <v>124</v>
      </c>
      <c r="AK577" s="16" t="s">
        <v>51</v>
      </c>
      <c r="AL577" s="25">
        <v>204160</v>
      </c>
      <c r="AM577" s="43">
        <f t="shared" si="35"/>
        <v>73.734982022274835</v>
      </c>
      <c r="AN577" s="16" t="s">
        <v>1782</v>
      </c>
      <c r="AO577" s="16" t="s">
        <v>53</v>
      </c>
    </row>
    <row r="578" spans="1:41" ht="14.5" x14ac:dyDescent="0.35">
      <c r="A578" s="27" t="s">
        <v>1783</v>
      </c>
      <c r="B578" s="16" t="s">
        <v>55</v>
      </c>
      <c r="C578" s="16" t="s">
        <v>43</v>
      </c>
      <c r="D578" s="16" t="s">
        <v>44</v>
      </c>
      <c r="E578" s="16" t="s">
        <v>79</v>
      </c>
      <c r="F578" s="16">
        <v>3</v>
      </c>
      <c r="G578" s="30" t="s">
        <v>1784</v>
      </c>
      <c r="H578" s="16" t="s">
        <v>1785</v>
      </c>
      <c r="I578" s="16" t="s">
        <v>47</v>
      </c>
      <c r="J578" s="16">
        <v>110.27</v>
      </c>
      <c r="K578" s="16">
        <v>810</v>
      </c>
      <c r="L578" s="16">
        <v>2530</v>
      </c>
      <c r="M578" s="8">
        <v>134</v>
      </c>
      <c r="N578" s="21">
        <v>45626</v>
      </c>
      <c r="O578" s="7">
        <f t="shared" ref="O578:O641" si="36">DAY(N578)</f>
        <v>30</v>
      </c>
      <c r="P578" s="22">
        <f t="shared" ref="P578:P641" si="37">Q578-O578+1</f>
        <v>1</v>
      </c>
      <c r="Q578" s="22">
        <f t="shared" ref="Q578:Q641" si="38">DAY(EOMONTH(N578,0))</f>
        <v>30</v>
      </c>
      <c r="R578" s="16">
        <v>22</v>
      </c>
      <c r="S578">
        <v>4.6073407750411297</v>
      </c>
      <c r="T578">
        <v>-74.067333757857099</v>
      </c>
      <c r="U578" s="22">
        <v>28674</v>
      </c>
      <c r="V578" s="22">
        <v>23982.666669999999</v>
      </c>
      <c r="W578" s="25">
        <v>9843</v>
      </c>
      <c r="X578" s="24">
        <v>10227</v>
      </c>
      <c r="Y578" s="24">
        <v>282230</v>
      </c>
      <c r="Z578" s="24">
        <v>245260</v>
      </c>
      <c r="AA578" s="24">
        <v>51862</v>
      </c>
      <c r="AB578" s="24">
        <v>32702</v>
      </c>
      <c r="AC578" s="24">
        <v>118831</v>
      </c>
      <c r="AD578" s="24">
        <v>98530</v>
      </c>
      <c r="AE578" s="24">
        <v>12096</v>
      </c>
      <c r="AF578" s="24">
        <v>12216</v>
      </c>
      <c r="AG578" s="17">
        <v>0</v>
      </c>
      <c r="AH578" s="16" t="s">
        <v>934</v>
      </c>
      <c r="AI578" s="16" t="s">
        <v>49</v>
      </c>
      <c r="AJ578" s="16" t="s">
        <v>124</v>
      </c>
      <c r="AK578" s="16" t="s">
        <v>51</v>
      </c>
      <c r="AL578" s="25">
        <v>204160</v>
      </c>
      <c r="AM578" s="43">
        <f t="shared" ref="AM578:AM641" si="39">AE578/J578</f>
        <v>109.69438650584928</v>
      </c>
      <c r="AN578" s="16" t="s">
        <v>141</v>
      </c>
      <c r="AO578" s="16" t="s">
        <v>53</v>
      </c>
    </row>
    <row r="579" spans="1:41" ht="14.5" x14ac:dyDescent="0.35">
      <c r="A579" s="27" t="s">
        <v>1786</v>
      </c>
      <c r="B579" s="16" t="s">
        <v>119</v>
      </c>
      <c r="C579" s="16" t="s">
        <v>120</v>
      </c>
      <c r="D579" s="16" t="s">
        <v>220</v>
      </c>
      <c r="E579" s="16" t="s">
        <v>221</v>
      </c>
      <c r="F579" s="16">
        <v>4</v>
      </c>
      <c r="G579" s="30" t="s">
        <v>1787</v>
      </c>
      <c r="H579" s="16">
        <v>0</v>
      </c>
      <c r="I579" s="16" t="s">
        <v>102</v>
      </c>
      <c r="J579" s="16">
        <v>123.48</v>
      </c>
      <c r="K579" s="16">
        <v>740</v>
      </c>
      <c r="L579" s="16">
        <v>27</v>
      </c>
      <c r="M579" s="8">
        <v>0</v>
      </c>
      <c r="N579" s="21">
        <v>44484</v>
      </c>
      <c r="O579" s="7">
        <f t="shared" si="36"/>
        <v>15</v>
      </c>
      <c r="P579" s="22">
        <f t="shared" si="37"/>
        <v>17</v>
      </c>
      <c r="Q579" s="22">
        <f t="shared" si="38"/>
        <v>31</v>
      </c>
      <c r="R579" s="16">
        <v>59</v>
      </c>
      <c r="S579">
        <v>7.0937530972097802</v>
      </c>
      <c r="T579">
        <v>-73.102622124740293</v>
      </c>
      <c r="U579" s="22">
        <v>14854</v>
      </c>
      <c r="V579" s="22">
        <v>14672</v>
      </c>
      <c r="W579" s="25">
        <v>13940</v>
      </c>
      <c r="X579" s="24">
        <v>14343</v>
      </c>
      <c r="Y579" s="24">
        <v>207061</v>
      </c>
      <c r="Z579" s="24">
        <v>210441</v>
      </c>
      <c r="AA579" s="24">
        <v>9839</v>
      </c>
      <c r="AB579" s="24">
        <v>18037</v>
      </c>
      <c r="AC579" s="24">
        <v>72054</v>
      </c>
      <c r="AD579" s="24">
        <v>73029</v>
      </c>
      <c r="AE579" s="24">
        <v>6233</v>
      </c>
      <c r="AF579" s="24">
        <v>6261</v>
      </c>
      <c r="AG579" s="17">
        <v>0</v>
      </c>
      <c r="AH579" s="16" t="s">
        <v>64</v>
      </c>
      <c r="AI579" s="16" t="s">
        <v>49</v>
      </c>
      <c r="AJ579" s="16" t="s">
        <v>124</v>
      </c>
      <c r="AK579" s="16" t="s">
        <v>51</v>
      </c>
      <c r="AL579" s="25">
        <v>204160</v>
      </c>
      <c r="AM579" s="43">
        <f t="shared" si="39"/>
        <v>50.477810171687722</v>
      </c>
      <c r="AN579" s="16">
        <v>0</v>
      </c>
      <c r="AO579" s="16" t="s">
        <v>98</v>
      </c>
    </row>
    <row r="580" spans="1:41" ht="14.5" x14ac:dyDescent="0.35">
      <c r="A580" s="27" t="s">
        <v>1788</v>
      </c>
      <c r="B580" s="16" t="s">
        <v>42</v>
      </c>
      <c r="C580" s="16" t="s">
        <v>43</v>
      </c>
      <c r="D580" s="16" t="s">
        <v>44</v>
      </c>
      <c r="E580" s="16" t="s">
        <v>394</v>
      </c>
      <c r="F580" s="16">
        <v>4</v>
      </c>
      <c r="G580" s="30" t="s">
        <v>1789</v>
      </c>
      <c r="H580" s="16">
        <v>0</v>
      </c>
      <c r="I580" s="16" t="s">
        <v>102</v>
      </c>
      <c r="J580" s="16">
        <v>78.739999999999995</v>
      </c>
      <c r="K580" s="16">
        <v>3560</v>
      </c>
      <c r="L580" s="16">
        <v>0</v>
      </c>
      <c r="M580" s="8">
        <v>0</v>
      </c>
      <c r="N580" s="21">
        <v>46172</v>
      </c>
      <c r="O580" s="7">
        <f t="shared" si="36"/>
        <v>30</v>
      </c>
      <c r="P580" s="22">
        <f t="shared" si="37"/>
        <v>2</v>
      </c>
      <c r="Q580" s="22">
        <f t="shared" si="38"/>
        <v>31</v>
      </c>
      <c r="R580" s="16">
        <v>4</v>
      </c>
      <c r="S580">
        <v>4.7548085166273699</v>
      </c>
      <c r="T580">
        <v>-74.063203377890702</v>
      </c>
      <c r="U580" s="22">
        <v>15587</v>
      </c>
      <c r="V580" s="22">
        <v>10723.5</v>
      </c>
      <c r="W580" s="25">
        <v>11998</v>
      </c>
      <c r="X580" s="24">
        <v>12257</v>
      </c>
      <c r="Y580" s="24">
        <v>187008</v>
      </c>
      <c r="Z580" s="24">
        <v>131439</v>
      </c>
      <c r="AA580" s="24">
        <v>20569</v>
      </c>
      <c r="AB580" s="24">
        <v>9525</v>
      </c>
      <c r="AC580" s="24">
        <v>72927</v>
      </c>
      <c r="AD580" s="24">
        <v>51489</v>
      </c>
      <c r="AE580" s="24">
        <v>9000</v>
      </c>
      <c r="AF580" s="24">
        <v>4530</v>
      </c>
      <c r="AG580" s="17">
        <v>1.6688000000000001</v>
      </c>
      <c r="AH580" s="16" t="s">
        <v>48</v>
      </c>
      <c r="AI580" s="16" t="s">
        <v>49</v>
      </c>
      <c r="AJ580" s="16" t="s">
        <v>76</v>
      </c>
      <c r="AK580" s="16" t="s">
        <v>65</v>
      </c>
      <c r="AL580" s="25">
        <v>232000</v>
      </c>
      <c r="AM580" s="43">
        <f t="shared" si="39"/>
        <v>114.3002286004572</v>
      </c>
      <c r="AN580" s="16" t="s">
        <v>1790</v>
      </c>
      <c r="AO580" s="16" t="s">
        <v>60</v>
      </c>
    </row>
    <row r="581" spans="1:41" ht="14.5" x14ac:dyDescent="0.35">
      <c r="A581" s="27" t="s">
        <v>1791</v>
      </c>
      <c r="B581" s="16" t="s">
        <v>55</v>
      </c>
      <c r="C581" s="16" t="s">
        <v>43</v>
      </c>
      <c r="D581" s="16" t="s">
        <v>44</v>
      </c>
      <c r="E581" s="16" t="s">
        <v>1671</v>
      </c>
      <c r="F581" s="16">
        <v>3</v>
      </c>
      <c r="G581" s="30" t="s">
        <v>1792</v>
      </c>
      <c r="H581" s="16">
        <v>0</v>
      </c>
      <c r="I581" s="16" t="s">
        <v>718</v>
      </c>
      <c r="J581" s="16">
        <v>102.8</v>
      </c>
      <c r="K581" s="16">
        <v>1443</v>
      </c>
      <c r="L581" s="16">
        <v>615</v>
      </c>
      <c r="M581" s="8">
        <v>72</v>
      </c>
      <c r="N581" s="21">
        <v>44824</v>
      </c>
      <c r="O581" s="7">
        <f t="shared" si="36"/>
        <v>20</v>
      </c>
      <c r="P581" s="22">
        <f t="shared" si="37"/>
        <v>11</v>
      </c>
      <c r="Q581" s="22">
        <f t="shared" si="38"/>
        <v>30</v>
      </c>
      <c r="R581" s="16">
        <v>48</v>
      </c>
      <c r="S581">
        <v>4.6062229688334</v>
      </c>
      <c r="T581">
        <v>-74.126406749661797</v>
      </c>
      <c r="U581" s="22">
        <v>15601</v>
      </c>
      <c r="V581" s="22">
        <v>15545</v>
      </c>
      <c r="W581" s="25">
        <v>12632</v>
      </c>
      <c r="X581" s="24">
        <v>12831</v>
      </c>
      <c r="Y581" s="24">
        <v>197079</v>
      </c>
      <c r="Z581" s="24">
        <v>199451</v>
      </c>
      <c r="AA581" s="24">
        <v>4148</v>
      </c>
      <c r="AB581" s="24">
        <v>4648</v>
      </c>
      <c r="AC581" s="24">
        <v>61331</v>
      </c>
      <c r="AD581" s="24">
        <v>61409</v>
      </c>
      <c r="AE581" s="24">
        <v>11618</v>
      </c>
      <c r="AF581" s="24">
        <v>11260</v>
      </c>
      <c r="AG581" s="17">
        <v>0</v>
      </c>
      <c r="AH581" s="16" t="s">
        <v>48</v>
      </c>
      <c r="AI581" s="16" t="s">
        <v>49</v>
      </c>
      <c r="AJ581" s="16" t="s">
        <v>76</v>
      </c>
      <c r="AK581" s="16" t="s">
        <v>51</v>
      </c>
      <c r="AL581" s="25">
        <v>241405</v>
      </c>
      <c r="AM581" s="43">
        <f t="shared" si="39"/>
        <v>113.01556420233463</v>
      </c>
      <c r="AN581" s="16">
        <v>0</v>
      </c>
      <c r="AO581" s="16" t="s">
        <v>60</v>
      </c>
    </row>
    <row r="582" spans="1:41" ht="14.5" x14ac:dyDescent="0.35">
      <c r="A582" s="27" t="s">
        <v>1793</v>
      </c>
      <c r="B582" s="16" t="s">
        <v>55</v>
      </c>
      <c r="C582" s="16" t="s">
        <v>43</v>
      </c>
      <c r="D582" s="16" t="s">
        <v>44</v>
      </c>
      <c r="E582" s="16" t="s">
        <v>463</v>
      </c>
      <c r="F582" s="16">
        <v>4</v>
      </c>
      <c r="G582" s="30" t="s">
        <v>1794</v>
      </c>
      <c r="H582" s="16" t="s">
        <v>1795</v>
      </c>
      <c r="I582" s="16" t="s">
        <v>47</v>
      </c>
      <c r="J582" s="16">
        <v>161.22999999999999</v>
      </c>
      <c r="K582" s="16">
        <v>403</v>
      </c>
      <c r="L582" s="16">
        <v>2270</v>
      </c>
      <c r="M582" s="8">
        <v>126</v>
      </c>
      <c r="N582" s="21">
        <v>46203</v>
      </c>
      <c r="O582" s="7">
        <f t="shared" si="36"/>
        <v>30</v>
      </c>
      <c r="P582" s="22">
        <f t="shared" si="37"/>
        <v>1</v>
      </c>
      <c r="Q582" s="22">
        <f t="shared" si="38"/>
        <v>30</v>
      </c>
      <c r="R582" s="16">
        <v>3</v>
      </c>
      <c r="S582">
        <v>4.6120020433724598</v>
      </c>
      <c r="T582">
        <v>-74.069733535375207</v>
      </c>
      <c r="U582" s="22">
        <v>14513</v>
      </c>
      <c r="V582" s="22">
        <v>9464.6666669999995</v>
      </c>
      <c r="W582" s="25">
        <v>10592</v>
      </c>
      <c r="X582" s="24">
        <v>10811</v>
      </c>
      <c r="Y582" s="24">
        <v>153724</v>
      </c>
      <c r="Z582" s="24">
        <v>102322</v>
      </c>
      <c r="AA582" s="24">
        <v>8070</v>
      </c>
      <c r="AB582" s="42">
        <v>108</v>
      </c>
      <c r="AC582" s="24">
        <v>59901</v>
      </c>
      <c r="AD582" s="24">
        <v>41292</v>
      </c>
      <c r="AE582" s="24">
        <v>7818</v>
      </c>
      <c r="AF582" s="24">
        <v>6086</v>
      </c>
      <c r="AG582" s="17">
        <v>1.498</v>
      </c>
      <c r="AH582" s="16" t="s">
        <v>58</v>
      </c>
      <c r="AI582" s="16" t="s">
        <v>49</v>
      </c>
      <c r="AJ582" s="16" t="s">
        <v>124</v>
      </c>
      <c r="AK582" s="16" t="s">
        <v>65</v>
      </c>
      <c r="AL582" s="25">
        <v>204160</v>
      </c>
      <c r="AM582" s="43">
        <f t="shared" si="39"/>
        <v>48.489735160950197</v>
      </c>
      <c r="AN582" s="16" t="s">
        <v>1602</v>
      </c>
      <c r="AO582" s="16" t="s">
        <v>60</v>
      </c>
    </row>
    <row r="583" spans="1:41" ht="14.5" x14ac:dyDescent="0.35">
      <c r="A583" s="27" t="s">
        <v>1796</v>
      </c>
      <c r="B583" s="16" t="s">
        <v>105</v>
      </c>
      <c r="C583" s="16" t="s">
        <v>112</v>
      </c>
      <c r="D583" s="16" t="s">
        <v>113</v>
      </c>
      <c r="E583" s="16" t="s">
        <v>114</v>
      </c>
      <c r="F583" s="16">
        <v>4</v>
      </c>
      <c r="G583" s="30" t="s">
        <v>1797</v>
      </c>
      <c r="H583" s="16" t="s">
        <v>1798</v>
      </c>
      <c r="I583" s="16" t="s">
        <v>47</v>
      </c>
      <c r="J583" s="16">
        <v>112.28</v>
      </c>
      <c r="K583" s="16">
        <v>912</v>
      </c>
      <c r="L583" s="16">
        <v>1051</v>
      </c>
      <c r="M583" s="8">
        <v>134</v>
      </c>
      <c r="N583" s="21">
        <v>45747</v>
      </c>
      <c r="O583" s="7">
        <f t="shared" si="36"/>
        <v>31</v>
      </c>
      <c r="P583" s="22">
        <f t="shared" si="37"/>
        <v>1</v>
      </c>
      <c r="Q583" s="22">
        <f t="shared" si="38"/>
        <v>31</v>
      </c>
      <c r="R583" s="16">
        <v>18</v>
      </c>
      <c r="S583">
        <v>3.4221070550767299</v>
      </c>
      <c r="T583">
        <v>-76.546812836056503</v>
      </c>
      <c r="U583" s="22">
        <v>16156</v>
      </c>
      <c r="V583" s="22">
        <v>17656.833330000001</v>
      </c>
      <c r="W583" s="25">
        <v>10517</v>
      </c>
      <c r="X583" s="24">
        <v>9753</v>
      </c>
      <c r="Y583" s="24">
        <v>169914</v>
      </c>
      <c r="Z583" s="24">
        <v>172201</v>
      </c>
      <c r="AA583" s="24">
        <v>-14383</v>
      </c>
      <c r="AB583" s="24">
        <v>6960</v>
      </c>
      <c r="AC583" s="24">
        <v>63416</v>
      </c>
      <c r="AD583" s="24">
        <v>68085</v>
      </c>
      <c r="AE583" s="24">
        <v>10510</v>
      </c>
      <c r="AF583" s="24">
        <v>10617</v>
      </c>
      <c r="AG583" s="17">
        <v>1.3774999999999999</v>
      </c>
      <c r="AH583" s="16" t="s">
        <v>136</v>
      </c>
      <c r="AI583" s="16" t="s">
        <v>49</v>
      </c>
      <c r="AJ583" s="16" t="s">
        <v>76</v>
      </c>
      <c r="AK583" s="16" t="s">
        <v>51</v>
      </c>
      <c r="AL583" s="25">
        <v>241405</v>
      </c>
      <c r="AM583" s="43">
        <f t="shared" si="39"/>
        <v>93.605272532953336</v>
      </c>
      <c r="AN583" s="16" t="s">
        <v>436</v>
      </c>
      <c r="AO583" s="16" t="s">
        <v>60</v>
      </c>
    </row>
    <row r="584" spans="1:41" ht="14.5" x14ac:dyDescent="0.35">
      <c r="A584" s="27" t="s">
        <v>1799</v>
      </c>
      <c r="B584" s="16" t="s">
        <v>105</v>
      </c>
      <c r="C584" s="16" t="s">
        <v>157</v>
      </c>
      <c r="D584" s="16" t="s">
        <v>158</v>
      </c>
      <c r="E584" s="16" t="s">
        <v>567</v>
      </c>
      <c r="F584" s="16">
        <v>4</v>
      </c>
      <c r="G584" s="30" t="s">
        <v>1800</v>
      </c>
      <c r="H584" s="16" t="s">
        <v>1801</v>
      </c>
      <c r="I584" s="16" t="s">
        <v>47</v>
      </c>
      <c r="J584" s="16">
        <v>73.650000000000006</v>
      </c>
      <c r="K584" s="16">
        <v>0</v>
      </c>
      <c r="L584" s="16">
        <v>1500</v>
      </c>
      <c r="M584" s="8">
        <v>53</v>
      </c>
      <c r="N584" s="21">
        <v>45863</v>
      </c>
      <c r="O584" s="7">
        <f t="shared" si="36"/>
        <v>25</v>
      </c>
      <c r="P584" s="22">
        <f t="shared" si="37"/>
        <v>7</v>
      </c>
      <c r="Q584" s="22">
        <f t="shared" si="38"/>
        <v>31</v>
      </c>
      <c r="R584" s="16">
        <v>14</v>
      </c>
      <c r="S584">
        <v>6.21648108049963</v>
      </c>
      <c r="T584">
        <v>-75.5878305389123</v>
      </c>
      <c r="U584" s="22">
        <v>27447</v>
      </c>
      <c r="V584" s="22">
        <v>23910</v>
      </c>
      <c r="W584" s="25">
        <v>9863</v>
      </c>
      <c r="X584" s="24">
        <v>9384</v>
      </c>
      <c r="Y584" s="24">
        <v>270696</v>
      </c>
      <c r="Z584" s="24">
        <v>224364</v>
      </c>
      <c r="AA584" s="24">
        <v>44274</v>
      </c>
      <c r="AB584" s="24">
        <v>31193</v>
      </c>
      <c r="AC584" s="24">
        <v>110816</v>
      </c>
      <c r="AD584" s="24">
        <v>91844</v>
      </c>
      <c r="AE584" s="24">
        <v>9816</v>
      </c>
      <c r="AF584" s="24">
        <v>9861</v>
      </c>
      <c r="AG584" s="17">
        <v>1.8689</v>
      </c>
      <c r="AH584" s="16" t="s">
        <v>82</v>
      </c>
      <c r="AI584" s="16" t="s">
        <v>49</v>
      </c>
      <c r="AJ584" s="16" t="s">
        <v>124</v>
      </c>
      <c r="AK584" s="16" t="s">
        <v>71</v>
      </c>
      <c r="AL584" s="25">
        <v>204160</v>
      </c>
      <c r="AM584" s="43">
        <f t="shared" si="39"/>
        <v>133.27902240325864</v>
      </c>
      <c r="AN584" s="16" t="s">
        <v>598</v>
      </c>
      <c r="AO584" s="16" t="s">
        <v>53</v>
      </c>
    </row>
    <row r="585" spans="1:41" ht="14.5" x14ac:dyDescent="0.35">
      <c r="A585" s="27" t="s">
        <v>1802</v>
      </c>
      <c r="B585" s="16" t="s">
        <v>42</v>
      </c>
      <c r="C585" s="16" t="s">
        <v>93</v>
      </c>
      <c r="D585" s="16" t="s">
        <v>749</v>
      </c>
      <c r="E585" s="16" t="s">
        <v>1803</v>
      </c>
      <c r="F585" s="16">
        <v>3</v>
      </c>
      <c r="G585" s="30" t="s">
        <v>1804</v>
      </c>
      <c r="H585" s="16">
        <v>0</v>
      </c>
      <c r="I585" s="16" t="s">
        <v>429</v>
      </c>
      <c r="J585" s="16">
        <v>141.49</v>
      </c>
      <c r="K585" s="16">
        <v>50</v>
      </c>
      <c r="L585" s="16">
        <v>1500</v>
      </c>
      <c r="M585" s="8">
        <v>40</v>
      </c>
      <c r="N585" s="21">
        <v>44918</v>
      </c>
      <c r="O585" s="7">
        <f t="shared" si="36"/>
        <v>23</v>
      </c>
      <c r="P585" s="22">
        <f t="shared" si="37"/>
        <v>9</v>
      </c>
      <c r="Q585" s="22">
        <f t="shared" si="38"/>
        <v>31</v>
      </c>
      <c r="R585" s="16">
        <v>45</v>
      </c>
      <c r="S585">
        <v>4.74792430169094</v>
      </c>
      <c r="T585">
        <v>-74.144819742208199</v>
      </c>
      <c r="U585" s="22">
        <v>15482</v>
      </c>
      <c r="V585" s="22">
        <v>16032</v>
      </c>
      <c r="W585" s="25">
        <v>11527</v>
      </c>
      <c r="X585" s="24">
        <v>11867</v>
      </c>
      <c r="Y585" s="24">
        <v>178456</v>
      </c>
      <c r="Z585" s="24">
        <v>190251</v>
      </c>
      <c r="AA585" s="24">
        <v>12023</v>
      </c>
      <c r="AB585" s="24">
        <v>14987</v>
      </c>
      <c r="AC585" s="24">
        <v>69273</v>
      </c>
      <c r="AD585" s="24">
        <v>74520</v>
      </c>
      <c r="AE585" s="24">
        <v>8605</v>
      </c>
      <c r="AF585" s="24">
        <v>8718</v>
      </c>
      <c r="AG585" s="17">
        <v>0</v>
      </c>
      <c r="AH585" s="16" t="s">
        <v>64</v>
      </c>
      <c r="AI585" s="16" t="s">
        <v>49</v>
      </c>
      <c r="AJ585" s="16" t="s">
        <v>50</v>
      </c>
      <c r="AK585" s="16" t="s">
        <v>51</v>
      </c>
      <c r="AL585" s="25">
        <v>232000</v>
      </c>
      <c r="AM585" s="43">
        <f t="shared" si="39"/>
        <v>60.817018870591561</v>
      </c>
      <c r="AN585" s="16" t="s">
        <v>1386</v>
      </c>
      <c r="AO585" s="16" t="s">
        <v>60</v>
      </c>
    </row>
    <row r="586" spans="1:41" ht="14.5" x14ac:dyDescent="0.35">
      <c r="A586" s="27" t="s">
        <v>1805</v>
      </c>
      <c r="B586" s="16" t="s">
        <v>42</v>
      </c>
      <c r="C586" s="16" t="s">
        <v>93</v>
      </c>
      <c r="D586" s="16" t="s">
        <v>426</v>
      </c>
      <c r="E586" s="16" t="s">
        <v>427</v>
      </c>
      <c r="F586" s="16">
        <v>4</v>
      </c>
      <c r="G586" s="30" t="s">
        <v>1806</v>
      </c>
      <c r="H586" s="16">
        <v>0</v>
      </c>
      <c r="I586" s="16" t="s">
        <v>47</v>
      </c>
      <c r="J586" s="16">
        <v>134.56</v>
      </c>
      <c r="K586" s="16">
        <v>1180</v>
      </c>
      <c r="L586" s="16">
        <v>240</v>
      </c>
      <c r="M586" s="8">
        <v>45</v>
      </c>
      <c r="N586" s="21">
        <v>44981</v>
      </c>
      <c r="O586" s="7">
        <f t="shared" si="36"/>
        <v>24</v>
      </c>
      <c r="P586" s="22">
        <f t="shared" si="37"/>
        <v>5</v>
      </c>
      <c r="Q586" s="22">
        <f t="shared" si="38"/>
        <v>28</v>
      </c>
      <c r="R586" s="16">
        <v>43</v>
      </c>
      <c r="S586">
        <v>4.9238536526261596</v>
      </c>
      <c r="T586">
        <v>-74.042360885700106</v>
      </c>
      <c r="U586" s="22">
        <v>12351</v>
      </c>
      <c r="V586" s="22">
        <v>11901.166670000001</v>
      </c>
      <c r="W586" s="25">
        <v>17317</v>
      </c>
      <c r="X586" s="24">
        <v>17340</v>
      </c>
      <c r="Y586" s="24">
        <v>213881</v>
      </c>
      <c r="Z586" s="24">
        <v>206363</v>
      </c>
      <c r="AA586" s="24">
        <v>18846</v>
      </c>
      <c r="AB586" s="24">
        <v>18238</v>
      </c>
      <c r="AC586" s="24">
        <v>77873</v>
      </c>
      <c r="AD586" s="24">
        <v>73380</v>
      </c>
      <c r="AE586" s="24">
        <v>8337</v>
      </c>
      <c r="AF586" s="24">
        <v>8426</v>
      </c>
      <c r="AG586" s="17">
        <v>0</v>
      </c>
      <c r="AH586" s="16" t="s">
        <v>82</v>
      </c>
      <c r="AI586" s="16" t="s">
        <v>49</v>
      </c>
      <c r="AJ586" s="16" t="s">
        <v>124</v>
      </c>
      <c r="AK586" s="16" t="s">
        <v>51</v>
      </c>
      <c r="AL586" s="25">
        <v>204160</v>
      </c>
      <c r="AM586" s="43">
        <f t="shared" si="39"/>
        <v>61.957491082045181</v>
      </c>
      <c r="AN586" s="16" t="s">
        <v>1058</v>
      </c>
      <c r="AO586" s="16" t="s">
        <v>60</v>
      </c>
    </row>
    <row r="587" spans="1:41" ht="14.5" x14ac:dyDescent="0.35">
      <c r="A587" s="27" t="s">
        <v>1807</v>
      </c>
      <c r="B587" s="16" t="s">
        <v>42</v>
      </c>
      <c r="C587" s="16" t="s">
        <v>43</v>
      </c>
      <c r="D587" s="16" t="s">
        <v>44</v>
      </c>
      <c r="E587" s="16" t="s">
        <v>495</v>
      </c>
      <c r="F587" s="16">
        <v>3</v>
      </c>
      <c r="G587" s="30" t="s">
        <v>1808</v>
      </c>
      <c r="H587" s="16" t="s">
        <v>1809</v>
      </c>
      <c r="I587" s="16" t="s">
        <v>47</v>
      </c>
      <c r="J587" s="16">
        <v>119.68</v>
      </c>
      <c r="K587" s="16">
        <v>1951</v>
      </c>
      <c r="L587" s="16">
        <v>838</v>
      </c>
      <c r="M587" s="8">
        <v>133</v>
      </c>
      <c r="N587" s="21">
        <v>45595</v>
      </c>
      <c r="O587" s="7">
        <f t="shared" si="36"/>
        <v>30</v>
      </c>
      <c r="P587" s="22">
        <f t="shared" si="37"/>
        <v>2</v>
      </c>
      <c r="Q587" s="22">
        <f t="shared" si="38"/>
        <v>31</v>
      </c>
      <c r="R587" s="16">
        <v>23</v>
      </c>
      <c r="S587">
        <v>4.7599720080907897</v>
      </c>
      <c r="T587">
        <v>-74.029402088814095</v>
      </c>
      <c r="U587" s="22">
        <v>19473</v>
      </c>
      <c r="V587" s="22">
        <v>19333.5</v>
      </c>
      <c r="W587" s="25">
        <v>13808</v>
      </c>
      <c r="X587" s="24">
        <v>13728</v>
      </c>
      <c r="Y587" s="24">
        <v>268884</v>
      </c>
      <c r="Z587" s="24">
        <v>265415</v>
      </c>
      <c r="AA587" s="24">
        <v>37749</v>
      </c>
      <c r="AB587" s="24">
        <v>28406</v>
      </c>
      <c r="AC587" s="24">
        <v>91026</v>
      </c>
      <c r="AD587" s="24">
        <v>85612</v>
      </c>
      <c r="AE587" s="24">
        <v>6312</v>
      </c>
      <c r="AF587" s="24">
        <v>6384</v>
      </c>
      <c r="AG587" s="17">
        <v>0</v>
      </c>
      <c r="AH587" s="16" t="s">
        <v>58</v>
      </c>
      <c r="AI587" s="16" t="s">
        <v>49</v>
      </c>
      <c r="AJ587" s="16" t="s">
        <v>124</v>
      </c>
      <c r="AK587" s="16" t="s">
        <v>51</v>
      </c>
      <c r="AL587" s="25">
        <v>204160</v>
      </c>
      <c r="AM587" s="43">
        <f t="shared" si="39"/>
        <v>52.740641711229941</v>
      </c>
      <c r="AN587" s="16">
        <v>0</v>
      </c>
      <c r="AO587" s="16" t="s">
        <v>53</v>
      </c>
    </row>
    <row r="588" spans="1:41" ht="14.5" x14ac:dyDescent="0.35">
      <c r="A588" s="27" t="s">
        <v>1810</v>
      </c>
      <c r="B588" s="16" t="s">
        <v>55</v>
      </c>
      <c r="C588" s="16" t="s">
        <v>43</v>
      </c>
      <c r="D588" s="16" t="s">
        <v>44</v>
      </c>
      <c r="E588" s="16" t="s">
        <v>647</v>
      </c>
      <c r="F588" s="16">
        <v>3</v>
      </c>
      <c r="G588" s="30" t="s">
        <v>1811</v>
      </c>
      <c r="H588" s="16">
        <v>0</v>
      </c>
      <c r="I588" s="16" t="s">
        <v>47</v>
      </c>
      <c r="J588" s="16">
        <v>93.72</v>
      </c>
      <c r="K588" s="16">
        <v>350</v>
      </c>
      <c r="L588" s="16">
        <v>2940</v>
      </c>
      <c r="M588" s="8">
        <v>61</v>
      </c>
      <c r="N588" s="21">
        <v>45169</v>
      </c>
      <c r="O588" s="7">
        <f t="shared" si="36"/>
        <v>31</v>
      </c>
      <c r="P588" s="22">
        <f t="shared" si="37"/>
        <v>1</v>
      </c>
      <c r="Q588" s="22">
        <f t="shared" si="38"/>
        <v>31</v>
      </c>
      <c r="R588" s="16">
        <v>37</v>
      </c>
      <c r="S588">
        <v>4.62334484439031</v>
      </c>
      <c r="T588">
        <v>-74.076592140935006</v>
      </c>
      <c r="U588" s="22">
        <v>14367</v>
      </c>
      <c r="V588" s="22">
        <v>15004.166670000001</v>
      </c>
      <c r="W588" s="25">
        <v>11594</v>
      </c>
      <c r="X588" s="24">
        <v>11813</v>
      </c>
      <c r="Y588" s="24">
        <v>166564</v>
      </c>
      <c r="Z588" s="24">
        <v>177247</v>
      </c>
      <c r="AA588" s="24">
        <v>6984</v>
      </c>
      <c r="AB588" s="24">
        <v>9340</v>
      </c>
      <c r="AC588" s="24">
        <v>62320</v>
      </c>
      <c r="AD588" s="24">
        <v>64505</v>
      </c>
      <c r="AE588" s="24">
        <v>8820</v>
      </c>
      <c r="AF588" s="24">
        <v>8582</v>
      </c>
      <c r="AG588" s="17">
        <v>0</v>
      </c>
      <c r="AH588" s="16" t="s">
        <v>82</v>
      </c>
      <c r="AI588" s="16" t="s">
        <v>49</v>
      </c>
      <c r="AJ588" s="16" t="s">
        <v>124</v>
      </c>
      <c r="AK588" s="16" t="s">
        <v>51</v>
      </c>
      <c r="AL588" s="25">
        <v>204160</v>
      </c>
      <c r="AM588" s="43">
        <f t="shared" si="39"/>
        <v>94.110115236875799</v>
      </c>
      <c r="AN588" s="16">
        <v>0</v>
      </c>
      <c r="AO588" s="16" t="s">
        <v>53</v>
      </c>
    </row>
    <row r="589" spans="1:41" ht="14.5" x14ac:dyDescent="0.35">
      <c r="A589" s="27" t="s">
        <v>1812</v>
      </c>
      <c r="B589" s="16" t="s">
        <v>55</v>
      </c>
      <c r="C589" s="16" t="s">
        <v>43</v>
      </c>
      <c r="D589" s="16" t="s">
        <v>44</v>
      </c>
      <c r="E589" s="16" t="s">
        <v>524</v>
      </c>
      <c r="F589" s="16">
        <v>3</v>
      </c>
      <c r="G589" s="30" t="s">
        <v>1813</v>
      </c>
      <c r="H589" s="16">
        <v>0</v>
      </c>
      <c r="I589" s="16" t="s">
        <v>47</v>
      </c>
      <c r="J589" s="16">
        <v>102.42</v>
      </c>
      <c r="K589" s="16">
        <v>3243</v>
      </c>
      <c r="L589" s="16">
        <v>750</v>
      </c>
      <c r="M589" s="8">
        <v>132</v>
      </c>
      <c r="N589" s="21">
        <v>45282</v>
      </c>
      <c r="O589" s="7">
        <f t="shared" si="36"/>
        <v>22</v>
      </c>
      <c r="P589" s="22">
        <f t="shared" si="37"/>
        <v>10</v>
      </c>
      <c r="Q589" s="22">
        <f t="shared" si="38"/>
        <v>31</v>
      </c>
      <c r="R589" s="16">
        <v>33</v>
      </c>
      <c r="S589">
        <v>4.6095020230615598</v>
      </c>
      <c r="T589">
        <v>-74.108353592942095</v>
      </c>
      <c r="U589" s="22">
        <v>21695</v>
      </c>
      <c r="V589" s="22">
        <v>22352.333330000001</v>
      </c>
      <c r="W589" s="25">
        <v>13184</v>
      </c>
      <c r="X589" s="24">
        <v>13549</v>
      </c>
      <c r="Y589" s="24">
        <v>286031</v>
      </c>
      <c r="Z589" s="24">
        <v>302844</v>
      </c>
      <c r="AA589" s="24">
        <v>28812</v>
      </c>
      <c r="AB589" s="24">
        <v>30177</v>
      </c>
      <c r="AC589" s="24">
        <v>98420</v>
      </c>
      <c r="AD589" s="24">
        <v>102712</v>
      </c>
      <c r="AE589" s="24">
        <v>13367</v>
      </c>
      <c r="AF589" s="24">
        <v>13547</v>
      </c>
      <c r="AG589" s="17">
        <v>0</v>
      </c>
      <c r="AH589" s="16" t="s">
        <v>136</v>
      </c>
      <c r="AI589" s="16" t="s">
        <v>49</v>
      </c>
      <c r="AJ589" s="16" t="s">
        <v>50</v>
      </c>
      <c r="AK589" s="16" t="s">
        <v>51</v>
      </c>
      <c r="AL589" s="25">
        <v>232000</v>
      </c>
      <c r="AM589" s="43">
        <f t="shared" si="39"/>
        <v>130.51161882444833</v>
      </c>
      <c r="AN589" s="16" t="s">
        <v>131</v>
      </c>
      <c r="AO589" s="16" t="s">
        <v>60</v>
      </c>
    </row>
    <row r="590" spans="1:41" ht="14.5" x14ac:dyDescent="0.35">
      <c r="A590" s="27" t="s">
        <v>1814</v>
      </c>
      <c r="B590" s="16" t="s">
        <v>42</v>
      </c>
      <c r="C590" s="16" t="s">
        <v>43</v>
      </c>
      <c r="D590" s="16" t="s">
        <v>44</v>
      </c>
      <c r="E590" s="16" t="s">
        <v>458</v>
      </c>
      <c r="F590" s="16">
        <v>3</v>
      </c>
      <c r="G590" s="30" t="s">
        <v>1815</v>
      </c>
      <c r="H590" s="16">
        <v>0</v>
      </c>
      <c r="I590" s="16" t="s">
        <v>47</v>
      </c>
      <c r="J590" s="16">
        <v>104.63</v>
      </c>
      <c r="K590" s="16">
        <v>686</v>
      </c>
      <c r="L590" s="16">
        <v>430</v>
      </c>
      <c r="M590" s="8">
        <v>0</v>
      </c>
      <c r="N590" s="21">
        <v>40525</v>
      </c>
      <c r="O590" s="7">
        <f t="shared" si="36"/>
        <v>13</v>
      </c>
      <c r="P590" s="22">
        <f t="shared" si="37"/>
        <v>19</v>
      </c>
      <c r="Q590" s="22">
        <f t="shared" si="38"/>
        <v>31</v>
      </c>
      <c r="R590" s="16">
        <v>116</v>
      </c>
      <c r="S590">
        <v>4.7467846497361403</v>
      </c>
      <c r="T590">
        <v>-74.044244787985605</v>
      </c>
      <c r="U590" s="22">
        <v>28580</v>
      </c>
      <c r="V590" s="22">
        <v>28188.5</v>
      </c>
      <c r="W590" s="25">
        <v>11624</v>
      </c>
      <c r="X590" s="24">
        <v>12330</v>
      </c>
      <c r="Y590" s="24">
        <v>332215</v>
      </c>
      <c r="Z590" s="24">
        <v>347556</v>
      </c>
      <c r="AA590" s="24">
        <v>51162</v>
      </c>
      <c r="AB590" s="24">
        <v>50068</v>
      </c>
      <c r="AC590" s="24">
        <v>128091</v>
      </c>
      <c r="AD590" s="24">
        <v>130617</v>
      </c>
      <c r="AE590" s="24">
        <v>10249</v>
      </c>
      <c r="AF590" s="24">
        <v>10285</v>
      </c>
      <c r="AG590" s="17">
        <v>0</v>
      </c>
      <c r="AH590" s="16" t="s">
        <v>136</v>
      </c>
      <c r="AI590" s="16" t="s">
        <v>49</v>
      </c>
      <c r="AJ590" s="16" t="s">
        <v>50</v>
      </c>
      <c r="AK590" s="16" t="s">
        <v>51</v>
      </c>
      <c r="AL590" s="25">
        <v>241405</v>
      </c>
      <c r="AM590" s="43">
        <f t="shared" si="39"/>
        <v>97.95469750549556</v>
      </c>
      <c r="AN590" s="16" t="s">
        <v>436</v>
      </c>
      <c r="AO590" s="16" t="s">
        <v>60</v>
      </c>
    </row>
    <row r="591" spans="1:41" ht="14.5" x14ac:dyDescent="0.35">
      <c r="A591" s="27" t="s">
        <v>1816</v>
      </c>
      <c r="B591" s="16" t="s">
        <v>42</v>
      </c>
      <c r="C591" s="16" t="s">
        <v>43</v>
      </c>
      <c r="D591" s="16" t="s">
        <v>44</v>
      </c>
      <c r="E591" s="16" t="s">
        <v>330</v>
      </c>
      <c r="F591" s="16">
        <v>5</v>
      </c>
      <c r="G591" s="30" t="s">
        <v>1817</v>
      </c>
      <c r="H591" s="16" t="s">
        <v>1818</v>
      </c>
      <c r="I591" s="16" t="s">
        <v>102</v>
      </c>
      <c r="J591" s="16">
        <v>185.87</v>
      </c>
      <c r="K591" s="16">
        <v>238</v>
      </c>
      <c r="L591" s="16">
        <v>5346</v>
      </c>
      <c r="M591" s="8">
        <v>0</v>
      </c>
      <c r="N591" s="21">
        <v>45713</v>
      </c>
      <c r="O591" s="7">
        <f t="shared" si="36"/>
        <v>25</v>
      </c>
      <c r="P591" s="22">
        <f t="shared" si="37"/>
        <v>4</v>
      </c>
      <c r="Q591" s="22">
        <f t="shared" si="38"/>
        <v>28</v>
      </c>
      <c r="R591" s="16">
        <v>19</v>
      </c>
      <c r="S591">
        <v>4.6960598063635199</v>
      </c>
      <c r="T591">
        <v>-74.056250533732097</v>
      </c>
      <c r="U591" s="22">
        <v>14685</v>
      </c>
      <c r="V591" s="22">
        <v>16449.5</v>
      </c>
      <c r="W591" s="25">
        <v>9482</v>
      </c>
      <c r="X591" s="24">
        <v>9781</v>
      </c>
      <c r="Y591" s="24">
        <v>139240</v>
      </c>
      <c r="Z591" s="24">
        <v>160897</v>
      </c>
      <c r="AA591" s="24">
        <v>5651</v>
      </c>
      <c r="AB591" s="24">
        <v>16317</v>
      </c>
      <c r="AC591" s="24">
        <v>62960</v>
      </c>
      <c r="AD591" s="24">
        <v>72301</v>
      </c>
      <c r="AE591" s="24">
        <v>16472</v>
      </c>
      <c r="AF591" s="24">
        <v>16381</v>
      </c>
      <c r="AG591" s="17">
        <v>0</v>
      </c>
      <c r="AH591" s="16" t="s">
        <v>136</v>
      </c>
      <c r="AI591" s="16" t="s">
        <v>49</v>
      </c>
      <c r="AJ591" s="16" t="s">
        <v>50</v>
      </c>
      <c r="AK591" s="16" t="s">
        <v>51</v>
      </c>
      <c r="AL591" s="25">
        <v>232000</v>
      </c>
      <c r="AM591" s="43">
        <f t="shared" si="39"/>
        <v>88.621079248937434</v>
      </c>
      <c r="AN591" s="16" t="s">
        <v>694</v>
      </c>
      <c r="AO591" s="16" t="s">
        <v>60</v>
      </c>
    </row>
    <row r="592" spans="1:41" ht="14.5" x14ac:dyDescent="0.35">
      <c r="A592" s="27" t="s">
        <v>1819</v>
      </c>
      <c r="B592" s="16" t="s">
        <v>55</v>
      </c>
      <c r="C592" s="16" t="s">
        <v>43</v>
      </c>
      <c r="D592" s="16" t="s">
        <v>44</v>
      </c>
      <c r="E592" s="16" t="s">
        <v>473</v>
      </c>
      <c r="F592" s="16">
        <v>3</v>
      </c>
      <c r="G592" s="30" t="s">
        <v>1820</v>
      </c>
      <c r="H592" s="16">
        <v>0</v>
      </c>
      <c r="I592" s="16" t="s">
        <v>47</v>
      </c>
      <c r="J592" s="16">
        <v>159.94999999999999</v>
      </c>
      <c r="K592" s="16">
        <v>1910</v>
      </c>
      <c r="L592" s="16">
        <v>3760</v>
      </c>
      <c r="M592" s="8">
        <v>225</v>
      </c>
      <c r="N592" s="21">
        <v>46111</v>
      </c>
      <c r="O592" s="7">
        <f t="shared" si="36"/>
        <v>30</v>
      </c>
      <c r="P592" s="22">
        <f t="shared" si="37"/>
        <v>2</v>
      </c>
      <c r="Q592" s="22">
        <f t="shared" si="38"/>
        <v>31</v>
      </c>
      <c r="R592" s="16">
        <v>6</v>
      </c>
      <c r="S592">
        <v>4.6277341964558598</v>
      </c>
      <c r="T592">
        <v>-74.067368698940498</v>
      </c>
      <c r="U592" s="22">
        <v>30861</v>
      </c>
      <c r="V592" s="22">
        <v>21360.5</v>
      </c>
      <c r="W592" s="25">
        <v>9966</v>
      </c>
      <c r="X592" s="24">
        <v>10413</v>
      </c>
      <c r="Y592" s="24">
        <v>307553</v>
      </c>
      <c r="Z592" s="24">
        <v>222432</v>
      </c>
      <c r="AA592" s="24">
        <v>38197</v>
      </c>
      <c r="AB592" s="24">
        <v>18169</v>
      </c>
      <c r="AC592" s="24">
        <v>119182</v>
      </c>
      <c r="AD592" s="24">
        <v>83848</v>
      </c>
      <c r="AE592" s="24">
        <v>17000</v>
      </c>
      <c r="AF592" s="24">
        <v>14459</v>
      </c>
      <c r="AG592" s="17">
        <v>1.1745000000000001</v>
      </c>
      <c r="AH592" s="16" t="s">
        <v>48</v>
      </c>
      <c r="AI592" s="16" t="s">
        <v>49</v>
      </c>
      <c r="AJ592" s="16" t="s">
        <v>50</v>
      </c>
      <c r="AK592" s="16" t="s">
        <v>65</v>
      </c>
      <c r="AL592" s="25">
        <v>241405</v>
      </c>
      <c r="AM592" s="43">
        <f t="shared" si="39"/>
        <v>106.28321350422007</v>
      </c>
      <c r="AN592" s="16" t="s">
        <v>296</v>
      </c>
      <c r="AO592" s="16" t="s">
        <v>60</v>
      </c>
    </row>
    <row r="593" spans="1:41" ht="14.5" x14ac:dyDescent="0.35">
      <c r="A593" s="27" t="s">
        <v>1821</v>
      </c>
      <c r="B593" s="16" t="s">
        <v>55</v>
      </c>
      <c r="C593" s="16" t="s">
        <v>43</v>
      </c>
      <c r="D593" s="16" t="s">
        <v>44</v>
      </c>
      <c r="E593" s="16" t="s">
        <v>206</v>
      </c>
      <c r="F593" s="16">
        <v>3</v>
      </c>
      <c r="G593" s="30" t="s">
        <v>1822</v>
      </c>
      <c r="H593" s="16">
        <v>0</v>
      </c>
      <c r="I593" s="16" t="s">
        <v>47</v>
      </c>
      <c r="J593" s="16">
        <v>77.94</v>
      </c>
      <c r="K593" s="16">
        <v>20</v>
      </c>
      <c r="L593" s="16">
        <v>8843</v>
      </c>
      <c r="M593" s="8">
        <v>0</v>
      </c>
      <c r="N593" s="21">
        <v>43665</v>
      </c>
      <c r="O593" s="7">
        <f t="shared" si="36"/>
        <v>19</v>
      </c>
      <c r="P593" s="22">
        <f t="shared" si="37"/>
        <v>13</v>
      </c>
      <c r="Q593" s="22">
        <f t="shared" si="38"/>
        <v>31</v>
      </c>
      <c r="R593" s="16">
        <v>86</v>
      </c>
      <c r="S593">
        <v>4.6285398509982203</v>
      </c>
      <c r="T593">
        <v>-74.112222376013705</v>
      </c>
      <c r="U593" s="22">
        <v>26468</v>
      </c>
      <c r="V593" s="22">
        <v>26534.166669999999</v>
      </c>
      <c r="W593" s="25">
        <v>9542</v>
      </c>
      <c r="X593" s="24">
        <v>9740</v>
      </c>
      <c r="Y593" s="24">
        <v>252560</v>
      </c>
      <c r="Z593" s="24">
        <v>258433</v>
      </c>
      <c r="AA593" s="24">
        <v>43164</v>
      </c>
      <c r="AB593" s="24">
        <v>41963</v>
      </c>
      <c r="AC593" s="24">
        <v>102181</v>
      </c>
      <c r="AD593" s="24">
        <v>103185</v>
      </c>
      <c r="AE593" s="24">
        <v>7872</v>
      </c>
      <c r="AF593" s="24">
        <v>7882</v>
      </c>
      <c r="AG593" s="17">
        <v>0</v>
      </c>
      <c r="AH593" s="16" t="s">
        <v>82</v>
      </c>
      <c r="AI593" s="16" t="s">
        <v>49</v>
      </c>
      <c r="AJ593" s="16" t="s">
        <v>124</v>
      </c>
      <c r="AK593" s="16" t="s">
        <v>51</v>
      </c>
      <c r="AL593" s="25">
        <v>204160</v>
      </c>
      <c r="AM593" s="43">
        <f t="shared" si="39"/>
        <v>101.00076982294073</v>
      </c>
      <c r="AN593" s="16" t="s">
        <v>410</v>
      </c>
      <c r="AO593" s="16" t="s">
        <v>53</v>
      </c>
    </row>
    <row r="594" spans="1:41" ht="14.5" x14ac:dyDescent="0.35">
      <c r="A594" s="27" t="s">
        <v>1823</v>
      </c>
      <c r="B594" s="16" t="s">
        <v>183</v>
      </c>
      <c r="C594" s="16" t="s">
        <v>184</v>
      </c>
      <c r="D594" s="16" t="s">
        <v>185</v>
      </c>
      <c r="E594" s="16" t="s">
        <v>186</v>
      </c>
      <c r="F594" s="16">
        <v>3</v>
      </c>
      <c r="G594" s="30" t="s">
        <v>1824</v>
      </c>
      <c r="H594" s="16">
        <v>0</v>
      </c>
      <c r="I594" s="16" t="s">
        <v>47</v>
      </c>
      <c r="J594" s="16">
        <v>64.67</v>
      </c>
      <c r="K594" s="16">
        <v>1256</v>
      </c>
      <c r="L594" s="16">
        <v>3150</v>
      </c>
      <c r="M594" s="8">
        <v>90</v>
      </c>
      <c r="N594" s="21">
        <v>45378</v>
      </c>
      <c r="O594" s="7">
        <f t="shared" si="36"/>
        <v>27</v>
      </c>
      <c r="P594" s="22">
        <f t="shared" si="37"/>
        <v>5</v>
      </c>
      <c r="Q594" s="22">
        <f t="shared" si="38"/>
        <v>31</v>
      </c>
      <c r="R594" s="16">
        <v>30</v>
      </c>
      <c r="S594">
        <v>11.005359173325999</v>
      </c>
      <c r="T594">
        <v>-74.810224131143102</v>
      </c>
      <c r="U594" s="22">
        <v>16935</v>
      </c>
      <c r="V594" s="22">
        <v>16622.333330000001</v>
      </c>
      <c r="W594" s="25">
        <v>9764</v>
      </c>
      <c r="X594" s="24">
        <v>9882</v>
      </c>
      <c r="Y594" s="24">
        <v>165346</v>
      </c>
      <c r="Z594" s="24">
        <v>164268</v>
      </c>
      <c r="AA594" s="24">
        <v>-4234</v>
      </c>
      <c r="AB594" s="42">
        <v>-372</v>
      </c>
      <c r="AC594" s="24">
        <v>65157</v>
      </c>
      <c r="AD594" s="24">
        <v>63476</v>
      </c>
      <c r="AE594" s="24">
        <v>10138</v>
      </c>
      <c r="AF594" s="24">
        <v>10357</v>
      </c>
      <c r="AG594" s="17">
        <v>0</v>
      </c>
      <c r="AH594" s="16" t="s">
        <v>198</v>
      </c>
      <c r="AI594" s="16" t="s">
        <v>49</v>
      </c>
      <c r="AJ594" s="16" t="s">
        <v>124</v>
      </c>
      <c r="AK594" s="16" t="s">
        <v>51</v>
      </c>
      <c r="AL594" s="25">
        <v>204160</v>
      </c>
      <c r="AM594" s="43">
        <f t="shared" si="39"/>
        <v>156.76511520024741</v>
      </c>
      <c r="AN594" s="16" t="s">
        <v>1825</v>
      </c>
      <c r="AO594" s="16" t="s">
        <v>53</v>
      </c>
    </row>
    <row r="595" spans="1:41" ht="14.5" x14ac:dyDescent="0.35">
      <c r="A595" s="27" t="s">
        <v>1826</v>
      </c>
      <c r="B595" s="16" t="s">
        <v>42</v>
      </c>
      <c r="C595" s="16" t="s">
        <v>43</v>
      </c>
      <c r="D595" s="16" t="s">
        <v>44</v>
      </c>
      <c r="E595" s="16" t="s">
        <v>68</v>
      </c>
      <c r="F595" s="16">
        <v>6</v>
      </c>
      <c r="G595" s="30" t="s">
        <v>1827</v>
      </c>
      <c r="H595" s="16">
        <v>0</v>
      </c>
      <c r="I595" s="16" t="s">
        <v>102</v>
      </c>
      <c r="J595" s="16">
        <v>149.97</v>
      </c>
      <c r="K595" s="16">
        <v>1426</v>
      </c>
      <c r="L595" s="16">
        <v>15156</v>
      </c>
      <c r="M595" s="8">
        <v>0</v>
      </c>
      <c r="N595" s="21">
        <v>43804</v>
      </c>
      <c r="O595" s="7">
        <f t="shared" si="36"/>
        <v>5</v>
      </c>
      <c r="P595" s="22">
        <f t="shared" si="37"/>
        <v>27</v>
      </c>
      <c r="Q595" s="22">
        <f t="shared" si="38"/>
        <v>31</v>
      </c>
      <c r="R595" s="16">
        <v>81</v>
      </c>
      <c r="S595">
        <v>4.6830780214764101</v>
      </c>
      <c r="T595">
        <v>-74.045043574295804</v>
      </c>
      <c r="U595" s="22">
        <v>22942</v>
      </c>
      <c r="V595" s="22">
        <v>21495.833330000001</v>
      </c>
      <c r="W595" s="25">
        <v>10109</v>
      </c>
      <c r="X595" s="24">
        <v>10461</v>
      </c>
      <c r="Y595" s="24">
        <v>231917</v>
      </c>
      <c r="Z595" s="24">
        <v>224877</v>
      </c>
      <c r="AA595" s="24">
        <v>14966</v>
      </c>
      <c r="AB595" s="24">
        <v>17431</v>
      </c>
      <c r="AC595" s="24">
        <v>95593</v>
      </c>
      <c r="AD595" s="24">
        <v>90288</v>
      </c>
      <c r="AE595" s="24">
        <v>22194</v>
      </c>
      <c r="AF595" s="24">
        <v>22399</v>
      </c>
      <c r="AG595" s="17">
        <v>0</v>
      </c>
      <c r="AH595" s="16" t="s">
        <v>58</v>
      </c>
      <c r="AI595" s="16" t="s">
        <v>49</v>
      </c>
      <c r="AJ595" s="16" t="s">
        <v>50</v>
      </c>
      <c r="AK595" s="16" t="s">
        <v>51</v>
      </c>
      <c r="AL595" s="25">
        <v>232000</v>
      </c>
      <c r="AM595" s="43">
        <f t="shared" si="39"/>
        <v>147.98959791958393</v>
      </c>
      <c r="AN595" s="16" t="s">
        <v>453</v>
      </c>
      <c r="AO595" s="16" t="s">
        <v>53</v>
      </c>
    </row>
    <row r="596" spans="1:41" ht="14.5" x14ac:dyDescent="0.35">
      <c r="A596" s="27" t="s">
        <v>1828</v>
      </c>
      <c r="B596" s="16" t="s">
        <v>183</v>
      </c>
      <c r="C596" s="16" t="s">
        <v>490</v>
      </c>
      <c r="D596" s="16" t="s">
        <v>491</v>
      </c>
      <c r="E596" s="16" t="s">
        <v>186</v>
      </c>
      <c r="F596" s="16">
        <v>4</v>
      </c>
      <c r="G596" s="30" t="s">
        <v>1829</v>
      </c>
      <c r="H596" s="16" t="s">
        <v>64</v>
      </c>
      <c r="I596" s="16" t="s">
        <v>102</v>
      </c>
      <c r="J596" s="16">
        <v>154.88999999999999</v>
      </c>
      <c r="K596" s="16">
        <v>225</v>
      </c>
      <c r="L596" s="16">
        <v>1562</v>
      </c>
      <c r="M596" s="8">
        <v>252</v>
      </c>
      <c r="N596" s="21">
        <v>46295</v>
      </c>
      <c r="O596" s="7">
        <f t="shared" si="36"/>
        <v>30</v>
      </c>
      <c r="P596" s="22">
        <f t="shared" si="37"/>
        <v>1</v>
      </c>
      <c r="Q596" s="22">
        <f t="shared" si="38"/>
        <v>30</v>
      </c>
      <c r="R596" s="16">
        <v>0</v>
      </c>
      <c r="S596" s="29">
        <v>10.4229</v>
      </c>
      <c r="T596" s="29">
        <v>-75.549577999999997</v>
      </c>
      <c r="U596" s="22">
        <v>0</v>
      </c>
      <c r="V596" s="22">
        <v>0</v>
      </c>
      <c r="W596" s="25">
        <v>0</v>
      </c>
      <c r="X596" s="24">
        <v>0</v>
      </c>
      <c r="Y596" s="24">
        <v>0</v>
      </c>
      <c r="Z596" s="24">
        <v>0</v>
      </c>
      <c r="AA596" s="24">
        <v>0</v>
      </c>
      <c r="AB596" s="24">
        <v>0</v>
      </c>
      <c r="AC596" s="24">
        <v>0</v>
      </c>
      <c r="AD596" s="24">
        <v>0</v>
      </c>
      <c r="AE596" s="24">
        <v>0</v>
      </c>
      <c r="AF596" s="24">
        <v>0</v>
      </c>
      <c r="AG596" s="16">
        <v>0</v>
      </c>
      <c r="AH596" s="16" t="s">
        <v>64</v>
      </c>
      <c r="AI596" s="16" t="s">
        <v>49</v>
      </c>
      <c r="AJ596" s="16" t="s">
        <v>124</v>
      </c>
      <c r="AK596" s="16" t="s">
        <v>65</v>
      </c>
      <c r="AL596" s="25">
        <v>204160</v>
      </c>
      <c r="AM596" s="43">
        <f t="shared" si="39"/>
        <v>0</v>
      </c>
      <c r="AN596" s="16" t="s">
        <v>1323</v>
      </c>
      <c r="AO596" s="16" t="s">
        <v>64</v>
      </c>
    </row>
    <row r="597" spans="1:41" ht="14.5" x14ac:dyDescent="0.35">
      <c r="A597" s="27" t="s">
        <v>1830</v>
      </c>
      <c r="B597" s="16" t="s">
        <v>55</v>
      </c>
      <c r="C597" s="16" t="s">
        <v>43</v>
      </c>
      <c r="D597" s="16" t="s">
        <v>44</v>
      </c>
      <c r="E597" s="16" t="s">
        <v>407</v>
      </c>
      <c r="F597" s="16">
        <v>3</v>
      </c>
      <c r="G597" s="30" t="s">
        <v>1831</v>
      </c>
      <c r="H597" s="16">
        <v>0</v>
      </c>
      <c r="I597" s="16" t="s">
        <v>102</v>
      </c>
      <c r="J597" s="16">
        <v>81.540000000000006</v>
      </c>
      <c r="K597" s="16">
        <v>1984</v>
      </c>
      <c r="L597" s="16">
        <v>1305</v>
      </c>
      <c r="M597" s="8">
        <v>0</v>
      </c>
      <c r="N597" s="21">
        <v>43602</v>
      </c>
      <c r="O597" s="7">
        <f t="shared" si="36"/>
        <v>17</v>
      </c>
      <c r="P597" s="22">
        <f t="shared" si="37"/>
        <v>15</v>
      </c>
      <c r="Q597" s="22">
        <f t="shared" si="38"/>
        <v>31</v>
      </c>
      <c r="R597" s="16">
        <v>88</v>
      </c>
      <c r="S597">
        <v>4.6735844562175997</v>
      </c>
      <c r="T597">
        <v>-74.11711510616</v>
      </c>
      <c r="U597" s="22">
        <v>16084</v>
      </c>
      <c r="V597" s="22">
        <v>15263.166670000001</v>
      </c>
      <c r="W597" s="25">
        <v>11442</v>
      </c>
      <c r="X597" s="24">
        <v>11777</v>
      </c>
      <c r="Y597" s="24">
        <v>184029</v>
      </c>
      <c r="Z597" s="24">
        <v>179756</v>
      </c>
      <c r="AA597" s="24">
        <v>17834</v>
      </c>
      <c r="AB597" s="24">
        <v>13583</v>
      </c>
      <c r="AC597" s="24">
        <v>71775</v>
      </c>
      <c r="AD597" s="24">
        <v>67381</v>
      </c>
      <c r="AE597" s="24">
        <v>11419</v>
      </c>
      <c r="AF597" s="24">
        <v>11440</v>
      </c>
      <c r="AG597" s="17">
        <v>0</v>
      </c>
      <c r="AH597" s="16" t="s">
        <v>198</v>
      </c>
      <c r="AI597" s="16" t="s">
        <v>49</v>
      </c>
      <c r="AJ597" s="16" t="s">
        <v>124</v>
      </c>
      <c r="AK597" s="16" t="s">
        <v>51</v>
      </c>
      <c r="AL597" s="25">
        <v>204160</v>
      </c>
      <c r="AM597" s="43">
        <f t="shared" si="39"/>
        <v>140.04169732646554</v>
      </c>
      <c r="AN597" s="16">
        <v>0</v>
      </c>
      <c r="AO597" s="16" t="s">
        <v>60</v>
      </c>
    </row>
    <row r="598" spans="1:41" ht="14.5" x14ac:dyDescent="0.35">
      <c r="A598" s="27" t="s">
        <v>1832</v>
      </c>
      <c r="B598" s="16" t="s">
        <v>42</v>
      </c>
      <c r="C598" s="16" t="s">
        <v>126</v>
      </c>
      <c r="D598" s="16" t="s">
        <v>127</v>
      </c>
      <c r="E598" s="16" t="s">
        <v>1833</v>
      </c>
      <c r="F598" s="16">
        <v>4</v>
      </c>
      <c r="G598" s="30" t="s">
        <v>1834</v>
      </c>
      <c r="H598" s="16">
        <v>0</v>
      </c>
      <c r="I598" s="16" t="s">
        <v>47</v>
      </c>
      <c r="J598" s="16">
        <v>141.53</v>
      </c>
      <c r="K598" s="16">
        <v>1424</v>
      </c>
      <c r="L598" s="16">
        <v>1109</v>
      </c>
      <c r="M598" s="8">
        <v>72</v>
      </c>
      <c r="N598" s="21">
        <v>45412</v>
      </c>
      <c r="O598" s="7">
        <f t="shared" si="36"/>
        <v>30</v>
      </c>
      <c r="P598" s="22">
        <f t="shared" si="37"/>
        <v>1</v>
      </c>
      <c r="Q598" s="22">
        <f t="shared" si="38"/>
        <v>30</v>
      </c>
      <c r="R598" s="16">
        <v>29</v>
      </c>
      <c r="S598">
        <v>5.5496180283419303</v>
      </c>
      <c r="T598">
        <v>-73.358293692198998</v>
      </c>
      <c r="U598" s="22">
        <v>15338</v>
      </c>
      <c r="V598" s="22">
        <v>12980.5</v>
      </c>
      <c r="W598" s="25">
        <v>11956</v>
      </c>
      <c r="X598" s="24">
        <v>11582</v>
      </c>
      <c r="Y598" s="24">
        <v>183374</v>
      </c>
      <c r="Z598" s="24">
        <v>150340</v>
      </c>
      <c r="AA598" s="42">
        <v>8051</v>
      </c>
      <c r="AB598" s="42">
        <v>-781</v>
      </c>
      <c r="AC598" s="24">
        <v>67217</v>
      </c>
      <c r="AD598" s="24">
        <v>55264</v>
      </c>
      <c r="AE598" s="24">
        <v>7364</v>
      </c>
      <c r="AF598" s="24">
        <v>7445</v>
      </c>
      <c r="AG598" s="17">
        <v>0</v>
      </c>
      <c r="AH598" s="16" t="s">
        <v>58</v>
      </c>
      <c r="AI598" s="16" t="s">
        <v>49</v>
      </c>
      <c r="AJ598" s="16" t="s">
        <v>50</v>
      </c>
      <c r="AK598" s="16" t="s">
        <v>51</v>
      </c>
      <c r="AL598" s="25">
        <v>232000</v>
      </c>
      <c r="AM598" s="43">
        <f t="shared" si="39"/>
        <v>52.031371440683955</v>
      </c>
      <c r="AN598" s="16" t="s">
        <v>1149</v>
      </c>
      <c r="AO598" s="16" t="s">
        <v>60</v>
      </c>
    </row>
    <row r="599" spans="1:41" ht="14.5" x14ac:dyDescent="0.35">
      <c r="A599" s="27" t="s">
        <v>1835</v>
      </c>
      <c r="B599" s="16" t="s">
        <v>55</v>
      </c>
      <c r="C599" s="16" t="s">
        <v>43</v>
      </c>
      <c r="D599" s="16" t="s">
        <v>44</v>
      </c>
      <c r="E599" s="16" t="s">
        <v>630</v>
      </c>
      <c r="F599" s="16">
        <v>3</v>
      </c>
      <c r="G599" s="30" t="s">
        <v>1836</v>
      </c>
      <c r="H599" s="16">
        <v>0</v>
      </c>
      <c r="I599" s="16" t="s">
        <v>47</v>
      </c>
      <c r="J599" s="16">
        <v>173.92</v>
      </c>
      <c r="K599" s="16">
        <v>2710</v>
      </c>
      <c r="L599" s="16">
        <v>260</v>
      </c>
      <c r="M599" s="8">
        <v>52</v>
      </c>
      <c r="N599" s="21">
        <v>45058</v>
      </c>
      <c r="O599" s="7">
        <f t="shared" si="36"/>
        <v>12</v>
      </c>
      <c r="P599" s="22">
        <f t="shared" si="37"/>
        <v>20</v>
      </c>
      <c r="Q599" s="22">
        <f t="shared" si="38"/>
        <v>31</v>
      </c>
      <c r="R599" s="16">
        <v>40</v>
      </c>
      <c r="S599">
        <v>4.6108536717573498</v>
      </c>
      <c r="T599">
        <v>-74.158239777672904</v>
      </c>
      <c r="U599" s="22">
        <v>19707</v>
      </c>
      <c r="V599" s="22">
        <v>19812</v>
      </c>
      <c r="W599" s="25">
        <v>15009</v>
      </c>
      <c r="X599" s="24">
        <v>15162</v>
      </c>
      <c r="Y599" s="24">
        <v>295782</v>
      </c>
      <c r="Z599" s="24">
        <v>300389</v>
      </c>
      <c r="AA599" s="24">
        <v>35834</v>
      </c>
      <c r="AB599" s="24">
        <v>36302</v>
      </c>
      <c r="AC599" s="24">
        <v>103776</v>
      </c>
      <c r="AD599" s="24">
        <v>105100</v>
      </c>
      <c r="AE599" s="24">
        <v>8677</v>
      </c>
      <c r="AF599" s="24">
        <v>8819</v>
      </c>
      <c r="AG599" s="17">
        <v>0</v>
      </c>
      <c r="AH599" s="16" t="s">
        <v>90</v>
      </c>
      <c r="AI599" s="16" t="s">
        <v>49</v>
      </c>
      <c r="AJ599" s="16" t="s">
        <v>50</v>
      </c>
      <c r="AK599" s="16" t="s">
        <v>51</v>
      </c>
      <c r="AL599" s="25">
        <v>232000</v>
      </c>
      <c r="AM599" s="43">
        <f t="shared" si="39"/>
        <v>49.89075436982521</v>
      </c>
      <c r="AN599" s="16">
        <v>0</v>
      </c>
      <c r="AO599" s="16" t="s">
        <v>98</v>
      </c>
    </row>
    <row r="600" spans="1:41" ht="14.5" x14ac:dyDescent="0.35">
      <c r="A600" s="27" t="s">
        <v>1837</v>
      </c>
      <c r="B600" s="16" t="s">
        <v>119</v>
      </c>
      <c r="C600" s="16" t="s">
        <v>120</v>
      </c>
      <c r="D600" s="16" t="s">
        <v>220</v>
      </c>
      <c r="E600" s="16" t="s">
        <v>221</v>
      </c>
      <c r="F600" s="16">
        <v>5</v>
      </c>
      <c r="G600" s="30" t="s">
        <v>1838</v>
      </c>
      <c r="H600" s="16">
        <v>0</v>
      </c>
      <c r="I600" s="16" t="s">
        <v>102</v>
      </c>
      <c r="J600" s="16">
        <v>260</v>
      </c>
      <c r="K600" s="16">
        <v>1660</v>
      </c>
      <c r="L600" s="16">
        <v>586</v>
      </c>
      <c r="M600" s="8">
        <v>46</v>
      </c>
      <c r="N600" s="21">
        <v>44946</v>
      </c>
      <c r="O600" s="7">
        <f t="shared" si="36"/>
        <v>20</v>
      </c>
      <c r="P600" s="22">
        <f t="shared" si="37"/>
        <v>12</v>
      </c>
      <c r="Q600" s="22">
        <f t="shared" si="38"/>
        <v>31</v>
      </c>
      <c r="R600" s="16">
        <v>44</v>
      </c>
      <c r="S600">
        <v>7.0757767328040098</v>
      </c>
      <c r="T600">
        <v>-73.1086316327264</v>
      </c>
      <c r="U600" s="22">
        <v>16334</v>
      </c>
      <c r="V600" s="22">
        <v>15213</v>
      </c>
      <c r="W600" s="25">
        <v>13707</v>
      </c>
      <c r="X600" s="24">
        <v>14028</v>
      </c>
      <c r="Y600" s="24">
        <v>223887</v>
      </c>
      <c r="Z600" s="24">
        <v>213400</v>
      </c>
      <c r="AA600" s="24">
        <v>892</v>
      </c>
      <c r="AB600" s="24">
        <v>6277</v>
      </c>
      <c r="AC600" s="24">
        <v>79828</v>
      </c>
      <c r="AD600" s="24">
        <v>77962</v>
      </c>
      <c r="AE600" s="24">
        <v>14825</v>
      </c>
      <c r="AF600" s="24">
        <v>14969</v>
      </c>
      <c r="AG600" s="17">
        <v>0</v>
      </c>
      <c r="AH600" s="16" t="s">
        <v>48</v>
      </c>
      <c r="AI600" s="16" t="s">
        <v>49</v>
      </c>
      <c r="AJ600" s="16" t="s">
        <v>76</v>
      </c>
      <c r="AK600" s="16" t="s">
        <v>51</v>
      </c>
      <c r="AL600" s="25">
        <v>241405</v>
      </c>
      <c r="AM600" s="43">
        <f t="shared" si="39"/>
        <v>57.019230769230766</v>
      </c>
      <c r="AN600" s="16">
        <v>0</v>
      </c>
      <c r="AO600" s="16" t="s">
        <v>60</v>
      </c>
    </row>
    <row r="601" spans="1:41" ht="14.5" x14ac:dyDescent="0.35">
      <c r="A601" s="27" t="s">
        <v>1839</v>
      </c>
      <c r="B601" s="16" t="s">
        <v>105</v>
      </c>
      <c r="C601" s="16" t="s">
        <v>106</v>
      </c>
      <c r="D601" s="16" t="s">
        <v>298</v>
      </c>
      <c r="E601" s="16" t="s">
        <v>662</v>
      </c>
      <c r="F601" s="16">
        <v>5</v>
      </c>
      <c r="G601" s="30" t="s">
        <v>1840</v>
      </c>
      <c r="H601" s="16">
        <v>0</v>
      </c>
      <c r="I601" s="16" t="s">
        <v>47</v>
      </c>
      <c r="J601" s="16">
        <v>113.72</v>
      </c>
      <c r="K601" s="16">
        <v>1316</v>
      </c>
      <c r="L601" s="16">
        <v>264</v>
      </c>
      <c r="M601" s="8">
        <v>20</v>
      </c>
      <c r="N601" s="21">
        <v>45322</v>
      </c>
      <c r="O601" s="7">
        <f t="shared" si="36"/>
        <v>31</v>
      </c>
      <c r="P601" s="22">
        <f t="shared" si="37"/>
        <v>1</v>
      </c>
      <c r="Q601" s="22">
        <f t="shared" si="38"/>
        <v>31</v>
      </c>
      <c r="R601" s="16">
        <v>32</v>
      </c>
      <c r="S601">
        <v>4.8081652715924097</v>
      </c>
      <c r="T601">
        <v>-75.757470617088899</v>
      </c>
      <c r="U601" s="22">
        <v>11216</v>
      </c>
      <c r="V601" s="22">
        <v>10427.166670000001</v>
      </c>
      <c r="W601" s="25">
        <v>18241</v>
      </c>
      <c r="X601" s="24">
        <v>17333</v>
      </c>
      <c r="Y601" s="24">
        <v>204592</v>
      </c>
      <c r="Z601" s="24">
        <v>180735</v>
      </c>
      <c r="AA601" s="24">
        <v>6707</v>
      </c>
      <c r="AB601" s="24">
        <v>11177</v>
      </c>
      <c r="AC601" s="24">
        <v>75108</v>
      </c>
      <c r="AD601" s="24">
        <v>63702</v>
      </c>
      <c r="AE601" s="24">
        <v>7187</v>
      </c>
      <c r="AF601" s="24">
        <v>7266</v>
      </c>
      <c r="AG601" s="17">
        <v>0</v>
      </c>
      <c r="AH601" s="16" t="s">
        <v>48</v>
      </c>
      <c r="AI601" s="16" t="s">
        <v>49</v>
      </c>
      <c r="AJ601" s="16" t="s">
        <v>76</v>
      </c>
      <c r="AK601" s="16" t="s">
        <v>51</v>
      </c>
      <c r="AL601" s="25">
        <v>241405</v>
      </c>
      <c r="AM601" s="43">
        <f t="shared" si="39"/>
        <v>63.199085473091806</v>
      </c>
      <c r="AN601" s="16" t="s">
        <v>1003</v>
      </c>
      <c r="AO601" s="16" t="s">
        <v>60</v>
      </c>
    </row>
    <row r="602" spans="1:41" ht="14.5" x14ac:dyDescent="0.35">
      <c r="A602" s="27" t="s">
        <v>1841</v>
      </c>
      <c r="B602" s="16" t="s">
        <v>42</v>
      </c>
      <c r="C602" s="16" t="s">
        <v>43</v>
      </c>
      <c r="D602" s="16" t="s">
        <v>44</v>
      </c>
      <c r="E602" s="16" t="s">
        <v>68</v>
      </c>
      <c r="F602" s="16">
        <v>5</v>
      </c>
      <c r="G602" s="30" t="s">
        <v>1842</v>
      </c>
      <c r="H602" s="16">
        <v>0</v>
      </c>
      <c r="I602" s="16" t="s">
        <v>47</v>
      </c>
      <c r="J602" s="16">
        <v>105.91</v>
      </c>
      <c r="K602" s="16">
        <v>406</v>
      </c>
      <c r="L602" s="16">
        <v>6326</v>
      </c>
      <c r="M602" s="8">
        <v>135</v>
      </c>
      <c r="N602" s="21">
        <v>43791</v>
      </c>
      <c r="O602" s="7">
        <f t="shared" si="36"/>
        <v>22</v>
      </c>
      <c r="P602" s="22">
        <f t="shared" si="37"/>
        <v>9</v>
      </c>
      <c r="Q602" s="22">
        <f t="shared" si="38"/>
        <v>30</v>
      </c>
      <c r="R602" s="16">
        <v>82</v>
      </c>
      <c r="S602">
        <v>4.6807598948902003</v>
      </c>
      <c r="T602">
        <v>-74.043337882295106</v>
      </c>
      <c r="U602" s="22">
        <v>27770</v>
      </c>
      <c r="V602" s="22">
        <v>29695.5</v>
      </c>
      <c r="W602" s="25">
        <v>11474</v>
      </c>
      <c r="X602" s="24">
        <v>11238</v>
      </c>
      <c r="Y602" s="24">
        <v>318644</v>
      </c>
      <c r="Z602" s="24">
        <v>333703</v>
      </c>
      <c r="AA602" s="24">
        <v>44198</v>
      </c>
      <c r="AB602" s="24">
        <v>60205</v>
      </c>
      <c r="AC602" s="24">
        <v>127508</v>
      </c>
      <c r="AD602" s="24">
        <v>132561</v>
      </c>
      <c r="AE602" s="24">
        <v>11639</v>
      </c>
      <c r="AF602" s="24">
        <v>9249</v>
      </c>
      <c r="AG602" s="17">
        <v>0</v>
      </c>
      <c r="AH602" s="16" t="s">
        <v>130</v>
      </c>
      <c r="AI602" s="16" t="s">
        <v>49</v>
      </c>
      <c r="AJ602" s="16" t="s">
        <v>124</v>
      </c>
      <c r="AK602" s="16" t="s">
        <v>51</v>
      </c>
      <c r="AL602" s="25">
        <v>204160</v>
      </c>
      <c r="AM602" s="43">
        <f t="shared" si="39"/>
        <v>109.89519403266925</v>
      </c>
      <c r="AN602" s="16" t="s">
        <v>539</v>
      </c>
      <c r="AO602" s="16" t="s">
        <v>60</v>
      </c>
    </row>
    <row r="603" spans="1:41" ht="14.5" x14ac:dyDescent="0.35">
      <c r="A603" s="27" t="s">
        <v>1843</v>
      </c>
      <c r="B603" s="16" t="s">
        <v>42</v>
      </c>
      <c r="C603" s="16" t="s">
        <v>43</v>
      </c>
      <c r="D603" s="16" t="s">
        <v>44</v>
      </c>
      <c r="E603" s="16" t="s">
        <v>68</v>
      </c>
      <c r="F603" s="16">
        <v>3</v>
      </c>
      <c r="G603" s="30" t="s">
        <v>1844</v>
      </c>
      <c r="H603" s="16">
        <v>0</v>
      </c>
      <c r="I603" s="16" t="s">
        <v>47</v>
      </c>
      <c r="J603" s="16">
        <v>187.98</v>
      </c>
      <c r="K603" s="16">
        <v>233</v>
      </c>
      <c r="L603" s="16">
        <v>2367</v>
      </c>
      <c r="M603" s="8">
        <v>165</v>
      </c>
      <c r="N603" s="21">
        <v>44770</v>
      </c>
      <c r="O603" s="7">
        <f t="shared" si="36"/>
        <v>28</v>
      </c>
      <c r="P603" s="22">
        <f t="shared" si="37"/>
        <v>4</v>
      </c>
      <c r="Q603" s="22">
        <f t="shared" si="38"/>
        <v>31</v>
      </c>
      <c r="R603" s="16">
        <v>50</v>
      </c>
      <c r="S603">
        <v>4.6677349243258401</v>
      </c>
      <c r="T603">
        <v>-74.059572181820201</v>
      </c>
      <c r="U603" s="22">
        <v>32569</v>
      </c>
      <c r="V603" s="22">
        <v>32199.833330000001</v>
      </c>
      <c r="W603" s="25">
        <v>9086</v>
      </c>
      <c r="X603" s="24">
        <v>9339</v>
      </c>
      <c r="Y603" s="24">
        <v>295928</v>
      </c>
      <c r="Z603" s="24">
        <v>300721</v>
      </c>
      <c r="AA603" s="24">
        <v>25639</v>
      </c>
      <c r="AB603" s="24">
        <v>25702</v>
      </c>
      <c r="AC603" s="24">
        <v>111997</v>
      </c>
      <c r="AD603" s="24">
        <v>109932</v>
      </c>
      <c r="AE603" s="24">
        <v>16322</v>
      </c>
      <c r="AF603" s="24">
        <v>16014</v>
      </c>
      <c r="AG603" s="17">
        <v>0</v>
      </c>
      <c r="AH603" s="16" t="s">
        <v>58</v>
      </c>
      <c r="AI603" s="16" t="s">
        <v>49</v>
      </c>
      <c r="AJ603" s="16" t="s">
        <v>124</v>
      </c>
      <c r="AK603" s="16" t="s">
        <v>51</v>
      </c>
      <c r="AL603" s="25">
        <v>204160</v>
      </c>
      <c r="AM603" s="43">
        <f t="shared" si="39"/>
        <v>86.828385998510484</v>
      </c>
      <c r="AN603" s="16" t="s">
        <v>485</v>
      </c>
      <c r="AO603" s="16" t="s">
        <v>53</v>
      </c>
    </row>
    <row r="604" spans="1:41" ht="14.5" x14ac:dyDescent="0.35">
      <c r="A604" s="27" t="s">
        <v>1845</v>
      </c>
      <c r="B604" s="16" t="s">
        <v>42</v>
      </c>
      <c r="C604" s="16" t="s">
        <v>93</v>
      </c>
      <c r="D604" s="16" t="s">
        <v>281</v>
      </c>
      <c r="E604" s="16" t="s">
        <v>282</v>
      </c>
      <c r="F604" s="16">
        <v>3</v>
      </c>
      <c r="G604" s="30" t="s">
        <v>1846</v>
      </c>
      <c r="H604" s="16">
        <v>0</v>
      </c>
      <c r="I604" s="16" t="s">
        <v>47</v>
      </c>
      <c r="J604" s="16">
        <v>113.61</v>
      </c>
      <c r="K604" s="16">
        <v>496</v>
      </c>
      <c r="L604" s="16">
        <v>733</v>
      </c>
      <c r="M604" s="8">
        <v>98</v>
      </c>
      <c r="N604" s="21">
        <v>45026</v>
      </c>
      <c r="O604" s="7">
        <f t="shared" si="36"/>
        <v>10</v>
      </c>
      <c r="P604" s="22">
        <f t="shared" si="37"/>
        <v>21</v>
      </c>
      <c r="Q604" s="22">
        <f t="shared" si="38"/>
        <v>30</v>
      </c>
      <c r="R604" s="16">
        <v>41</v>
      </c>
      <c r="S604">
        <v>4.87866199731973</v>
      </c>
      <c r="T604">
        <v>-74.038228252741803</v>
      </c>
      <c r="U604" s="22">
        <v>23013</v>
      </c>
      <c r="V604" s="22">
        <v>22650.5</v>
      </c>
      <c r="W604" s="25">
        <v>13163</v>
      </c>
      <c r="X604" s="24">
        <v>13723</v>
      </c>
      <c r="Y604" s="24">
        <v>302924</v>
      </c>
      <c r="Z604" s="24">
        <v>310827</v>
      </c>
      <c r="AA604" s="24">
        <v>42241</v>
      </c>
      <c r="AB604" s="24">
        <v>39975</v>
      </c>
      <c r="AC604" s="24">
        <v>112471</v>
      </c>
      <c r="AD604" s="24">
        <v>112303</v>
      </c>
      <c r="AE604" s="24">
        <v>10572</v>
      </c>
      <c r="AF604" s="24">
        <v>10683</v>
      </c>
      <c r="AG604" s="17">
        <v>0</v>
      </c>
      <c r="AH604" s="16" t="s">
        <v>58</v>
      </c>
      <c r="AI604" s="16" t="s">
        <v>49</v>
      </c>
      <c r="AJ604" s="16" t="s">
        <v>124</v>
      </c>
      <c r="AK604" s="16" t="s">
        <v>51</v>
      </c>
      <c r="AL604" s="25">
        <v>204160</v>
      </c>
      <c r="AM604" s="43">
        <f t="shared" si="39"/>
        <v>93.05518880380248</v>
      </c>
      <c r="AN604" s="16" t="s">
        <v>1847</v>
      </c>
      <c r="AO604" s="16" t="s">
        <v>60</v>
      </c>
    </row>
    <row r="605" spans="1:41" ht="14.5" x14ac:dyDescent="0.35">
      <c r="A605" s="27" t="s">
        <v>1848</v>
      </c>
      <c r="B605" s="16" t="s">
        <v>55</v>
      </c>
      <c r="C605" s="16" t="s">
        <v>43</v>
      </c>
      <c r="D605" s="16" t="s">
        <v>44</v>
      </c>
      <c r="E605" s="16" t="s">
        <v>1645</v>
      </c>
      <c r="F605" s="16">
        <v>3</v>
      </c>
      <c r="G605" s="30" t="s">
        <v>1849</v>
      </c>
      <c r="H605" s="16" t="s">
        <v>64</v>
      </c>
      <c r="I605" s="16" t="s">
        <v>102</v>
      </c>
      <c r="J605" s="16">
        <v>124.95</v>
      </c>
      <c r="K605" s="16">
        <v>2766</v>
      </c>
      <c r="L605" s="16">
        <v>1070</v>
      </c>
      <c r="M605" s="8">
        <v>133</v>
      </c>
      <c r="N605" s="21">
        <v>46234</v>
      </c>
      <c r="O605" s="7">
        <f t="shared" si="36"/>
        <v>31</v>
      </c>
      <c r="P605" s="22">
        <f t="shared" si="37"/>
        <v>1</v>
      </c>
      <c r="Q605" s="22">
        <f t="shared" si="38"/>
        <v>31</v>
      </c>
      <c r="R605" s="16">
        <v>2</v>
      </c>
      <c r="S605">
        <v>4.6240440295719099</v>
      </c>
      <c r="T605">
        <v>-74.115880734073798</v>
      </c>
      <c r="U605" s="22">
        <v>12025</v>
      </c>
      <c r="V605" s="22">
        <v>6231</v>
      </c>
      <c r="W605" s="25">
        <v>12783</v>
      </c>
      <c r="X605" s="24">
        <v>12899</v>
      </c>
      <c r="Y605" s="24">
        <v>153718</v>
      </c>
      <c r="Z605" s="24">
        <v>80371</v>
      </c>
      <c r="AA605" s="42">
        <v>14651</v>
      </c>
      <c r="AB605" s="42">
        <v>4910</v>
      </c>
      <c r="AC605" s="24">
        <v>51832</v>
      </c>
      <c r="AD605" s="24">
        <v>29084</v>
      </c>
      <c r="AE605" s="24">
        <v>3667</v>
      </c>
      <c r="AF605" s="24">
        <v>1891</v>
      </c>
      <c r="AG605" s="17">
        <v>0</v>
      </c>
      <c r="AH605" s="16" t="s">
        <v>82</v>
      </c>
      <c r="AI605" s="16" t="s">
        <v>49</v>
      </c>
      <c r="AJ605" s="16" t="s">
        <v>50</v>
      </c>
      <c r="AK605" s="16" t="s">
        <v>65</v>
      </c>
      <c r="AL605" s="25">
        <v>204160</v>
      </c>
      <c r="AM605" s="43">
        <f t="shared" si="39"/>
        <v>29.347739095638254</v>
      </c>
      <c r="AN605" s="16" t="s">
        <v>1850</v>
      </c>
      <c r="AO605" s="16" t="s">
        <v>53</v>
      </c>
    </row>
    <row r="606" spans="1:41" ht="14.5" x14ac:dyDescent="0.35">
      <c r="A606" s="27" t="s">
        <v>1851</v>
      </c>
      <c r="B606" s="16" t="s">
        <v>55</v>
      </c>
      <c r="C606" s="16" t="s">
        <v>43</v>
      </c>
      <c r="D606" s="16" t="s">
        <v>44</v>
      </c>
      <c r="E606" s="16" t="s">
        <v>1645</v>
      </c>
      <c r="F606" s="16">
        <v>3</v>
      </c>
      <c r="G606" s="30" t="s">
        <v>1852</v>
      </c>
      <c r="H606" s="16">
        <v>0</v>
      </c>
      <c r="I606" s="16" t="s">
        <v>102</v>
      </c>
      <c r="J606" s="16">
        <v>177.63</v>
      </c>
      <c r="K606" s="16">
        <v>1665</v>
      </c>
      <c r="L606" s="16">
        <v>1190</v>
      </c>
      <c r="M606" s="8">
        <v>126</v>
      </c>
      <c r="N606" s="21">
        <v>45468</v>
      </c>
      <c r="O606" s="7">
        <f t="shared" si="36"/>
        <v>25</v>
      </c>
      <c r="P606" s="22">
        <f t="shared" si="37"/>
        <v>6</v>
      </c>
      <c r="Q606" s="22">
        <f t="shared" si="38"/>
        <v>30</v>
      </c>
      <c r="R606" s="16">
        <v>27</v>
      </c>
      <c r="S606">
        <v>4.6190772227643304</v>
      </c>
      <c r="T606">
        <v>-74.119989465148507</v>
      </c>
      <c r="U606" s="22">
        <v>18677</v>
      </c>
      <c r="V606" s="22">
        <v>18646</v>
      </c>
      <c r="W606" s="25">
        <v>12803</v>
      </c>
      <c r="X606" s="24">
        <v>12896</v>
      </c>
      <c r="Y606" s="24">
        <v>239113</v>
      </c>
      <c r="Z606" s="24">
        <v>240453</v>
      </c>
      <c r="AA606" s="24">
        <v>15324</v>
      </c>
      <c r="AB606" s="24">
        <v>17849</v>
      </c>
      <c r="AC606" s="24">
        <v>74210</v>
      </c>
      <c r="AD606" s="24">
        <v>75287</v>
      </c>
      <c r="AE606" s="24">
        <v>8845</v>
      </c>
      <c r="AF606" s="24">
        <v>8740</v>
      </c>
      <c r="AG606" s="17">
        <v>0</v>
      </c>
      <c r="AH606" s="16" t="s">
        <v>64</v>
      </c>
      <c r="AI606" s="16" t="s">
        <v>49</v>
      </c>
      <c r="AJ606" s="16" t="s">
        <v>124</v>
      </c>
      <c r="AK606" s="16" t="s">
        <v>51</v>
      </c>
      <c r="AL606" s="25">
        <v>204160</v>
      </c>
      <c r="AM606" s="43">
        <f t="shared" si="39"/>
        <v>49.794516692000229</v>
      </c>
      <c r="AN606" s="16">
        <v>0</v>
      </c>
      <c r="AO606" s="16" t="s">
        <v>98</v>
      </c>
    </row>
    <row r="607" spans="1:41" ht="14.5" x14ac:dyDescent="0.35">
      <c r="A607" s="27" t="s">
        <v>1853</v>
      </c>
      <c r="B607" s="16" t="s">
        <v>105</v>
      </c>
      <c r="C607" s="16" t="s">
        <v>106</v>
      </c>
      <c r="D607" s="16" t="s">
        <v>298</v>
      </c>
      <c r="E607" s="16" t="s">
        <v>619</v>
      </c>
      <c r="F607" s="16">
        <v>6</v>
      </c>
      <c r="G607" s="30" t="s">
        <v>1854</v>
      </c>
      <c r="H607" s="16">
        <v>0</v>
      </c>
      <c r="I607" s="16" t="s">
        <v>102</v>
      </c>
      <c r="J607" s="16">
        <v>163.09</v>
      </c>
      <c r="K607" s="16">
        <v>1600</v>
      </c>
      <c r="L607" s="16">
        <v>2100</v>
      </c>
      <c r="M607" s="8">
        <v>72</v>
      </c>
      <c r="N607" s="21">
        <v>45436</v>
      </c>
      <c r="O607" s="7">
        <f t="shared" si="36"/>
        <v>24</v>
      </c>
      <c r="P607" s="22">
        <f t="shared" si="37"/>
        <v>8</v>
      </c>
      <c r="Q607" s="22">
        <f t="shared" si="38"/>
        <v>31</v>
      </c>
      <c r="R607" s="16">
        <v>28</v>
      </c>
      <c r="S607">
        <v>4.8024430449498796</v>
      </c>
      <c r="T607">
        <v>-75.6856847139628</v>
      </c>
      <c r="U607" s="22">
        <v>16092</v>
      </c>
      <c r="V607" s="22">
        <v>17400.5</v>
      </c>
      <c r="W607" s="25">
        <v>13407</v>
      </c>
      <c r="X607" s="24">
        <v>12977</v>
      </c>
      <c r="Y607" s="24">
        <v>215742</v>
      </c>
      <c r="Z607" s="24">
        <v>225799</v>
      </c>
      <c r="AA607" s="24">
        <v>14539</v>
      </c>
      <c r="AB607" s="24">
        <v>33000</v>
      </c>
      <c r="AC607" s="24">
        <v>90327</v>
      </c>
      <c r="AD607" s="24">
        <v>93326</v>
      </c>
      <c r="AE607" s="24">
        <v>5747</v>
      </c>
      <c r="AF607" s="24">
        <v>5732</v>
      </c>
      <c r="AG607" s="17">
        <v>0</v>
      </c>
      <c r="AH607" s="16" t="s">
        <v>58</v>
      </c>
      <c r="AI607" s="16" t="s">
        <v>49</v>
      </c>
      <c r="AJ607" s="16" t="s">
        <v>50</v>
      </c>
      <c r="AK607" s="16" t="s">
        <v>51</v>
      </c>
      <c r="AL607" s="25">
        <v>232000</v>
      </c>
      <c r="AM607" s="43">
        <f t="shared" si="39"/>
        <v>35.238212030167389</v>
      </c>
      <c r="AN607" s="16" t="s">
        <v>258</v>
      </c>
      <c r="AO607" s="16" t="s">
        <v>53</v>
      </c>
    </row>
    <row r="608" spans="1:41" ht="14.5" x14ac:dyDescent="0.35">
      <c r="A608" s="27" t="s">
        <v>1855</v>
      </c>
      <c r="B608" s="16" t="s">
        <v>119</v>
      </c>
      <c r="C608" s="16" t="s">
        <v>120</v>
      </c>
      <c r="D608" s="16" t="s">
        <v>220</v>
      </c>
      <c r="E608" s="16" t="s">
        <v>221</v>
      </c>
      <c r="F608" s="16">
        <v>3</v>
      </c>
      <c r="G608" s="30" t="s">
        <v>1856</v>
      </c>
      <c r="H608" s="16">
        <v>0</v>
      </c>
      <c r="I608" s="16" t="s">
        <v>102</v>
      </c>
      <c r="J608" s="16">
        <v>111.28</v>
      </c>
      <c r="K608" s="16">
        <v>1260</v>
      </c>
      <c r="L608" s="16">
        <v>170</v>
      </c>
      <c r="M608" s="8">
        <v>0</v>
      </c>
      <c r="N608" s="21">
        <v>44729</v>
      </c>
      <c r="O608" s="7">
        <f t="shared" si="36"/>
        <v>17</v>
      </c>
      <c r="P608" s="22">
        <f t="shared" si="37"/>
        <v>14</v>
      </c>
      <c r="Q608" s="22">
        <f t="shared" si="38"/>
        <v>30</v>
      </c>
      <c r="R608" s="16">
        <v>51</v>
      </c>
      <c r="S608">
        <v>7.0817401241372497</v>
      </c>
      <c r="T608">
        <v>-73.113848746397196</v>
      </c>
      <c r="U608" s="22">
        <v>18983</v>
      </c>
      <c r="V608" s="22">
        <v>18552</v>
      </c>
      <c r="W608" s="25">
        <v>11043</v>
      </c>
      <c r="X608" s="24">
        <v>11568</v>
      </c>
      <c r="Y608" s="24">
        <v>209619</v>
      </c>
      <c r="Z608" s="24">
        <v>214616</v>
      </c>
      <c r="AA608" s="24">
        <v>12290</v>
      </c>
      <c r="AB608" s="24">
        <v>20630</v>
      </c>
      <c r="AC608" s="24">
        <v>75368</v>
      </c>
      <c r="AD608" s="24">
        <v>78130</v>
      </c>
      <c r="AE608" s="24">
        <v>6151</v>
      </c>
      <c r="AF608" s="24">
        <v>6118</v>
      </c>
      <c r="AG608" s="17">
        <v>0</v>
      </c>
      <c r="AH608" s="16" t="s">
        <v>58</v>
      </c>
      <c r="AI608" s="16" t="s">
        <v>49</v>
      </c>
      <c r="AJ608" s="16" t="s">
        <v>50</v>
      </c>
      <c r="AK608" s="16" t="s">
        <v>51</v>
      </c>
      <c r="AL608" s="25">
        <v>232000</v>
      </c>
      <c r="AM608" s="43">
        <f t="shared" si="39"/>
        <v>55.274982027318472</v>
      </c>
      <c r="AN608" s="16" t="s">
        <v>1857</v>
      </c>
      <c r="AO608" s="16" t="s">
        <v>60</v>
      </c>
    </row>
    <row r="609" spans="1:41" ht="14.5" x14ac:dyDescent="0.35">
      <c r="A609" s="27" t="s">
        <v>1858</v>
      </c>
      <c r="B609" s="16" t="s">
        <v>55</v>
      </c>
      <c r="C609" s="16" t="s">
        <v>43</v>
      </c>
      <c r="D609" s="16" t="s">
        <v>44</v>
      </c>
      <c r="E609" s="16" t="s">
        <v>671</v>
      </c>
      <c r="F609" s="16">
        <v>3</v>
      </c>
      <c r="G609" s="30" t="s">
        <v>1859</v>
      </c>
      <c r="H609" s="16">
        <v>0</v>
      </c>
      <c r="I609" s="16" t="s">
        <v>47</v>
      </c>
      <c r="J609" s="16">
        <v>78.459999999999994</v>
      </c>
      <c r="K609" s="16">
        <v>542</v>
      </c>
      <c r="L609" s="16">
        <v>4815</v>
      </c>
      <c r="M609" s="8">
        <v>183</v>
      </c>
      <c r="N609" s="21">
        <v>43721</v>
      </c>
      <c r="O609" s="7">
        <f t="shared" si="36"/>
        <v>13</v>
      </c>
      <c r="P609" s="22">
        <f t="shared" si="37"/>
        <v>18</v>
      </c>
      <c r="Q609" s="22">
        <f t="shared" si="38"/>
        <v>30</v>
      </c>
      <c r="R609" s="16">
        <v>84</v>
      </c>
      <c r="S609">
        <v>4.5794859486732999</v>
      </c>
      <c r="T609">
        <v>-74.100040750767803</v>
      </c>
      <c r="U609" s="22">
        <v>19013</v>
      </c>
      <c r="V609" s="22">
        <v>18713.666669999999</v>
      </c>
      <c r="W609" s="25">
        <v>12249</v>
      </c>
      <c r="X609" s="24">
        <v>12308</v>
      </c>
      <c r="Y609" s="24">
        <v>232883</v>
      </c>
      <c r="Z609" s="24">
        <v>230331</v>
      </c>
      <c r="AA609" s="24">
        <v>27207</v>
      </c>
      <c r="AB609" s="24">
        <v>25947</v>
      </c>
      <c r="AC609" s="24">
        <v>78884</v>
      </c>
      <c r="AD609" s="24">
        <v>76082</v>
      </c>
      <c r="AE609" s="24">
        <v>6852</v>
      </c>
      <c r="AF609" s="24">
        <v>6648</v>
      </c>
      <c r="AG609" s="17">
        <v>0</v>
      </c>
      <c r="AH609" s="16" t="s">
        <v>64</v>
      </c>
      <c r="AI609" s="16" t="s">
        <v>49</v>
      </c>
      <c r="AJ609" s="16" t="s">
        <v>124</v>
      </c>
      <c r="AK609" s="16" t="s">
        <v>51</v>
      </c>
      <c r="AL609" s="25">
        <v>204160</v>
      </c>
      <c r="AM609" s="43">
        <f t="shared" si="39"/>
        <v>87.331124139689024</v>
      </c>
      <c r="AN609" s="16" t="s">
        <v>1860</v>
      </c>
      <c r="AO609" s="16" t="s">
        <v>60</v>
      </c>
    </row>
    <row r="610" spans="1:41" s="15" customFormat="1" ht="14.5" x14ac:dyDescent="0.35">
      <c r="A610" s="27" t="s">
        <v>1861</v>
      </c>
      <c r="B610" s="16" t="s">
        <v>55</v>
      </c>
      <c r="C610" s="16" t="s">
        <v>43</v>
      </c>
      <c r="D610" s="16" t="s">
        <v>44</v>
      </c>
      <c r="E610" s="16" t="s">
        <v>647</v>
      </c>
      <c r="F610" s="16">
        <v>4</v>
      </c>
      <c r="G610" s="30" t="s">
        <v>1862</v>
      </c>
      <c r="H610" s="16" t="s">
        <v>1863</v>
      </c>
      <c r="I610" s="16" t="s">
        <v>47</v>
      </c>
      <c r="J610" s="16">
        <v>103.23</v>
      </c>
      <c r="K610" s="16">
        <v>595</v>
      </c>
      <c r="L610" s="16">
        <v>1050</v>
      </c>
      <c r="M610" s="8">
        <v>99</v>
      </c>
      <c r="N610" s="21">
        <v>45885</v>
      </c>
      <c r="O610" s="7">
        <f t="shared" si="36"/>
        <v>16</v>
      </c>
      <c r="P610" s="22">
        <f t="shared" si="37"/>
        <v>16</v>
      </c>
      <c r="Q610" s="22">
        <f t="shared" si="38"/>
        <v>31</v>
      </c>
      <c r="R610" s="16">
        <v>13</v>
      </c>
      <c r="S610">
        <v>4.6209540034775696</v>
      </c>
      <c r="T610">
        <v>-74.072599536051698</v>
      </c>
      <c r="U610" s="22">
        <v>15306</v>
      </c>
      <c r="V610" s="22">
        <v>14452.166670000001</v>
      </c>
      <c r="W610" s="25">
        <v>11211</v>
      </c>
      <c r="X610" s="24">
        <v>11493</v>
      </c>
      <c r="Y610" s="24">
        <v>171590</v>
      </c>
      <c r="Z610" s="24">
        <v>166091</v>
      </c>
      <c r="AA610" s="24">
        <v>13045</v>
      </c>
      <c r="AB610" s="24">
        <v>12006</v>
      </c>
      <c r="AC610" s="24">
        <v>64927</v>
      </c>
      <c r="AD610" s="24">
        <v>60888</v>
      </c>
      <c r="AE610" s="24">
        <v>7883</v>
      </c>
      <c r="AF610" s="24">
        <v>7673</v>
      </c>
      <c r="AG610" s="17">
        <v>1.181</v>
      </c>
      <c r="AH610" s="16" t="s">
        <v>64</v>
      </c>
      <c r="AI610" s="16" t="s">
        <v>49</v>
      </c>
      <c r="AJ610" s="16" t="s">
        <v>124</v>
      </c>
      <c r="AK610" s="16" t="s">
        <v>71</v>
      </c>
      <c r="AL610" s="25">
        <v>204160</v>
      </c>
      <c r="AM610" s="43">
        <f t="shared" si="39"/>
        <v>76.363460234427976</v>
      </c>
      <c r="AN610" s="16" t="s">
        <v>598</v>
      </c>
      <c r="AO610" s="16" t="s">
        <v>53</v>
      </c>
    </row>
    <row r="611" spans="1:41" s="15" customFormat="1" ht="14.5" x14ac:dyDescent="0.35">
      <c r="A611" s="27" t="s">
        <v>1864</v>
      </c>
      <c r="B611" s="16" t="s">
        <v>42</v>
      </c>
      <c r="C611" s="16" t="s">
        <v>43</v>
      </c>
      <c r="D611" s="16" t="s">
        <v>44</v>
      </c>
      <c r="E611" s="16" t="s">
        <v>68</v>
      </c>
      <c r="F611" s="16">
        <v>5</v>
      </c>
      <c r="G611" s="30" t="s">
        <v>1865</v>
      </c>
      <c r="H611" s="16">
        <v>0</v>
      </c>
      <c r="I611" s="16" t="s">
        <v>47</v>
      </c>
      <c r="J611" s="16">
        <v>116.01</v>
      </c>
      <c r="K611" s="16">
        <v>217</v>
      </c>
      <c r="L611" s="16">
        <v>3099</v>
      </c>
      <c r="M611" s="8">
        <v>110</v>
      </c>
      <c r="N611" s="21">
        <v>44918</v>
      </c>
      <c r="O611" s="7">
        <f t="shared" si="36"/>
        <v>23</v>
      </c>
      <c r="P611" s="22">
        <f t="shared" si="37"/>
        <v>9</v>
      </c>
      <c r="Q611" s="22">
        <f t="shared" si="38"/>
        <v>31</v>
      </c>
      <c r="R611" s="16">
        <v>45</v>
      </c>
      <c r="S611">
        <v>4.6658336184852303</v>
      </c>
      <c r="T611">
        <v>-74.058026914529805</v>
      </c>
      <c r="U611" s="22">
        <v>24720</v>
      </c>
      <c r="V611" s="22">
        <v>25040.833330000001</v>
      </c>
      <c r="W611" s="25">
        <v>9413</v>
      </c>
      <c r="X611" s="24">
        <v>9803</v>
      </c>
      <c r="Y611" s="24">
        <v>232698</v>
      </c>
      <c r="Z611" s="24">
        <v>245464</v>
      </c>
      <c r="AA611" s="24">
        <v>22198</v>
      </c>
      <c r="AB611" s="24">
        <v>25467</v>
      </c>
      <c r="AC611" s="24">
        <v>93189</v>
      </c>
      <c r="AD611" s="24">
        <v>95455</v>
      </c>
      <c r="AE611" s="24">
        <v>11704</v>
      </c>
      <c r="AF611" s="24">
        <v>11821</v>
      </c>
      <c r="AG611" s="17">
        <v>0</v>
      </c>
      <c r="AH611" s="16" t="s">
        <v>58</v>
      </c>
      <c r="AI611" s="16" t="s">
        <v>49</v>
      </c>
      <c r="AJ611" s="16" t="s">
        <v>50</v>
      </c>
      <c r="AK611" s="16" t="s">
        <v>51</v>
      </c>
      <c r="AL611" s="25">
        <v>232000</v>
      </c>
      <c r="AM611" s="43">
        <f t="shared" si="39"/>
        <v>100.88785449530212</v>
      </c>
      <c r="AN611" s="16" t="s">
        <v>1866</v>
      </c>
      <c r="AO611" s="16" t="s">
        <v>60</v>
      </c>
    </row>
    <row r="612" spans="1:41" s="15" customFormat="1" ht="14.5" x14ac:dyDescent="0.35">
      <c r="A612" s="27" t="s">
        <v>1867</v>
      </c>
      <c r="B612" s="16" t="s">
        <v>55</v>
      </c>
      <c r="C612" s="16" t="s">
        <v>43</v>
      </c>
      <c r="D612" s="16" t="s">
        <v>44</v>
      </c>
      <c r="E612" s="16" t="s">
        <v>159</v>
      </c>
      <c r="F612" s="16">
        <v>3</v>
      </c>
      <c r="G612" s="30" t="s">
        <v>1868</v>
      </c>
      <c r="H612" s="16" t="s">
        <v>1869</v>
      </c>
      <c r="I612" s="16" t="s">
        <v>102</v>
      </c>
      <c r="J612" s="16">
        <v>155.99</v>
      </c>
      <c r="K612" s="16">
        <v>0</v>
      </c>
      <c r="L612" s="16">
        <v>0</v>
      </c>
      <c r="M612" s="8">
        <v>125</v>
      </c>
      <c r="N612" s="21">
        <v>46168</v>
      </c>
      <c r="O612" s="7">
        <f t="shared" si="36"/>
        <v>26</v>
      </c>
      <c r="P612" s="22">
        <f t="shared" si="37"/>
        <v>6</v>
      </c>
      <c r="Q612" s="22">
        <f t="shared" si="38"/>
        <v>31</v>
      </c>
      <c r="R612" s="16">
        <v>4</v>
      </c>
      <c r="S612">
        <v>4.5947147811285101</v>
      </c>
      <c r="T612">
        <v>-74.075448988316595</v>
      </c>
      <c r="U612" s="22">
        <v>14225</v>
      </c>
      <c r="V612" s="22">
        <v>8595.5</v>
      </c>
      <c r="W612" s="25">
        <v>11447</v>
      </c>
      <c r="X612" s="24">
        <v>11861</v>
      </c>
      <c r="Y612" s="24">
        <v>162839</v>
      </c>
      <c r="Z612" s="24">
        <v>101954</v>
      </c>
      <c r="AA612" s="42">
        <v>11181</v>
      </c>
      <c r="AB612" s="42">
        <v>-6863</v>
      </c>
      <c r="AC612" s="24">
        <v>61953</v>
      </c>
      <c r="AD612" s="24">
        <v>39399</v>
      </c>
      <c r="AE612" s="24">
        <v>7000</v>
      </c>
      <c r="AF612" s="24">
        <v>5526</v>
      </c>
      <c r="AG612" s="17">
        <v>1.6411</v>
      </c>
      <c r="AH612" s="16" t="s">
        <v>82</v>
      </c>
      <c r="AI612" s="16" t="s">
        <v>49</v>
      </c>
      <c r="AJ612" s="16" t="s">
        <v>124</v>
      </c>
      <c r="AK612" s="16" t="s">
        <v>65</v>
      </c>
      <c r="AL612" s="25">
        <v>232000</v>
      </c>
      <c r="AM612" s="43">
        <f t="shared" si="39"/>
        <v>44.874671453298284</v>
      </c>
      <c r="AN612" s="16">
        <v>0</v>
      </c>
      <c r="AO612" s="16" t="s">
        <v>53</v>
      </c>
    </row>
    <row r="613" spans="1:41" s="15" customFormat="1" ht="14.5" x14ac:dyDescent="0.35">
      <c r="A613" s="27" t="s">
        <v>1870</v>
      </c>
      <c r="B613" s="16" t="s">
        <v>42</v>
      </c>
      <c r="C613" s="16" t="s">
        <v>43</v>
      </c>
      <c r="D613" s="16" t="s">
        <v>44</v>
      </c>
      <c r="E613" s="16" t="s">
        <v>344</v>
      </c>
      <c r="F613" s="16">
        <v>3</v>
      </c>
      <c r="G613" s="30" t="s">
        <v>1871</v>
      </c>
      <c r="H613" s="16" t="s">
        <v>1872</v>
      </c>
      <c r="I613" s="16" t="s">
        <v>102</v>
      </c>
      <c r="J613" s="16">
        <v>114.34</v>
      </c>
      <c r="K613" s="16">
        <v>620</v>
      </c>
      <c r="L613" s="16">
        <v>4362</v>
      </c>
      <c r="M613" s="8">
        <v>103</v>
      </c>
      <c r="N613" s="21">
        <v>45489</v>
      </c>
      <c r="O613" s="7">
        <f t="shared" si="36"/>
        <v>16</v>
      </c>
      <c r="P613" s="22">
        <f t="shared" si="37"/>
        <v>16</v>
      </c>
      <c r="Q613" s="22">
        <f t="shared" si="38"/>
        <v>31</v>
      </c>
      <c r="R613" s="16">
        <v>26</v>
      </c>
      <c r="S613">
        <v>4.6978410561028596</v>
      </c>
      <c r="T613">
        <v>-74.090368298054102</v>
      </c>
      <c r="U613" s="22">
        <v>22456</v>
      </c>
      <c r="V613" s="22">
        <v>21012.666669999999</v>
      </c>
      <c r="W613" s="25">
        <v>10299</v>
      </c>
      <c r="X613" s="24">
        <v>10441</v>
      </c>
      <c r="Y613" s="24">
        <v>231282</v>
      </c>
      <c r="Z613" s="24">
        <v>219402</v>
      </c>
      <c r="AA613" s="24">
        <v>22101</v>
      </c>
      <c r="AB613" s="24">
        <v>15896</v>
      </c>
      <c r="AC613" s="24">
        <v>80617</v>
      </c>
      <c r="AD613" s="24">
        <v>75946</v>
      </c>
      <c r="AE613" s="24">
        <v>11057</v>
      </c>
      <c r="AF613" s="24">
        <v>10863</v>
      </c>
      <c r="AG613" s="17">
        <v>0</v>
      </c>
      <c r="AH613" s="16" t="s">
        <v>64</v>
      </c>
      <c r="AI613" s="16" t="s">
        <v>49</v>
      </c>
      <c r="AJ613" s="16" t="s">
        <v>50</v>
      </c>
      <c r="AK613" s="16" t="s">
        <v>51</v>
      </c>
      <c r="AL613" s="25">
        <v>232000</v>
      </c>
      <c r="AM613" s="43">
        <f t="shared" si="39"/>
        <v>96.70281616232289</v>
      </c>
      <c r="AN613" s="16" t="s">
        <v>1873</v>
      </c>
      <c r="AO613" s="16" t="s">
        <v>53</v>
      </c>
    </row>
    <row r="614" spans="1:41" s="15" customFormat="1" ht="14.5" x14ac:dyDescent="0.35">
      <c r="A614" s="27" t="s">
        <v>1874</v>
      </c>
      <c r="B614" s="16" t="s">
        <v>42</v>
      </c>
      <c r="C614" s="16" t="s">
        <v>43</v>
      </c>
      <c r="D614" s="16" t="s">
        <v>44</v>
      </c>
      <c r="E614" s="16" t="s">
        <v>254</v>
      </c>
      <c r="F614" s="16">
        <v>5</v>
      </c>
      <c r="G614" s="30" t="s">
        <v>1875</v>
      </c>
      <c r="H614" s="16" t="s">
        <v>1876</v>
      </c>
      <c r="I614" s="16" t="s">
        <v>47</v>
      </c>
      <c r="J614" s="16">
        <v>163.57</v>
      </c>
      <c r="K614" s="16">
        <v>530</v>
      </c>
      <c r="L614" s="16">
        <v>5455</v>
      </c>
      <c r="M614" s="8">
        <v>120</v>
      </c>
      <c r="N614" s="21">
        <v>45834</v>
      </c>
      <c r="O614" s="7">
        <f t="shared" si="36"/>
        <v>26</v>
      </c>
      <c r="P614" s="22">
        <f t="shared" si="37"/>
        <v>5</v>
      </c>
      <c r="Q614" s="22">
        <f t="shared" si="38"/>
        <v>30</v>
      </c>
      <c r="R614" s="16">
        <v>15</v>
      </c>
      <c r="S614">
        <v>4.6858438760902104</v>
      </c>
      <c r="T614">
        <v>-74.047204880257695</v>
      </c>
      <c r="U614" s="22">
        <v>18522</v>
      </c>
      <c r="V614" s="22">
        <v>17930.833330000001</v>
      </c>
      <c r="W614" s="25">
        <v>12533</v>
      </c>
      <c r="X614" s="24">
        <v>12630</v>
      </c>
      <c r="Y614" s="24">
        <v>232140</v>
      </c>
      <c r="Z614" s="24">
        <v>226461</v>
      </c>
      <c r="AA614" s="24">
        <v>28434</v>
      </c>
      <c r="AB614" s="24">
        <v>26847</v>
      </c>
      <c r="AC614" s="24">
        <v>98616</v>
      </c>
      <c r="AD614" s="24">
        <v>95243</v>
      </c>
      <c r="AE614" s="24">
        <v>17000</v>
      </c>
      <c r="AF614" s="24">
        <v>16291</v>
      </c>
      <c r="AG614" s="17">
        <v>1.4838</v>
      </c>
      <c r="AH614" s="16" t="s">
        <v>48</v>
      </c>
      <c r="AI614" s="16" t="s">
        <v>49</v>
      </c>
      <c r="AJ614" s="16" t="s">
        <v>76</v>
      </c>
      <c r="AK614" s="16" t="s">
        <v>51</v>
      </c>
      <c r="AL614" s="25">
        <v>241405</v>
      </c>
      <c r="AM614" s="43">
        <f t="shared" si="39"/>
        <v>103.93103869902794</v>
      </c>
      <c r="AN614" s="16" t="s">
        <v>150</v>
      </c>
      <c r="AO614" s="16" t="s">
        <v>60</v>
      </c>
    </row>
    <row r="615" spans="1:41" s="15" customFormat="1" ht="14.5" x14ac:dyDescent="0.35">
      <c r="A615" s="27" t="s">
        <v>1877</v>
      </c>
      <c r="B615" s="16" t="s">
        <v>55</v>
      </c>
      <c r="C615" s="16" t="s">
        <v>43</v>
      </c>
      <c r="D615" s="16" t="s">
        <v>44</v>
      </c>
      <c r="E615" s="16" t="s">
        <v>79</v>
      </c>
      <c r="F615" s="16">
        <v>4</v>
      </c>
      <c r="G615" s="30" t="s">
        <v>1878</v>
      </c>
      <c r="H615" s="16">
        <v>0</v>
      </c>
      <c r="I615" s="16" t="s">
        <v>47</v>
      </c>
      <c r="J615" s="16">
        <v>208.2</v>
      </c>
      <c r="K615" s="16">
        <v>501</v>
      </c>
      <c r="L615" s="16">
        <v>4500</v>
      </c>
      <c r="M615" s="8">
        <v>0</v>
      </c>
      <c r="N615" s="21">
        <v>43214</v>
      </c>
      <c r="O615" s="7">
        <f t="shared" si="36"/>
        <v>24</v>
      </c>
      <c r="P615" s="22">
        <f t="shared" si="37"/>
        <v>7</v>
      </c>
      <c r="Q615" s="22">
        <f t="shared" si="38"/>
        <v>30</v>
      </c>
      <c r="R615" s="16">
        <v>101</v>
      </c>
      <c r="S615">
        <v>4.6024567458066299</v>
      </c>
      <c r="T615">
        <v>-74.068690043930104</v>
      </c>
      <c r="U615" s="22">
        <v>42440</v>
      </c>
      <c r="V615" s="22">
        <v>40599</v>
      </c>
      <c r="W615" s="25">
        <v>12143</v>
      </c>
      <c r="X615" s="24">
        <v>12218</v>
      </c>
      <c r="Y615" s="24">
        <v>515364</v>
      </c>
      <c r="Z615" s="24">
        <v>496017</v>
      </c>
      <c r="AA615" s="24">
        <v>80527</v>
      </c>
      <c r="AB615" s="24">
        <v>63177</v>
      </c>
      <c r="AC615" s="24">
        <v>187059</v>
      </c>
      <c r="AD615" s="24">
        <v>171535</v>
      </c>
      <c r="AE615" s="24">
        <v>18275</v>
      </c>
      <c r="AF615" s="24">
        <v>18980</v>
      </c>
      <c r="AG615" s="17">
        <v>0</v>
      </c>
      <c r="AH615" s="16" t="s">
        <v>136</v>
      </c>
      <c r="AI615" s="16" t="s">
        <v>49</v>
      </c>
      <c r="AJ615" s="16" t="s">
        <v>76</v>
      </c>
      <c r="AK615" s="16" t="s">
        <v>51</v>
      </c>
      <c r="AL615" s="25">
        <v>241405</v>
      </c>
      <c r="AM615" s="43">
        <f t="shared" si="39"/>
        <v>87.776176753122002</v>
      </c>
      <c r="AN615" s="16" t="s">
        <v>374</v>
      </c>
      <c r="AO615" s="16" t="s">
        <v>60</v>
      </c>
    </row>
    <row r="616" spans="1:41" s="15" customFormat="1" ht="14.5" x14ac:dyDescent="0.35">
      <c r="A616" s="27" t="s">
        <v>1879</v>
      </c>
      <c r="B616" s="16" t="s">
        <v>42</v>
      </c>
      <c r="C616" s="16" t="s">
        <v>43</v>
      </c>
      <c r="D616" s="16" t="s">
        <v>44</v>
      </c>
      <c r="E616" s="16" t="s">
        <v>394</v>
      </c>
      <c r="F616" s="16">
        <v>3</v>
      </c>
      <c r="G616" s="30" t="s">
        <v>1880</v>
      </c>
      <c r="H616" s="16" t="s">
        <v>1881</v>
      </c>
      <c r="I616" s="16" t="s">
        <v>47</v>
      </c>
      <c r="J616" s="16">
        <v>131.63</v>
      </c>
      <c r="K616" s="16">
        <v>850</v>
      </c>
      <c r="L616" s="16">
        <v>7064</v>
      </c>
      <c r="M616" s="8">
        <v>76</v>
      </c>
      <c r="N616" s="21">
        <v>45595</v>
      </c>
      <c r="O616" s="7">
        <f t="shared" si="36"/>
        <v>30</v>
      </c>
      <c r="P616" s="22">
        <f t="shared" si="37"/>
        <v>2</v>
      </c>
      <c r="Q616" s="22">
        <f t="shared" si="38"/>
        <v>31</v>
      </c>
      <c r="R616" s="16">
        <v>23</v>
      </c>
      <c r="S616">
        <v>4.7468009260672996</v>
      </c>
      <c r="T616">
        <v>-74.0478142627354</v>
      </c>
      <c r="U616" s="22">
        <v>20752</v>
      </c>
      <c r="V616" s="22">
        <v>20291</v>
      </c>
      <c r="W616" s="25">
        <v>10001</v>
      </c>
      <c r="X616" s="24">
        <v>10242</v>
      </c>
      <c r="Y616" s="24">
        <v>207544</v>
      </c>
      <c r="Z616" s="24">
        <v>207821</v>
      </c>
      <c r="AA616" s="24">
        <v>9618</v>
      </c>
      <c r="AB616" s="24">
        <v>15727</v>
      </c>
      <c r="AC616" s="24">
        <v>77930</v>
      </c>
      <c r="AD616" s="24">
        <v>80480</v>
      </c>
      <c r="AE616" s="24">
        <v>15003</v>
      </c>
      <c r="AF616" s="24">
        <v>15148</v>
      </c>
      <c r="AG616" s="17">
        <v>0</v>
      </c>
      <c r="AH616" s="16" t="s">
        <v>64</v>
      </c>
      <c r="AI616" s="16" t="s">
        <v>49</v>
      </c>
      <c r="AJ616" s="16" t="s">
        <v>124</v>
      </c>
      <c r="AK616" s="16" t="s">
        <v>51</v>
      </c>
      <c r="AL616" s="25">
        <v>204160</v>
      </c>
      <c r="AM616" s="43">
        <f t="shared" si="39"/>
        <v>113.9785763123908</v>
      </c>
      <c r="AN616" s="16" t="s">
        <v>731</v>
      </c>
      <c r="AO616" s="16" t="s">
        <v>60</v>
      </c>
    </row>
    <row r="617" spans="1:41" s="15" customFormat="1" ht="14.5" x14ac:dyDescent="0.35">
      <c r="A617" s="27" t="s">
        <v>1882</v>
      </c>
      <c r="B617" s="16" t="s">
        <v>55</v>
      </c>
      <c r="C617" s="16" t="s">
        <v>43</v>
      </c>
      <c r="D617" s="16" t="s">
        <v>44</v>
      </c>
      <c r="E617" s="16" t="s">
        <v>531</v>
      </c>
      <c r="F617" s="16">
        <v>3</v>
      </c>
      <c r="G617" s="30" t="s">
        <v>1883</v>
      </c>
      <c r="H617" s="16" t="s">
        <v>1884</v>
      </c>
      <c r="I617" s="16" t="s">
        <v>47</v>
      </c>
      <c r="J617" s="16">
        <v>119.36</v>
      </c>
      <c r="K617" s="16">
        <v>884</v>
      </c>
      <c r="L617" s="16">
        <v>1873</v>
      </c>
      <c r="M617" s="8">
        <v>87</v>
      </c>
      <c r="N617" s="21">
        <v>45808</v>
      </c>
      <c r="O617" s="7">
        <f t="shared" si="36"/>
        <v>31</v>
      </c>
      <c r="P617" s="22">
        <f t="shared" si="37"/>
        <v>1</v>
      </c>
      <c r="Q617" s="22">
        <f t="shared" si="38"/>
        <v>31</v>
      </c>
      <c r="R617" s="16">
        <v>16</v>
      </c>
      <c r="S617">
        <v>4.6635315696948902</v>
      </c>
      <c r="T617">
        <v>-74.063560236140304</v>
      </c>
      <c r="U617" s="22">
        <v>20895</v>
      </c>
      <c r="V617" s="22">
        <v>20523.333330000001</v>
      </c>
      <c r="W617" s="25">
        <v>11644</v>
      </c>
      <c r="X617" s="24">
        <v>11776</v>
      </c>
      <c r="Y617" s="24">
        <v>243309</v>
      </c>
      <c r="Z617" s="24">
        <v>241686</v>
      </c>
      <c r="AA617" s="24">
        <v>32552</v>
      </c>
      <c r="AB617" s="24">
        <v>28193</v>
      </c>
      <c r="AC617" s="24">
        <v>92112</v>
      </c>
      <c r="AD617" s="24">
        <v>88104</v>
      </c>
      <c r="AE617" s="24">
        <v>9459</v>
      </c>
      <c r="AF617" s="24">
        <v>9381</v>
      </c>
      <c r="AG617" s="17">
        <v>1.6001000000000001</v>
      </c>
      <c r="AH617" s="16" t="s">
        <v>58</v>
      </c>
      <c r="AI617" s="16" t="s">
        <v>49</v>
      </c>
      <c r="AJ617" s="16" t="s">
        <v>50</v>
      </c>
      <c r="AK617" s="16" t="s">
        <v>51</v>
      </c>
      <c r="AL617" s="25">
        <v>232000</v>
      </c>
      <c r="AM617" s="43">
        <f t="shared" si="39"/>
        <v>79.247654155495979</v>
      </c>
      <c r="AN617" s="16" t="s">
        <v>1885</v>
      </c>
      <c r="AO617" s="16" t="s">
        <v>53</v>
      </c>
    </row>
    <row r="618" spans="1:41" s="15" customFormat="1" ht="14.5" x14ac:dyDescent="0.35">
      <c r="A618" s="27" t="s">
        <v>1886</v>
      </c>
      <c r="B618" s="16" t="s">
        <v>55</v>
      </c>
      <c r="C618" s="16" t="s">
        <v>43</v>
      </c>
      <c r="D618" s="16" t="s">
        <v>44</v>
      </c>
      <c r="E618" s="16" t="s">
        <v>473</v>
      </c>
      <c r="F618" s="16">
        <v>4</v>
      </c>
      <c r="G618" s="30" t="s">
        <v>1887</v>
      </c>
      <c r="H618" s="16">
        <v>0</v>
      </c>
      <c r="I618" s="16" t="s">
        <v>47</v>
      </c>
      <c r="J618" s="16">
        <v>146.57</v>
      </c>
      <c r="K618" s="16">
        <v>1152</v>
      </c>
      <c r="L618" s="16">
        <v>3510</v>
      </c>
      <c r="M618" s="8">
        <v>272</v>
      </c>
      <c r="N618" s="21">
        <v>46112</v>
      </c>
      <c r="O618" s="7">
        <f t="shared" si="36"/>
        <v>31</v>
      </c>
      <c r="P618" s="22">
        <f t="shared" si="37"/>
        <v>1</v>
      </c>
      <c r="Q618" s="22">
        <f t="shared" si="38"/>
        <v>31</v>
      </c>
      <c r="R618" s="16">
        <v>6</v>
      </c>
      <c r="S618">
        <v>4.6475977582301402</v>
      </c>
      <c r="T618">
        <v>-74.0637117068473</v>
      </c>
      <c r="U618" s="22">
        <v>24236</v>
      </c>
      <c r="V618" s="22">
        <v>17786</v>
      </c>
      <c r="W618" s="25">
        <v>10911</v>
      </c>
      <c r="X618" s="24">
        <v>10851</v>
      </c>
      <c r="Y618" s="24">
        <v>264431</v>
      </c>
      <c r="Z618" s="24">
        <v>192997</v>
      </c>
      <c r="AA618" s="24">
        <v>38353</v>
      </c>
      <c r="AB618" s="24">
        <v>18633</v>
      </c>
      <c r="AC618" s="24">
        <v>97255</v>
      </c>
      <c r="AD618" s="24">
        <v>70091</v>
      </c>
      <c r="AE618" s="24">
        <v>10946</v>
      </c>
      <c r="AF618" s="24">
        <v>8686</v>
      </c>
      <c r="AG618" s="17">
        <v>1.0382</v>
      </c>
      <c r="AH618" s="16" t="s">
        <v>48</v>
      </c>
      <c r="AI618" s="16" t="s">
        <v>49</v>
      </c>
      <c r="AJ618" s="16" t="s">
        <v>50</v>
      </c>
      <c r="AK618" s="16" t="s">
        <v>65</v>
      </c>
      <c r="AL618" s="25">
        <v>241405</v>
      </c>
      <c r="AM618" s="43">
        <f t="shared" si="39"/>
        <v>74.681039776216153</v>
      </c>
      <c r="AN618" s="16" t="s">
        <v>374</v>
      </c>
      <c r="AO618" s="16" t="s">
        <v>60</v>
      </c>
    </row>
    <row r="619" spans="1:41" s="15" customFormat="1" ht="14.5" x14ac:dyDescent="0.35">
      <c r="A619" s="27" t="s">
        <v>1888</v>
      </c>
      <c r="B619" s="16" t="s">
        <v>42</v>
      </c>
      <c r="C619" s="16" t="s">
        <v>43</v>
      </c>
      <c r="D619" s="16" t="s">
        <v>44</v>
      </c>
      <c r="E619" s="16" t="s">
        <v>340</v>
      </c>
      <c r="F619" s="16">
        <v>5</v>
      </c>
      <c r="G619" s="30" t="s">
        <v>1889</v>
      </c>
      <c r="H619" s="16" t="s">
        <v>1890</v>
      </c>
      <c r="I619" s="16" t="s">
        <v>47</v>
      </c>
      <c r="J619" s="16">
        <v>134.76</v>
      </c>
      <c r="K619" s="16">
        <v>532</v>
      </c>
      <c r="L619" s="16">
        <v>3378</v>
      </c>
      <c r="M619" s="8">
        <v>97</v>
      </c>
      <c r="N619" s="21">
        <v>45955</v>
      </c>
      <c r="O619" s="7">
        <f t="shared" si="36"/>
        <v>25</v>
      </c>
      <c r="P619" s="22">
        <f t="shared" si="37"/>
        <v>7</v>
      </c>
      <c r="Q619" s="22">
        <f t="shared" si="38"/>
        <v>31</v>
      </c>
      <c r="R619" s="16">
        <v>11</v>
      </c>
      <c r="S619">
        <v>4.6947234185674702</v>
      </c>
      <c r="T619">
        <v>-74.032468752199193</v>
      </c>
      <c r="U619" s="22">
        <v>33232</v>
      </c>
      <c r="V619" s="22">
        <v>31351</v>
      </c>
      <c r="W619" s="25">
        <v>10679</v>
      </c>
      <c r="X619" s="24">
        <v>10869</v>
      </c>
      <c r="Y619" s="24">
        <v>354868</v>
      </c>
      <c r="Z619" s="24">
        <v>340755</v>
      </c>
      <c r="AA619" s="24">
        <v>59740</v>
      </c>
      <c r="AB619" s="24">
        <v>53264</v>
      </c>
      <c r="AC619" s="24">
        <v>140298</v>
      </c>
      <c r="AD619" s="24">
        <v>130957</v>
      </c>
      <c r="AE619" s="24">
        <v>18000</v>
      </c>
      <c r="AF619" s="24">
        <v>16550</v>
      </c>
      <c r="AG619" s="17">
        <v>2.2305999999999999</v>
      </c>
      <c r="AH619" s="16" t="s">
        <v>64</v>
      </c>
      <c r="AI619" s="16" t="s">
        <v>49</v>
      </c>
      <c r="AJ619" s="16" t="s">
        <v>124</v>
      </c>
      <c r="AK619" s="16" t="s">
        <v>71</v>
      </c>
      <c r="AL619" s="25">
        <v>204160</v>
      </c>
      <c r="AM619" s="43">
        <f t="shared" si="39"/>
        <v>133.57079252003564</v>
      </c>
      <c r="AN619" s="16" t="s">
        <v>1891</v>
      </c>
      <c r="AO619" s="16" t="s">
        <v>60</v>
      </c>
    </row>
    <row r="620" spans="1:41" s="15" customFormat="1" ht="14.5" x14ac:dyDescent="0.35">
      <c r="A620" s="27" t="s">
        <v>1892</v>
      </c>
      <c r="B620" s="16" t="s">
        <v>119</v>
      </c>
      <c r="C620" s="16" t="s">
        <v>120</v>
      </c>
      <c r="D620" s="16" t="s">
        <v>121</v>
      </c>
      <c r="E620" s="16" t="s">
        <v>190</v>
      </c>
      <c r="F620" s="16">
        <v>5</v>
      </c>
      <c r="G620" s="30" t="s">
        <v>1893</v>
      </c>
      <c r="H620" s="16">
        <v>0</v>
      </c>
      <c r="I620" s="16" t="s">
        <v>47</v>
      </c>
      <c r="J620" s="16">
        <v>190</v>
      </c>
      <c r="K620" s="16">
        <v>1600</v>
      </c>
      <c r="L620" s="16">
        <v>1900</v>
      </c>
      <c r="M620" s="8">
        <v>0</v>
      </c>
      <c r="N620" s="21">
        <v>45462</v>
      </c>
      <c r="O620" s="7">
        <f t="shared" si="36"/>
        <v>19</v>
      </c>
      <c r="P620" s="22">
        <f t="shared" si="37"/>
        <v>12</v>
      </c>
      <c r="Q620" s="22">
        <f t="shared" si="38"/>
        <v>30</v>
      </c>
      <c r="R620" s="16">
        <v>27</v>
      </c>
      <c r="S620">
        <v>7.1134940040855197</v>
      </c>
      <c r="T620">
        <v>-73.114628319783293</v>
      </c>
      <c r="U620" s="22">
        <v>16154</v>
      </c>
      <c r="V620" s="22">
        <v>15266.5</v>
      </c>
      <c r="W620" s="25">
        <v>10424</v>
      </c>
      <c r="X620" s="24">
        <v>10743</v>
      </c>
      <c r="Y620" s="24">
        <v>168389</v>
      </c>
      <c r="Z620" s="24">
        <v>164010</v>
      </c>
      <c r="AA620" s="42">
        <v>4560</v>
      </c>
      <c r="AB620" s="24">
        <v>5373</v>
      </c>
      <c r="AC620" s="24">
        <v>68157</v>
      </c>
      <c r="AD620" s="24">
        <v>64898</v>
      </c>
      <c r="AE620" s="24">
        <v>9398</v>
      </c>
      <c r="AF620" s="24">
        <v>9293</v>
      </c>
      <c r="AG620" s="17">
        <v>0</v>
      </c>
      <c r="AH620" s="16" t="s">
        <v>58</v>
      </c>
      <c r="AI620" s="16" t="s">
        <v>49</v>
      </c>
      <c r="AJ620" s="16" t="s">
        <v>50</v>
      </c>
      <c r="AK620" s="16" t="s">
        <v>51</v>
      </c>
      <c r="AL620" s="25">
        <v>232000</v>
      </c>
      <c r="AM620" s="43">
        <f t="shared" si="39"/>
        <v>49.463157894736845</v>
      </c>
      <c r="AN620" s="16">
        <v>0</v>
      </c>
      <c r="AO620" s="16" t="s">
        <v>60</v>
      </c>
    </row>
    <row r="621" spans="1:41" s="15" customFormat="1" ht="14.5" x14ac:dyDescent="0.35">
      <c r="A621" s="27" t="s">
        <v>1894</v>
      </c>
      <c r="B621" s="16" t="s">
        <v>119</v>
      </c>
      <c r="C621" s="16" t="s">
        <v>120</v>
      </c>
      <c r="D621" s="16" t="s">
        <v>220</v>
      </c>
      <c r="E621" s="16" t="s">
        <v>221</v>
      </c>
      <c r="F621" s="16">
        <v>3</v>
      </c>
      <c r="G621" s="30" t="s">
        <v>1895</v>
      </c>
      <c r="H621" s="16">
        <v>0</v>
      </c>
      <c r="I621" s="16" t="s">
        <v>47</v>
      </c>
      <c r="J621" s="16">
        <v>114</v>
      </c>
      <c r="K621" s="16">
        <v>1146</v>
      </c>
      <c r="L621" s="16">
        <v>183</v>
      </c>
      <c r="M621" s="8">
        <v>143</v>
      </c>
      <c r="N621" s="21">
        <v>45199</v>
      </c>
      <c r="O621" s="7">
        <f t="shared" si="36"/>
        <v>30</v>
      </c>
      <c r="P621" s="22">
        <f t="shared" si="37"/>
        <v>1</v>
      </c>
      <c r="Q621" s="22">
        <f t="shared" si="38"/>
        <v>30</v>
      </c>
      <c r="R621" s="16">
        <v>36</v>
      </c>
      <c r="S621">
        <v>7.0750397238790299</v>
      </c>
      <c r="T621">
        <v>-73.104448303445196</v>
      </c>
      <c r="U621" s="22">
        <v>22541</v>
      </c>
      <c r="V621" s="22">
        <v>21484.333330000001</v>
      </c>
      <c r="W621" s="25">
        <v>11059</v>
      </c>
      <c r="X621" s="24">
        <v>11220</v>
      </c>
      <c r="Y621" s="24">
        <v>249274</v>
      </c>
      <c r="Z621" s="24">
        <v>241054</v>
      </c>
      <c r="AA621" s="24">
        <v>23403</v>
      </c>
      <c r="AB621" s="24">
        <v>24567</v>
      </c>
      <c r="AC621" s="24">
        <v>89188</v>
      </c>
      <c r="AD621" s="24">
        <v>83937</v>
      </c>
      <c r="AE621" s="24">
        <v>6898</v>
      </c>
      <c r="AF621" s="24">
        <v>6975</v>
      </c>
      <c r="AG621" s="17">
        <v>0</v>
      </c>
      <c r="AH621" s="16" t="s">
        <v>58</v>
      </c>
      <c r="AI621" s="16" t="s">
        <v>49</v>
      </c>
      <c r="AJ621" s="16" t="s">
        <v>124</v>
      </c>
      <c r="AK621" s="16" t="s">
        <v>51</v>
      </c>
      <c r="AL621" s="25">
        <v>204160</v>
      </c>
      <c r="AM621" s="43">
        <f t="shared" si="39"/>
        <v>60.508771929824562</v>
      </c>
      <c r="AN621" s="16" t="s">
        <v>703</v>
      </c>
      <c r="AO621" s="16" t="s">
        <v>53</v>
      </c>
    </row>
    <row r="622" spans="1:41" s="15" customFormat="1" ht="14.5" x14ac:dyDescent="0.35">
      <c r="A622" s="27" t="s">
        <v>1896</v>
      </c>
      <c r="B622" s="16" t="s">
        <v>42</v>
      </c>
      <c r="C622" s="16" t="s">
        <v>43</v>
      </c>
      <c r="D622" s="16" t="s">
        <v>44</v>
      </c>
      <c r="E622" s="16" t="s">
        <v>254</v>
      </c>
      <c r="F622" s="16">
        <v>5</v>
      </c>
      <c r="G622" s="30" t="s">
        <v>1897</v>
      </c>
      <c r="H622" s="16" t="s">
        <v>1898</v>
      </c>
      <c r="I622" s="16" t="s">
        <v>47</v>
      </c>
      <c r="J622" s="16">
        <v>167.28</v>
      </c>
      <c r="K622" s="16">
        <v>1024</v>
      </c>
      <c r="L622" s="16">
        <v>1865</v>
      </c>
      <c r="M622" s="8">
        <v>52</v>
      </c>
      <c r="N622" s="21">
        <v>45960</v>
      </c>
      <c r="O622" s="7">
        <f t="shared" si="36"/>
        <v>30</v>
      </c>
      <c r="P622" s="22">
        <f t="shared" si="37"/>
        <v>2</v>
      </c>
      <c r="Q622" s="22">
        <f t="shared" si="38"/>
        <v>31</v>
      </c>
      <c r="R622" s="16">
        <v>11</v>
      </c>
      <c r="S622">
        <v>4.7040259123336696</v>
      </c>
      <c r="T622">
        <v>-74.045597014288802</v>
      </c>
      <c r="U622" s="22">
        <v>24923</v>
      </c>
      <c r="V622" s="22">
        <v>23847.333330000001</v>
      </c>
      <c r="W622" s="25">
        <v>11166</v>
      </c>
      <c r="X622" s="24">
        <v>11305</v>
      </c>
      <c r="Y622" s="24">
        <v>278284</v>
      </c>
      <c r="Z622" s="24">
        <v>269594</v>
      </c>
      <c r="AA622" s="24">
        <v>56511</v>
      </c>
      <c r="AB622" s="24">
        <v>58420</v>
      </c>
      <c r="AC622" s="24">
        <v>122188</v>
      </c>
      <c r="AD622" s="24">
        <v>116876</v>
      </c>
      <c r="AE622" s="24">
        <v>0</v>
      </c>
      <c r="AF622" s="42" t="s">
        <v>1899</v>
      </c>
      <c r="AG622" s="17">
        <v>2.141</v>
      </c>
      <c r="AH622" s="16" t="s">
        <v>82</v>
      </c>
      <c r="AI622" s="16" t="s">
        <v>49</v>
      </c>
      <c r="AJ622" s="16" t="s">
        <v>124</v>
      </c>
      <c r="AK622" s="16" t="s">
        <v>71</v>
      </c>
      <c r="AL622" s="25">
        <v>204160</v>
      </c>
      <c r="AM622" s="43">
        <f t="shared" si="39"/>
        <v>0</v>
      </c>
      <c r="AN622" s="16" t="s">
        <v>652</v>
      </c>
      <c r="AO622" s="16" t="s">
        <v>53</v>
      </c>
    </row>
    <row r="623" spans="1:41" s="15" customFormat="1" ht="14.5" x14ac:dyDescent="0.35">
      <c r="A623" s="27" t="s">
        <v>1900</v>
      </c>
      <c r="B623" s="16" t="s">
        <v>55</v>
      </c>
      <c r="C623" s="16" t="s">
        <v>419</v>
      </c>
      <c r="D623" s="16" t="s">
        <v>420</v>
      </c>
      <c r="E623" s="16" t="s">
        <v>1901</v>
      </c>
      <c r="F623" s="16">
        <v>3</v>
      </c>
      <c r="G623" s="30" t="s">
        <v>1902</v>
      </c>
      <c r="H623" s="16" t="s">
        <v>1903</v>
      </c>
      <c r="I623" s="16" t="s">
        <v>47</v>
      </c>
      <c r="J623" s="16">
        <v>172.54</v>
      </c>
      <c r="K623" s="16">
        <v>1540</v>
      </c>
      <c r="L623" s="16">
        <v>460</v>
      </c>
      <c r="M623" s="8">
        <v>141</v>
      </c>
      <c r="N623" s="21">
        <v>45565</v>
      </c>
      <c r="O623" s="7">
        <f t="shared" si="36"/>
        <v>30</v>
      </c>
      <c r="P623" s="22">
        <f t="shared" si="37"/>
        <v>1</v>
      </c>
      <c r="Q623" s="22">
        <f t="shared" si="38"/>
        <v>30</v>
      </c>
      <c r="R623" s="16">
        <v>24</v>
      </c>
      <c r="S623">
        <v>4.4302383408100203</v>
      </c>
      <c r="T623">
        <v>-75.197242787605205</v>
      </c>
      <c r="U623" s="22">
        <v>14106</v>
      </c>
      <c r="V623" s="22">
        <v>13405.333329999999</v>
      </c>
      <c r="W623" s="25">
        <v>12744</v>
      </c>
      <c r="X623" s="24">
        <v>13647</v>
      </c>
      <c r="Y623" s="24">
        <v>179760</v>
      </c>
      <c r="Z623" s="24">
        <v>182937</v>
      </c>
      <c r="AA623" s="24">
        <v>7473</v>
      </c>
      <c r="AB623" s="24">
        <v>10658</v>
      </c>
      <c r="AC623" s="24">
        <v>65824</v>
      </c>
      <c r="AD623" s="24">
        <v>65497</v>
      </c>
      <c r="AE623" s="24">
        <v>7286</v>
      </c>
      <c r="AF623" s="24">
        <v>7366</v>
      </c>
      <c r="AG623" s="17">
        <v>0</v>
      </c>
      <c r="AH623" s="16" t="s">
        <v>64</v>
      </c>
      <c r="AI623" s="16" t="s">
        <v>49</v>
      </c>
      <c r="AJ623" s="16" t="s">
        <v>50</v>
      </c>
      <c r="AK623" s="16" t="s">
        <v>51</v>
      </c>
      <c r="AL623" s="25">
        <v>232000</v>
      </c>
      <c r="AM623" s="43">
        <f t="shared" si="39"/>
        <v>42.227889185116496</v>
      </c>
      <c r="AN623" s="16">
        <v>0</v>
      </c>
      <c r="AO623" s="16" t="s">
        <v>60</v>
      </c>
    </row>
    <row r="624" spans="1:41" s="15" customFormat="1" ht="14.5" x14ac:dyDescent="0.35">
      <c r="A624" s="27" t="s">
        <v>1904</v>
      </c>
      <c r="B624" s="16" t="s">
        <v>55</v>
      </c>
      <c r="C624" s="16" t="s">
        <v>43</v>
      </c>
      <c r="D624" s="16" t="s">
        <v>44</v>
      </c>
      <c r="E624" s="16" t="s">
        <v>947</v>
      </c>
      <c r="F624" s="16">
        <v>3</v>
      </c>
      <c r="G624" s="30" t="s">
        <v>1905</v>
      </c>
      <c r="H624" s="16">
        <v>0</v>
      </c>
      <c r="I624" s="16" t="s">
        <v>47</v>
      </c>
      <c r="J624" s="16">
        <v>118.81</v>
      </c>
      <c r="K624" s="16">
        <v>2209</v>
      </c>
      <c r="L624" s="16">
        <v>560</v>
      </c>
      <c r="M624" s="8">
        <v>124</v>
      </c>
      <c r="N624" s="21">
        <v>45198</v>
      </c>
      <c r="O624" s="7">
        <f t="shared" si="36"/>
        <v>29</v>
      </c>
      <c r="P624" s="22">
        <f t="shared" si="37"/>
        <v>2</v>
      </c>
      <c r="Q624" s="22">
        <f t="shared" si="38"/>
        <v>30</v>
      </c>
      <c r="R624" s="16">
        <v>36</v>
      </c>
      <c r="S624">
        <v>4.5883336767021303</v>
      </c>
      <c r="T624">
        <v>-74.141901811306795</v>
      </c>
      <c r="U624" s="22">
        <v>16421</v>
      </c>
      <c r="V624" s="22">
        <v>16985.666669999999</v>
      </c>
      <c r="W624" s="25">
        <v>12512</v>
      </c>
      <c r="X624" s="24">
        <v>12612</v>
      </c>
      <c r="Y624" s="24">
        <v>205457</v>
      </c>
      <c r="Z624" s="24">
        <v>214222</v>
      </c>
      <c r="AA624" s="24">
        <v>11765</v>
      </c>
      <c r="AB624" s="24">
        <v>12176</v>
      </c>
      <c r="AC624" s="24">
        <v>68559</v>
      </c>
      <c r="AD624" s="24">
        <v>70257</v>
      </c>
      <c r="AE624" s="24">
        <v>7050</v>
      </c>
      <c r="AF624" s="24">
        <v>7000</v>
      </c>
      <c r="AG624" s="17">
        <v>0</v>
      </c>
      <c r="AH624" s="16" t="s">
        <v>48</v>
      </c>
      <c r="AI624" s="16" t="s">
        <v>49</v>
      </c>
      <c r="AJ624" s="16" t="s">
        <v>50</v>
      </c>
      <c r="AK624" s="16" t="s">
        <v>51</v>
      </c>
      <c r="AL624" s="25">
        <v>232000</v>
      </c>
      <c r="AM624" s="43">
        <f t="shared" si="39"/>
        <v>59.338439525292486</v>
      </c>
      <c r="AN624" s="16" t="s">
        <v>379</v>
      </c>
      <c r="AO624" s="16" t="s">
        <v>60</v>
      </c>
    </row>
    <row r="625" spans="1:41" s="15" customFormat="1" ht="14.5" x14ac:dyDescent="0.35">
      <c r="A625" s="27" t="s">
        <v>1906</v>
      </c>
      <c r="B625" s="16" t="s">
        <v>55</v>
      </c>
      <c r="C625" s="16" t="s">
        <v>43</v>
      </c>
      <c r="D625" s="16" t="s">
        <v>44</v>
      </c>
      <c r="E625" s="16" t="s">
        <v>79</v>
      </c>
      <c r="F625" s="16">
        <v>3</v>
      </c>
      <c r="G625" s="30" t="s">
        <v>1907</v>
      </c>
      <c r="H625" s="16" t="s">
        <v>1908</v>
      </c>
      <c r="I625" s="16" t="s">
        <v>47</v>
      </c>
      <c r="J625" s="16">
        <v>162.62</v>
      </c>
      <c r="K625" s="16">
        <v>160</v>
      </c>
      <c r="L625" s="16">
        <v>4050</v>
      </c>
      <c r="M625" s="8">
        <v>268</v>
      </c>
      <c r="N625" s="21">
        <v>46080</v>
      </c>
      <c r="O625" s="7">
        <f t="shared" si="36"/>
        <v>27</v>
      </c>
      <c r="P625" s="22">
        <f t="shared" si="37"/>
        <v>2</v>
      </c>
      <c r="Q625" s="22">
        <f t="shared" si="38"/>
        <v>28</v>
      </c>
      <c r="R625" s="16">
        <v>7</v>
      </c>
      <c r="S625">
        <v>4.6032371902079898</v>
      </c>
      <c r="T625">
        <v>-74.0721973337576</v>
      </c>
      <c r="U625" s="22">
        <v>26131</v>
      </c>
      <c r="V625" s="22">
        <v>26181.166669999999</v>
      </c>
      <c r="W625" s="25">
        <v>9346</v>
      </c>
      <c r="X625" s="24">
        <v>9622</v>
      </c>
      <c r="Y625" s="24">
        <v>244226</v>
      </c>
      <c r="Z625" s="24">
        <v>251922</v>
      </c>
      <c r="AA625" s="24">
        <v>20313</v>
      </c>
      <c r="AB625" s="24">
        <v>20160</v>
      </c>
      <c r="AC625" s="24">
        <v>98871</v>
      </c>
      <c r="AD625" s="24">
        <v>96675</v>
      </c>
      <c r="AE625" s="24">
        <v>23000</v>
      </c>
      <c r="AF625" s="24">
        <v>22820</v>
      </c>
      <c r="AG625" s="17">
        <v>1.6001000000000001</v>
      </c>
      <c r="AH625" s="16" t="s">
        <v>136</v>
      </c>
      <c r="AI625" s="16" t="s">
        <v>49</v>
      </c>
      <c r="AJ625" s="16" t="s">
        <v>124</v>
      </c>
      <c r="AK625" s="16" t="s">
        <v>65</v>
      </c>
      <c r="AL625" s="25">
        <v>241405</v>
      </c>
      <c r="AM625" s="43">
        <f t="shared" si="39"/>
        <v>141.43401795597097</v>
      </c>
      <c r="AN625" s="16" t="s">
        <v>274</v>
      </c>
      <c r="AO625" s="16" t="s">
        <v>60</v>
      </c>
    </row>
    <row r="626" spans="1:41" s="15" customFormat="1" ht="14.5" x14ac:dyDescent="0.35">
      <c r="A626" s="27" t="s">
        <v>1909</v>
      </c>
      <c r="B626" s="16" t="s">
        <v>105</v>
      </c>
      <c r="C626" s="16" t="s">
        <v>177</v>
      </c>
      <c r="D626" s="16" t="s">
        <v>178</v>
      </c>
      <c r="E626" s="16" t="s">
        <v>153</v>
      </c>
      <c r="F626" s="16">
        <v>4</v>
      </c>
      <c r="G626" s="30" t="s">
        <v>1910</v>
      </c>
      <c r="H626" s="16" t="s">
        <v>1911</v>
      </c>
      <c r="I626" s="16" t="s">
        <v>47</v>
      </c>
      <c r="J626" s="16">
        <v>126.6</v>
      </c>
      <c r="K626" s="16">
        <v>746</v>
      </c>
      <c r="L626" s="16">
        <v>234</v>
      </c>
      <c r="M626" s="8">
        <v>89</v>
      </c>
      <c r="N626" s="21">
        <v>45681</v>
      </c>
      <c r="O626" s="7">
        <f t="shared" si="36"/>
        <v>24</v>
      </c>
      <c r="P626" s="22">
        <f t="shared" si="37"/>
        <v>8</v>
      </c>
      <c r="Q626" s="22">
        <f t="shared" si="38"/>
        <v>31</v>
      </c>
      <c r="R626" s="16">
        <v>20</v>
      </c>
      <c r="S626">
        <v>4.5314258935845499</v>
      </c>
      <c r="T626">
        <v>-75.694518835786894</v>
      </c>
      <c r="U626" s="22">
        <v>11498</v>
      </c>
      <c r="V626" s="22">
        <v>12245.333329999999</v>
      </c>
      <c r="W626" s="25">
        <v>14707</v>
      </c>
      <c r="X626" s="24">
        <v>14611</v>
      </c>
      <c r="Y626" s="24">
        <v>169100</v>
      </c>
      <c r="Z626" s="24">
        <v>178920</v>
      </c>
      <c r="AA626" s="24">
        <v>-14449</v>
      </c>
      <c r="AB626" s="24">
        <v>9122</v>
      </c>
      <c r="AC626" s="24">
        <v>59796</v>
      </c>
      <c r="AD626" s="24">
        <v>68357</v>
      </c>
      <c r="AE626" s="24">
        <v>8942</v>
      </c>
      <c r="AF626" s="24">
        <v>9036</v>
      </c>
      <c r="AG626" s="17">
        <v>0</v>
      </c>
      <c r="AH626" s="16" t="s">
        <v>64</v>
      </c>
      <c r="AI626" s="16" t="s">
        <v>49</v>
      </c>
      <c r="AJ626" s="16" t="s">
        <v>76</v>
      </c>
      <c r="AK626" s="16" t="s">
        <v>51</v>
      </c>
      <c r="AL626" s="25">
        <v>241405</v>
      </c>
      <c r="AM626" s="43">
        <f t="shared" si="39"/>
        <v>70.631911532385473</v>
      </c>
      <c r="AN626" s="16" t="s">
        <v>1912</v>
      </c>
      <c r="AO626" s="16" t="s">
        <v>98</v>
      </c>
    </row>
    <row r="627" spans="1:41" s="15" customFormat="1" ht="14.5" x14ac:dyDescent="0.35">
      <c r="A627" s="27" t="s">
        <v>1913</v>
      </c>
      <c r="B627" s="16" t="s">
        <v>55</v>
      </c>
      <c r="C627" s="16" t="s">
        <v>43</v>
      </c>
      <c r="D627" s="16" t="s">
        <v>44</v>
      </c>
      <c r="E627" s="16" t="s">
        <v>372</v>
      </c>
      <c r="F627" s="16">
        <v>3</v>
      </c>
      <c r="G627" s="30" t="s">
        <v>1914</v>
      </c>
      <c r="H627" s="16">
        <v>0</v>
      </c>
      <c r="I627" s="16" t="s">
        <v>47</v>
      </c>
      <c r="J627" s="16">
        <v>125.72</v>
      </c>
      <c r="K627" s="16">
        <v>1832</v>
      </c>
      <c r="L627" s="16">
        <v>530</v>
      </c>
      <c r="M627" s="8">
        <v>66</v>
      </c>
      <c r="N627" s="21">
        <v>44887</v>
      </c>
      <c r="O627" s="7">
        <f t="shared" si="36"/>
        <v>22</v>
      </c>
      <c r="P627" s="22">
        <f t="shared" si="37"/>
        <v>9</v>
      </c>
      <c r="Q627" s="22">
        <f t="shared" si="38"/>
        <v>30</v>
      </c>
      <c r="R627" s="16">
        <v>46</v>
      </c>
      <c r="S627">
        <v>4.6855439427947596</v>
      </c>
      <c r="T627">
        <v>-74.145682334605894</v>
      </c>
      <c r="U627" s="22">
        <v>19079</v>
      </c>
      <c r="V627" s="22">
        <v>19715.833330000001</v>
      </c>
      <c r="W627" s="25">
        <v>14090</v>
      </c>
      <c r="X627" s="24">
        <v>14247</v>
      </c>
      <c r="Y627" s="24">
        <v>268821</v>
      </c>
      <c r="Z627" s="24">
        <v>280891</v>
      </c>
      <c r="AA627" s="24">
        <v>23190</v>
      </c>
      <c r="AB627" s="24">
        <v>27466</v>
      </c>
      <c r="AC627" s="24">
        <v>82318</v>
      </c>
      <c r="AD627" s="24">
        <v>86094</v>
      </c>
      <c r="AE627" s="24">
        <v>6502</v>
      </c>
      <c r="AF627" s="24">
        <v>6576</v>
      </c>
      <c r="AG627" s="17">
        <v>0</v>
      </c>
      <c r="AH627" s="16" t="s">
        <v>48</v>
      </c>
      <c r="AI627" s="16" t="s">
        <v>49</v>
      </c>
      <c r="AJ627" s="16" t="s">
        <v>76</v>
      </c>
      <c r="AK627" s="16" t="s">
        <v>51</v>
      </c>
      <c r="AL627" s="25">
        <v>241405</v>
      </c>
      <c r="AM627" s="43">
        <f t="shared" si="39"/>
        <v>51.71810372255807</v>
      </c>
      <c r="AN627" s="16" t="s">
        <v>234</v>
      </c>
      <c r="AO627" s="16" t="s">
        <v>60</v>
      </c>
    </row>
    <row r="628" spans="1:41" s="15" customFormat="1" ht="14.5" x14ac:dyDescent="0.35">
      <c r="A628" s="27" t="s">
        <v>1915</v>
      </c>
      <c r="B628" s="16" t="s">
        <v>183</v>
      </c>
      <c r="C628" s="16" t="s">
        <v>184</v>
      </c>
      <c r="D628" s="16" t="s">
        <v>185</v>
      </c>
      <c r="E628" s="16" t="s">
        <v>186</v>
      </c>
      <c r="F628" s="16">
        <v>4</v>
      </c>
      <c r="G628" s="30" t="s">
        <v>1916</v>
      </c>
      <c r="H628" s="16" t="s">
        <v>1917</v>
      </c>
      <c r="I628" s="16" t="s">
        <v>47</v>
      </c>
      <c r="J628" s="16">
        <v>123.93</v>
      </c>
      <c r="K628" s="16">
        <v>228</v>
      </c>
      <c r="L628" s="16">
        <v>2550</v>
      </c>
      <c r="M628" s="8">
        <v>68</v>
      </c>
      <c r="N628" s="21">
        <v>45961</v>
      </c>
      <c r="O628" s="7">
        <f t="shared" si="36"/>
        <v>31</v>
      </c>
      <c r="P628" s="22">
        <f t="shared" si="37"/>
        <v>1</v>
      </c>
      <c r="Q628" s="22">
        <f t="shared" si="38"/>
        <v>31</v>
      </c>
      <c r="R628" s="16">
        <v>11</v>
      </c>
      <c r="S628">
        <v>11.0152897495686</v>
      </c>
      <c r="T628">
        <v>-74.795843674743196</v>
      </c>
      <c r="U628" s="22">
        <v>15699</v>
      </c>
      <c r="V628" s="22">
        <v>13375.333329999999</v>
      </c>
      <c r="W628" s="25">
        <v>8831</v>
      </c>
      <c r="X628" s="24">
        <v>8979</v>
      </c>
      <c r="Y628" s="24">
        <v>138630</v>
      </c>
      <c r="Z628" s="24">
        <v>120097</v>
      </c>
      <c r="AA628" s="42">
        <v>-9473</v>
      </c>
      <c r="AB628" s="42">
        <v>-8154</v>
      </c>
      <c r="AC628" s="24">
        <v>55976</v>
      </c>
      <c r="AD628" s="24">
        <v>48696</v>
      </c>
      <c r="AE628" s="24">
        <v>9200</v>
      </c>
      <c r="AF628" s="24">
        <v>9296</v>
      </c>
      <c r="AG628" s="17">
        <v>1.2717000000000001</v>
      </c>
      <c r="AH628" s="16" t="s">
        <v>48</v>
      </c>
      <c r="AI628" s="16" t="s">
        <v>49</v>
      </c>
      <c r="AJ628" s="16" t="s">
        <v>50</v>
      </c>
      <c r="AK628" s="16" t="s">
        <v>71</v>
      </c>
      <c r="AL628" s="25">
        <v>232000</v>
      </c>
      <c r="AM628" s="43">
        <f t="shared" si="39"/>
        <v>74.235455499072046</v>
      </c>
      <c r="AN628" s="16" t="s">
        <v>1918</v>
      </c>
      <c r="AO628" s="16" t="s">
        <v>60</v>
      </c>
    </row>
    <row r="629" spans="1:41" s="15" customFormat="1" ht="14.5" x14ac:dyDescent="0.35">
      <c r="A629" s="27" t="s">
        <v>1919</v>
      </c>
      <c r="B629" s="16" t="s">
        <v>119</v>
      </c>
      <c r="C629" s="16" t="s">
        <v>120</v>
      </c>
      <c r="D629" s="16" t="s">
        <v>1134</v>
      </c>
      <c r="E629" s="16" t="s">
        <v>1135</v>
      </c>
      <c r="F629" s="16">
        <v>3</v>
      </c>
      <c r="G629" s="30" t="s">
        <v>1920</v>
      </c>
      <c r="H629" s="16">
        <v>0</v>
      </c>
      <c r="I629" s="16" t="s">
        <v>47</v>
      </c>
      <c r="J629" s="16">
        <v>130</v>
      </c>
      <c r="K629" s="16">
        <v>677</v>
      </c>
      <c r="L629" s="16">
        <v>568</v>
      </c>
      <c r="M629" s="8">
        <v>82</v>
      </c>
      <c r="N629" s="21">
        <v>45443</v>
      </c>
      <c r="O629" s="7">
        <f t="shared" si="36"/>
        <v>31</v>
      </c>
      <c r="P629" s="22">
        <f t="shared" si="37"/>
        <v>1</v>
      </c>
      <c r="Q629" s="22">
        <f t="shared" si="38"/>
        <v>31</v>
      </c>
      <c r="R629" s="16">
        <v>28</v>
      </c>
      <c r="S629">
        <v>7.0612096746794597</v>
      </c>
      <c r="T629">
        <v>-73.856843963589498</v>
      </c>
      <c r="U629" s="22">
        <v>16821</v>
      </c>
      <c r="V629" s="22">
        <v>15729.5</v>
      </c>
      <c r="W629" s="25">
        <v>10712</v>
      </c>
      <c r="X629" s="24">
        <v>11248</v>
      </c>
      <c r="Y629" s="24">
        <v>180192</v>
      </c>
      <c r="Z629" s="24">
        <v>176918</v>
      </c>
      <c r="AA629" s="24">
        <v>10539</v>
      </c>
      <c r="AB629" s="24">
        <v>13442</v>
      </c>
      <c r="AC629" s="24">
        <v>70380</v>
      </c>
      <c r="AD629" s="24">
        <v>67950</v>
      </c>
      <c r="AE629" s="24">
        <v>5528</v>
      </c>
      <c r="AF629" s="24">
        <v>5503</v>
      </c>
      <c r="AG629" s="17">
        <v>0</v>
      </c>
      <c r="AH629" s="16" t="s">
        <v>48</v>
      </c>
      <c r="AI629" s="16" t="s">
        <v>49</v>
      </c>
      <c r="AJ629" s="16" t="s">
        <v>76</v>
      </c>
      <c r="AK629" s="16" t="s">
        <v>51</v>
      </c>
      <c r="AL629" s="25">
        <v>232000</v>
      </c>
      <c r="AM629" s="43">
        <f t="shared" si="39"/>
        <v>42.523076923076921</v>
      </c>
      <c r="AN629" s="16">
        <v>0</v>
      </c>
      <c r="AO629" s="16" t="s">
        <v>60</v>
      </c>
    </row>
    <row r="630" spans="1:41" s="15" customFormat="1" ht="14.5" x14ac:dyDescent="0.35">
      <c r="A630" s="27" t="s">
        <v>1921</v>
      </c>
      <c r="B630" s="16" t="s">
        <v>55</v>
      </c>
      <c r="C630" s="16" t="s">
        <v>93</v>
      </c>
      <c r="D630" s="16" t="s">
        <v>1443</v>
      </c>
      <c r="E630" s="16" t="s">
        <v>1444</v>
      </c>
      <c r="F630" s="16">
        <v>3</v>
      </c>
      <c r="G630" s="30" t="s">
        <v>1922</v>
      </c>
      <c r="H630" s="16">
        <v>0</v>
      </c>
      <c r="I630" s="16" t="s">
        <v>102</v>
      </c>
      <c r="J630" s="16">
        <v>123.53</v>
      </c>
      <c r="K630" s="16">
        <v>707</v>
      </c>
      <c r="L630" s="16">
        <v>775</v>
      </c>
      <c r="M630" s="8">
        <v>75</v>
      </c>
      <c r="N630" s="21">
        <v>46142</v>
      </c>
      <c r="O630" s="7">
        <f t="shared" si="36"/>
        <v>30</v>
      </c>
      <c r="P630" s="22">
        <f t="shared" si="37"/>
        <v>1</v>
      </c>
      <c r="Q630" s="22">
        <f t="shared" si="38"/>
        <v>30</v>
      </c>
      <c r="R630" s="16">
        <v>5</v>
      </c>
      <c r="S630">
        <v>4.5566657724720603</v>
      </c>
      <c r="T630">
        <v>-74.529678194614206</v>
      </c>
      <c r="U630" s="22">
        <v>11255</v>
      </c>
      <c r="V630" s="22">
        <v>8855.6</v>
      </c>
      <c r="W630" s="25">
        <v>17550</v>
      </c>
      <c r="X630" s="24">
        <v>17367</v>
      </c>
      <c r="Y630" s="24">
        <v>197524</v>
      </c>
      <c r="Z630" s="24">
        <v>153796</v>
      </c>
      <c r="AA630" s="24">
        <v>12291</v>
      </c>
      <c r="AB630" s="24">
        <v>7578</v>
      </c>
      <c r="AC630" s="24">
        <v>68565</v>
      </c>
      <c r="AD630" s="24">
        <v>56185</v>
      </c>
      <c r="AE630" s="24">
        <v>7500</v>
      </c>
      <c r="AF630" s="24">
        <v>5284</v>
      </c>
      <c r="AG630" s="17">
        <v>1.8146</v>
      </c>
      <c r="AH630" s="16" t="s">
        <v>58</v>
      </c>
      <c r="AI630" s="16" t="s">
        <v>49</v>
      </c>
      <c r="AJ630" s="16" t="s">
        <v>50</v>
      </c>
      <c r="AK630" s="16" t="s">
        <v>65</v>
      </c>
      <c r="AL630" s="25">
        <v>232000</v>
      </c>
      <c r="AM630" s="43">
        <f t="shared" si="39"/>
        <v>60.713996600016188</v>
      </c>
      <c r="AN630" s="16" t="s">
        <v>1188</v>
      </c>
      <c r="AO630" s="16" t="s">
        <v>60</v>
      </c>
    </row>
    <row r="631" spans="1:41" s="15" customFormat="1" ht="14.5" x14ac:dyDescent="0.35">
      <c r="A631" s="27" t="s">
        <v>1923</v>
      </c>
      <c r="B631" s="16" t="s">
        <v>183</v>
      </c>
      <c r="C631" s="16" t="s">
        <v>184</v>
      </c>
      <c r="D631" s="16" t="s">
        <v>185</v>
      </c>
      <c r="E631" s="16" t="s">
        <v>186</v>
      </c>
      <c r="F631" s="16">
        <v>4</v>
      </c>
      <c r="G631" s="30" t="s">
        <v>1924</v>
      </c>
      <c r="H631" s="16" t="s">
        <v>1925</v>
      </c>
      <c r="I631" s="16" t="s">
        <v>47</v>
      </c>
      <c r="J631" s="16">
        <v>126.61</v>
      </c>
      <c r="K631" s="16">
        <v>648</v>
      </c>
      <c r="L631" s="16">
        <v>1680</v>
      </c>
      <c r="M631" s="8">
        <v>52</v>
      </c>
      <c r="N631" s="21">
        <v>45645</v>
      </c>
      <c r="O631" s="7">
        <f t="shared" si="36"/>
        <v>19</v>
      </c>
      <c r="P631" s="22">
        <f t="shared" si="37"/>
        <v>13</v>
      </c>
      <c r="Q631" s="22">
        <f t="shared" si="38"/>
        <v>31</v>
      </c>
      <c r="R631" s="16">
        <v>21</v>
      </c>
      <c r="S631">
        <v>10.992901901028899</v>
      </c>
      <c r="T631">
        <v>-74.793505829409895</v>
      </c>
      <c r="U631" s="22">
        <v>21270</v>
      </c>
      <c r="V631" s="22">
        <v>19071.833330000001</v>
      </c>
      <c r="W631" s="25">
        <v>13370</v>
      </c>
      <c r="X631" s="24">
        <v>12866</v>
      </c>
      <c r="Y631" s="24">
        <v>284372</v>
      </c>
      <c r="Z631" s="24">
        <v>245381</v>
      </c>
      <c r="AA631" s="24">
        <v>33509</v>
      </c>
      <c r="AB631" s="24">
        <v>24728</v>
      </c>
      <c r="AC631" s="24">
        <v>109290</v>
      </c>
      <c r="AD631" s="24">
        <v>94383</v>
      </c>
      <c r="AE631" s="24">
        <v>7364</v>
      </c>
      <c r="AF631" s="24">
        <v>7445</v>
      </c>
      <c r="AG631" s="17">
        <v>0</v>
      </c>
      <c r="AH631" s="16" t="s">
        <v>48</v>
      </c>
      <c r="AI631" s="16" t="s">
        <v>49</v>
      </c>
      <c r="AJ631" s="16" t="s">
        <v>76</v>
      </c>
      <c r="AK631" s="16" t="s">
        <v>51</v>
      </c>
      <c r="AL631" s="25">
        <v>241405</v>
      </c>
      <c r="AM631" s="43">
        <f t="shared" si="39"/>
        <v>58.162862333149043</v>
      </c>
      <c r="AN631" s="16">
        <v>0</v>
      </c>
      <c r="AO631" s="16" t="s">
        <v>98</v>
      </c>
    </row>
    <row r="632" spans="1:41" s="15" customFormat="1" ht="14.5" x14ac:dyDescent="0.35">
      <c r="A632" s="27" t="s">
        <v>1926</v>
      </c>
      <c r="B632" s="16" t="s">
        <v>183</v>
      </c>
      <c r="C632" s="16" t="s">
        <v>184</v>
      </c>
      <c r="D632" s="16" t="s">
        <v>185</v>
      </c>
      <c r="E632" s="16" t="s">
        <v>186</v>
      </c>
      <c r="F632" s="16">
        <v>5</v>
      </c>
      <c r="G632" s="30" t="s">
        <v>1927</v>
      </c>
      <c r="H632" s="16" t="s">
        <v>1928</v>
      </c>
      <c r="I632" s="16" t="s">
        <v>102</v>
      </c>
      <c r="J632" s="16">
        <v>108</v>
      </c>
      <c r="K632" s="16">
        <v>431</v>
      </c>
      <c r="L632" s="16">
        <v>3042</v>
      </c>
      <c r="M632" s="8">
        <v>43</v>
      </c>
      <c r="N632" s="21">
        <v>45503</v>
      </c>
      <c r="O632" s="7">
        <f t="shared" si="36"/>
        <v>30</v>
      </c>
      <c r="P632" s="22">
        <f t="shared" si="37"/>
        <v>2</v>
      </c>
      <c r="Q632" s="22">
        <f t="shared" si="38"/>
        <v>31</v>
      </c>
      <c r="R632" s="16">
        <v>26</v>
      </c>
      <c r="S632">
        <v>11.006770260149301</v>
      </c>
      <c r="T632">
        <v>-74.802972845074507</v>
      </c>
      <c r="U632" s="22">
        <v>15142</v>
      </c>
      <c r="V632" s="22">
        <v>16885.833330000001</v>
      </c>
      <c r="W632" s="25">
        <v>11081</v>
      </c>
      <c r="X632" s="24">
        <v>10973</v>
      </c>
      <c r="Y632" s="24">
        <v>167786</v>
      </c>
      <c r="Z632" s="24">
        <v>185292</v>
      </c>
      <c r="AA632" s="24">
        <v>1687</v>
      </c>
      <c r="AB632" s="24">
        <v>14074</v>
      </c>
      <c r="AC632" s="24">
        <v>68944</v>
      </c>
      <c r="AD632" s="24">
        <v>77541</v>
      </c>
      <c r="AE632" s="24">
        <v>7886</v>
      </c>
      <c r="AF632" s="24">
        <v>7697</v>
      </c>
      <c r="AG632" s="17">
        <v>0</v>
      </c>
      <c r="AH632" s="16" t="s">
        <v>82</v>
      </c>
      <c r="AI632" s="16" t="s">
        <v>49</v>
      </c>
      <c r="AJ632" s="16" t="s">
        <v>50</v>
      </c>
      <c r="AK632" s="16" t="s">
        <v>51</v>
      </c>
      <c r="AL632" s="25">
        <v>232000</v>
      </c>
      <c r="AM632" s="43">
        <f t="shared" si="39"/>
        <v>73.018518518518519</v>
      </c>
      <c r="AN632" s="16" t="s">
        <v>1929</v>
      </c>
      <c r="AO632" s="16" t="s">
        <v>60</v>
      </c>
    </row>
    <row r="633" spans="1:41" s="15" customFormat="1" ht="14.5" x14ac:dyDescent="0.35">
      <c r="A633" s="27" t="s">
        <v>1930</v>
      </c>
      <c r="B633" s="16" t="s">
        <v>55</v>
      </c>
      <c r="C633" s="16" t="s">
        <v>43</v>
      </c>
      <c r="D633" s="16" t="s">
        <v>44</v>
      </c>
      <c r="E633" s="16" t="s">
        <v>1931</v>
      </c>
      <c r="F633" s="16">
        <v>3</v>
      </c>
      <c r="G633" s="30" t="s">
        <v>1932</v>
      </c>
      <c r="H633" s="16">
        <v>0</v>
      </c>
      <c r="I633" s="16" t="s">
        <v>47</v>
      </c>
      <c r="J633" s="16">
        <v>120.56</v>
      </c>
      <c r="K633" s="16">
        <v>1457</v>
      </c>
      <c r="L633" s="16">
        <v>992</v>
      </c>
      <c r="M633" s="8">
        <v>135</v>
      </c>
      <c r="N633" s="21">
        <v>45289</v>
      </c>
      <c r="O633" s="7">
        <f t="shared" si="36"/>
        <v>29</v>
      </c>
      <c r="P633" s="22">
        <f t="shared" si="37"/>
        <v>3</v>
      </c>
      <c r="Q633" s="22">
        <f t="shared" si="38"/>
        <v>31</v>
      </c>
      <c r="R633" s="16">
        <v>33</v>
      </c>
      <c r="S633">
        <v>4.5998496606028301</v>
      </c>
      <c r="T633">
        <v>-74.1617951438744</v>
      </c>
      <c r="U633" s="22">
        <v>21734</v>
      </c>
      <c r="V633" s="22">
        <v>22304.166669999999</v>
      </c>
      <c r="W633" s="25">
        <v>13136</v>
      </c>
      <c r="X633" s="24">
        <v>13538</v>
      </c>
      <c r="Y633" s="24">
        <v>285507</v>
      </c>
      <c r="Z633" s="24">
        <v>301955</v>
      </c>
      <c r="AA633" s="24">
        <v>25915</v>
      </c>
      <c r="AB633" s="24">
        <v>31257</v>
      </c>
      <c r="AC633" s="24">
        <v>95476</v>
      </c>
      <c r="AD633" s="24">
        <v>99673</v>
      </c>
      <c r="AE633" s="24">
        <v>8852</v>
      </c>
      <c r="AF633" s="24">
        <v>8945</v>
      </c>
      <c r="AG633" s="17">
        <v>0</v>
      </c>
      <c r="AH633" s="16" t="s">
        <v>82</v>
      </c>
      <c r="AI633" s="16" t="s">
        <v>49</v>
      </c>
      <c r="AJ633" s="16" t="s">
        <v>50</v>
      </c>
      <c r="AK633" s="16" t="s">
        <v>51</v>
      </c>
      <c r="AL633" s="25">
        <v>204160</v>
      </c>
      <c r="AM633" s="43">
        <f t="shared" si="39"/>
        <v>73.424021234240215</v>
      </c>
      <c r="AN633" s="16" t="s">
        <v>1376</v>
      </c>
      <c r="AO633" s="16" t="s">
        <v>53</v>
      </c>
    </row>
    <row r="634" spans="1:41" s="15" customFormat="1" ht="14.5" x14ac:dyDescent="0.35">
      <c r="A634" s="27" t="s">
        <v>1933</v>
      </c>
      <c r="B634" s="16" t="s">
        <v>55</v>
      </c>
      <c r="C634" s="16" t="s">
        <v>93</v>
      </c>
      <c r="D634" s="16" t="s">
        <v>854</v>
      </c>
      <c r="E634" s="16" t="s">
        <v>855</v>
      </c>
      <c r="F634" s="16">
        <v>3</v>
      </c>
      <c r="G634" s="30" t="s">
        <v>1934</v>
      </c>
      <c r="H634" s="16">
        <v>0</v>
      </c>
      <c r="I634" s="16" t="s">
        <v>47</v>
      </c>
      <c r="J634" s="16">
        <v>115.06</v>
      </c>
      <c r="K634" s="16">
        <v>2626</v>
      </c>
      <c r="L634" s="16">
        <v>220</v>
      </c>
      <c r="M634" s="8">
        <v>66</v>
      </c>
      <c r="N634" s="21">
        <v>45401</v>
      </c>
      <c r="O634" s="7">
        <f t="shared" si="36"/>
        <v>19</v>
      </c>
      <c r="P634" s="22">
        <f t="shared" si="37"/>
        <v>12</v>
      </c>
      <c r="Q634" s="22">
        <f t="shared" si="38"/>
        <v>30</v>
      </c>
      <c r="R634" s="16">
        <v>29</v>
      </c>
      <c r="S634">
        <v>4.7215842342725196</v>
      </c>
      <c r="T634">
        <v>-74.215939220458495</v>
      </c>
      <c r="U634" s="22">
        <v>11815</v>
      </c>
      <c r="V634" s="22">
        <v>12140.333329999999</v>
      </c>
      <c r="W634" s="25">
        <v>12759</v>
      </c>
      <c r="X634" s="24">
        <v>13269</v>
      </c>
      <c r="Y634" s="24">
        <v>150751</v>
      </c>
      <c r="Z634" s="24">
        <v>161089</v>
      </c>
      <c r="AA634" s="42">
        <v>-3566</v>
      </c>
      <c r="AB634" s="42">
        <v>1495</v>
      </c>
      <c r="AC634" s="24">
        <v>46579</v>
      </c>
      <c r="AD634" s="24">
        <v>49762</v>
      </c>
      <c r="AE634" s="24">
        <v>7740</v>
      </c>
      <c r="AF634" s="24">
        <v>7784</v>
      </c>
      <c r="AG634" s="17">
        <v>0</v>
      </c>
      <c r="AH634" s="16" t="s">
        <v>58</v>
      </c>
      <c r="AI634" s="16" t="s">
        <v>49</v>
      </c>
      <c r="AJ634" s="16" t="s">
        <v>50</v>
      </c>
      <c r="AK634" s="16" t="s">
        <v>51</v>
      </c>
      <c r="AL634" s="25">
        <v>232000</v>
      </c>
      <c r="AM634" s="43">
        <f t="shared" si="39"/>
        <v>67.269250825656172</v>
      </c>
      <c r="AN634" s="16" t="s">
        <v>1058</v>
      </c>
      <c r="AO634" s="16" t="s">
        <v>53</v>
      </c>
    </row>
    <row r="635" spans="1:41" s="15" customFormat="1" ht="14.5" x14ac:dyDescent="0.35">
      <c r="A635" s="27" t="s">
        <v>1935</v>
      </c>
      <c r="B635" s="16" t="s">
        <v>55</v>
      </c>
      <c r="C635" s="16" t="s">
        <v>43</v>
      </c>
      <c r="D635" s="16" t="s">
        <v>44</v>
      </c>
      <c r="E635" s="16" t="s">
        <v>1207</v>
      </c>
      <c r="F635" s="16">
        <v>2</v>
      </c>
      <c r="G635" s="30" t="s">
        <v>1936</v>
      </c>
      <c r="H635" s="16">
        <v>0</v>
      </c>
      <c r="I635" s="16" t="s">
        <v>102</v>
      </c>
      <c r="J635" s="16">
        <v>104.46</v>
      </c>
      <c r="K635" s="16">
        <v>2896</v>
      </c>
      <c r="L635" s="16">
        <v>290</v>
      </c>
      <c r="M635" s="8">
        <v>0</v>
      </c>
      <c r="N635" s="21">
        <v>46081</v>
      </c>
      <c r="O635" s="7">
        <f t="shared" si="36"/>
        <v>28</v>
      </c>
      <c r="P635" s="22">
        <f t="shared" si="37"/>
        <v>1</v>
      </c>
      <c r="Q635" s="22">
        <f t="shared" si="38"/>
        <v>28</v>
      </c>
      <c r="R635" s="16">
        <v>7</v>
      </c>
      <c r="S635">
        <v>4.7086508002199103</v>
      </c>
      <c r="T635">
        <v>-74.135725671694303</v>
      </c>
      <c r="U635" s="22">
        <v>9357</v>
      </c>
      <c r="V635" s="22">
        <v>9872.5</v>
      </c>
      <c r="W635" s="25">
        <v>13876</v>
      </c>
      <c r="X635" s="24">
        <v>13555</v>
      </c>
      <c r="Y635" s="24">
        <v>129840</v>
      </c>
      <c r="Z635" s="24">
        <v>133822</v>
      </c>
      <c r="AA635" s="42">
        <v>-6654</v>
      </c>
      <c r="AB635" s="42">
        <v>-2218</v>
      </c>
      <c r="AC635" s="24">
        <v>41787</v>
      </c>
      <c r="AD635" s="24">
        <v>43952</v>
      </c>
      <c r="AE635" s="24">
        <v>7500</v>
      </c>
      <c r="AF635" s="24">
        <v>5883</v>
      </c>
      <c r="AG635" s="17">
        <v>0.92310000000000003</v>
      </c>
      <c r="AH635" s="16" t="s">
        <v>58</v>
      </c>
      <c r="AI635" s="16" t="s">
        <v>49</v>
      </c>
      <c r="AJ635" s="16" t="s">
        <v>76</v>
      </c>
      <c r="AK635" s="16" t="s">
        <v>65</v>
      </c>
      <c r="AL635" s="25">
        <v>204160</v>
      </c>
      <c r="AM635" s="43">
        <f t="shared" si="39"/>
        <v>71.797817346352673</v>
      </c>
      <c r="AN635" s="16" t="s">
        <v>598</v>
      </c>
      <c r="AO635" s="16" t="s">
        <v>60</v>
      </c>
    </row>
    <row r="636" spans="1:41" s="15" customFormat="1" ht="14.5" x14ac:dyDescent="0.35">
      <c r="A636" s="27" t="s">
        <v>1937</v>
      </c>
      <c r="B636" s="16" t="s">
        <v>55</v>
      </c>
      <c r="C636" s="16" t="s">
        <v>43</v>
      </c>
      <c r="D636" s="16" t="s">
        <v>44</v>
      </c>
      <c r="E636" s="16" t="s">
        <v>236</v>
      </c>
      <c r="F636" s="16">
        <v>3</v>
      </c>
      <c r="G636" s="30" t="s">
        <v>1938</v>
      </c>
      <c r="H636" s="16">
        <v>0</v>
      </c>
      <c r="I636" s="16" t="s">
        <v>47</v>
      </c>
      <c r="J636" s="16">
        <v>146.55000000000001</v>
      </c>
      <c r="K636" s="16">
        <v>1850</v>
      </c>
      <c r="L636" s="16">
        <v>600</v>
      </c>
      <c r="M636" s="8">
        <v>85</v>
      </c>
      <c r="N636" s="21">
        <v>44865</v>
      </c>
      <c r="O636" s="7">
        <f t="shared" si="36"/>
        <v>31</v>
      </c>
      <c r="P636" s="22">
        <f t="shared" si="37"/>
        <v>1</v>
      </c>
      <c r="Q636" s="22">
        <f t="shared" si="38"/>
        <v>31</v>
      </c>
      <c r="R636" s="16">
        <v>47</v>
      </c>
      <c r="S636">
        <v>4.6829639058651198</v>
      </c>
      <c r="T636">
        <v>-74.106076244201205</v>
      </c>
      <c r="U636" s="22">
        <v>19480</v>
      </c>
      <c r="V636" s="22">
        <v>19829.5</v>
      </c>
      <c r="W636" s="25">
        <v>13312</v>
      </c>
      <c r="X636" s="24">
        <v>13569</v>
      </c>
      <c r="Y636" s="24">
        <v>259317</v>
      </c>
      <c r="Z636" s="24">
        <v>269070</v>
      </c>
      <c r="AA636" s="24">
        <v>21686</v>
      </c>
      <c r="AB636" s="24">
        <v>23476</v>
      </c>
      <c r="AC636" s="24">
        <v>83039</v>
      </c>
      <c r="AD636" s="24">
        <v>86313</v>
      </c>
      <c r="AE636" s="24">
        <v>9363</v>
      </c>
      <c r="AF636" s="24">
        <v>9461</v>
      </c>
      <c r="AG636" s="17">
        <v>0</v>
      </c>
      <c r="AH636" s="16" t="s">
        <v>136</v>
      </c>
      <c r="AI636" s="16" t="s">
        <v>49</v>
      </c>
      <c r="AJ636" s="16" t="s">
        <v>76</v>
      </c>
      <c r="AK636" s="16" t="s">
        <v>51</v>
      </c>
      <c r="AL636" s="25">
        <v>241405</v>
      </c>
      <c r="AM636" s="43">
        <f t="shared" si="39"/>
        <v>63.889457523029677</v>
      </c>
      <c r="AN636" s="16" t="s">
        <v>1466</v>
      </c>
      <c r="AO636" s="16" t="s">
        <v>60</v>
      </c>
    </row>
    <row r="637" spans="1:41" s="15" customFormat="1" ht="14.5" x14ac:dyDescent="0.35">
      <c r="A637" s="27" t="s">
        <v>1939</v>
      </c>
      <c r="B637" s="16" t="s">
        <v>105</v>
      </c>
      <c r="C637" s="16" t="s">
        <v>106</v>
      </c>
      <c r="D637" s="16" t="s">
        <v>298</v>
      </c>
      <c r="E637" s="16" t="s">
        <v>662</v>
      </c>
      <c r="F637" s="16">
        <v>6</v>
      </c>
      <c r="G637" s="30" t="s">
        <v>1940</v>
      </c>
      <c r="H637" s="16" t="s">
        <v>1941</v>
      </c>
      <c r="I637" s="16" t="s">
        <v>47</v>
      </c>
      <c r="J637" s="16">
        <v>114.58</v>
      </c>
      <c r="K637" s="16">
        <v>1250</v>
      </c>
      <c r="L637" s="16">
        <v>261</v>
      </c>
      <c r="M637" s="8">
        <v>76</v>
      </c>
      <c r="N637" s="21">
        <v>45504</v>
      </c>
      <c r="O637" s="7">
        <f t="shared" si="36"/>
        <v>31</v>
      </c>
      <c r="P637" s="22">
        <f t="shared" si="37"/>
        <v>1</v>
      </c>
      <c r="Q637" s="22">
        <f t="shared" si="38"/>
        <v>31</v>
      </c>
      <c r="R637" s="16">
        <v>26</v>
      </c>
      <c r="S637">
        <v>4.8061451245383697</v>
      </c>
      <c r="T637">
        <v>-75.749628093879707</v>
      </c>
      <c r="U637" s="22">
        <v>4685</v>
      </c>
      <c r="V637" s="22">
        <v>13395.333329999999</v>
      </c>
      <c r="W637" s="25">
        <v>15684</v>
      </c>
      <c r="X637" s="24">
        <v>14866</v>
      </c>
      <c r="Y637" s="24">
        <v>73481</v>
      </c>
      <c r="Z637" s="24">
        <v>199135</v>
      </c>
      <c r="AA637" s="24">
        <v>-180634</v>
      </c>
      <c r="AB637" s="24">
        <v>-14880</v>
      </c>
      <c r="AC637" s="24">
        <v>-109407</v>
      </c>
      <c r="AD637" s="24">
        <v>47857</v>
      </c>
      <c r="AE637" s="24">
        <v>10504</v>
      </c>
      <c r="AF637" s="24">
        <v>10264</v>
      </c>
      <c r="AG637" s="17">
        <v>0</v>
      </c>
      <c r="AH637" s="16" t="s">
        <v>58</v>
      </c>
      <c r="AI637" s="16" t="s">
        <v>49</v>
      </c>
      <c r="AJ637" s="16" t="s">
        <v>50</v>
      </c>
      <c r="AK637" s="16" t="s">
        <v>51</v>
      </c>
      <c r="AL637" s="25">
        <v>232000</v>
      </c>
      <c r="AM637" s="43">
        <f t="shared" si="39"/>
        <v>91.673939605515798</v>
      </c>
      <c r="AN637" s="16" t="s">
        <v>453</v>
      </c>
      <c r="AO637" s="16" t="s">
        <v>60</v>
      </c>
    </row>
    <row r="638" spans="1:41" s="15" customFormat="1" ht="14.5" x14ac:dyDescent="0.35">
      <c r="A638" s="27" t="s">
        <v>1942</v>
      </c>
      <c r="B638" s="16" t="s">
        <v>42</v>
      </c>
      <c r="C638" s="16" t="s">
        <v>43</v>
      </c>
      <c r="D638" s="16" t="s">
        <v>44</v>
      </c>
      <c r="E638" s="16" t="s">
        <v>337</v>
      </c>
      <c r="F638" s="16">
        <v>4</v>
      </c>
      <c r="G638" s="30" t="s">
        <v>1943</v>
      </c>
      <c r="H638" s="16">
        <v>0</v>
      </c>
      <c r="I638" s="16" t="s">
        <v>47</v>
      </c>
      <c r="J638" s="16">
        <v>167.55</v>
      </c>
      <c r="K638" s="16">
        <v>1493</v>
      </c>
      <c r="L638" s="16">
        <v>823</v>
      </c>
      <c r="M638" s="8">
        <v>0</v>
      </c>
      <c r="N638" s="21">
        <v>44543</v>
      </c>
      <c r="O638" s="7">
        <f t="shared" si="36"/>
        <v>13</v>
      </c>
      <c r="P638" s="22">
        <f t="shared" si="37"/>
        <v>19</v>
      </c>
      <c r="Q638" s="22">
        <f t="shared" si="38"/>
        <v>31</v>
      </c>
      <c r="R638" s="16">
        <v>57</v>
      </c>
      <c r="S638">
        <v>4.7554327611396401</v>
      </c>
      <c r="T638">
        <v>-74.054379650941499</v>
      </c>
      <c r="U638" s="22">
        <v>20393</v>
      </c>
      <c r="V638" s="22">
        <v>20547.666669999999</v>
      </c>
      <c r="W638" s="25">
        <v>12678</v>
      </c>
      <c r="X638" s="24">
        <v>12755</v>
      </c>
      <c r="Y638" s="24">
        <v>258550</v>
      </c>
      <c r="Z638" s="24">
        <v>262076</v>
      </c>
      <c r="AA638" s="24">
        <v>22924</v>
      </c>
      <c r="AB638" s="24">
        <v>25471</v>
      </c>
      <c r="AC638" s="24">
        <v>86376</v>
      </c>
      <c r="AD638" s="24">
        <v>89781</v>
      </c>
      <c r="AE638" s="24">
        <v>10986</v>
      </c>
      <c r="AF638" s="24">
        <v>11097</v>
      </c>
      <c r="AG638" s="17">
        <v>0</v>
      </c>
      <c r="AH638" s="16" t="s">
        <v>136</v>
      </c>
      <c r="AI638" s="16" t="s">
        <v>49</v>
      </c>
      <c r="AJ638" s="16" t="s">
        <v>76</v>
      </c>
      <c r="AK638" s="16" t="s">
        <v>51</v>
      </c>
      <c r="AL638" s="25">
        <v>241405</v>
      </c>
      <c r="AM638" s="43">
        <f t="shared" si="39"/>
        <v>65.568487018800354</v>
      </c>
      <c r="AN638" s="16">
        <v>0</v>
      </c>
      <c r="AO638" s="16" t="s">
        <v>60</v>
      </c>
    </row>
    <row r="639" spans="1:41" s="15" customFormat="1" ht="14.5" x14ac:dyDescent="0.35">
      <c r="A639" s="27" t="s">
        <v>1944</v>
      </c>
      <c r="B639" s="16" t="s">
        <v>105</v>
      </c>
      <c r="C639" s="16" t="s">
        <v>106</v>
      </c>
      <c r="D639" s="16" t="s">
        <v>298</v>
      </c>
      <c r="E639" s="16" t="s">
        <v>1945</v>
      </c>
      <c r="F639" s="16">
        <v>4</v>
      </c>
      <c r="G639" s="30" t="s">
        <v>1946</v>
      </c>
      <c r="H639" s="16" t="s">
        <v>1947</v>
      </c>
      <c r="I639" s="16" t="s">
        <v>102</v>
      </c>
      <c r="J639" s="16">
        <v>124.87</v>
      </c>
      <c r="K639" s="16">
        <v>2982</v>
      </c>
      <c r="L639" s="16">
        <v>50</v>
      </c>
      <c r="M639" s="8">
        <v>48</v>
      </c>
      <c r="N639" s="21">
        <v>45626</v>
      </c>
      <c r="O639" s="7">
        <f t="shared" si="36"/>
        <v>30</v>
      </c>
      <c r="P639" s="22">
        <f t="shared" si="37"/>
        <v>1</v>
      </c>
      <c r="Q639" s="22">
        <f t="shared" si="38"/>
        <v>30</v>
      </c>
      <c r="R639" s="16">
        <v>21</v>
      </c>
      <c r="S639">
        <v>4.7925298758836199</v>
      </c>
      <c r="T639">
        <v>-75.711186307049104</v>
      </c>
      <c r="U639" s="22">
        <v>12473</v>
      </c>
      <c r="V639" s="22">
        <v>9774.5</v>
      </c>
      <c r="W639" s="25">
        <v>15239</v>
      </c>
      <c r="X639" s="24">
        <v>16684</v>
      </c>
      <c r="Y639" s="24">
        <v>190078</v>
      </c>
      <c r="Z639" s="24">
        <v>163082</v>
      </c>
      <c r="AA639" s="42">
        <v>-2022</v>
      </c>
      <c r="AB639" s="42">
        <v>798</v>
      </c>
      <c r="AC639" s="24">
        <v>69366</v>
      </c>
      <c r="AD639" s="24">
        <v>57973</v>
      </c>
      <c r="AE639" s="24">
        <v>9429</v>
      </c>
      <c r="AF639" s="24">
        <v>9645</v>
      </c>
      <c r="AG639" s="17">
        <v>0</v>
      </c>
      <c r="AH639" s="16" t="s">
        <v>452</v>
      </c>
      <c r="AI639" s="16" t="s">
        <v>49</v>
      </c>
      <c r="AJ639" s="16" t="s">
        <v>124</v>
      </c>
      <c r="AK639" s="16" t="s">
        <v>51</v>
      </c>
      <c r="AL639" s="25">
        <v>204160</v>
      </c>
      <c r="AM639" s="43">
        <f t="shared" si="39"/>
        <v>75.51053095219028</v>
      </c>
      <c r="AN639" s="16" t="s">
        <v>453</v>
      </c>
      <c r="AO639" s="16" t="s">
        <v>53</v>
      </c>
    </row>
    <row r="640" spans="1:41" s="15" customFormat="1" ht="14.5" x14ac:dyDescent="0.35">
      <c r="A640" s="27" t="s">
        <v>1948</v>
      </c>
      <c r="B640" s="16" t="s">
        <v>42</v>
      </c>
      <c r="C640" s="16" t="s">
        <v>43</v>
      </c>
      <c r="D640" s="16" t="s">
        <v>44</v>
      </c>
      <c r="E640" s="16" t="s">
        <v>668</v>
      </c>
      <c r="F640" s="16">
        <v>3</v>
      </c>
      <c r="G640" s="30" t="s">
        <v>1949</v>
      </c>
      <c r="H640" s="16">
        <v>0</v>
      </c>
      <c r="I640" s="16" t="s">
        <v>47</v>
      </c>
      <c r="J640" s="16">
        <v>83.08</v>
      </c>
      <c r="K640" s="16">
        <v>1385</v>
      </c>
      <c r="L640" s="16">
        <v>698</v>
      </c>
      <c r="M640" s="8">
        <v>0</v>
      </c>
      <c r="N640" s="21">
        <v>43602</v>
      </c>
      <c r="O640" s="7">
        <f t="shared" si="36"/>
        <v>17</v>
      </c>
      <c r="P640" s="22">
        <f t="shared" si="37"/>
        <v>15</v>
      </c>
      <c r="Q640" s="22">
        <f t="shared" si="38"/>
        <v>31</v>
      </c>
      <c r="R640" s="16">
        <v>88</v>
      </c>
      <c r="S640">
        <v>4.7429300538343604</v>
      </c>
      <c r="T640">
        <v>-74.102442340177802</v>
      </c>
      <c r="U640" s="22">
        <v>22608</v>
      </c>
      <c r="V640" s="22">
        <v>22848</v>
      </c>
      <c r="W640" s="25">
        <v>13300</v>
      </c>
      <c r="X640" s="24">
        <v>13446</v>
      </c>
      <c r="Y640" s="24">
        <v>300682</v>
      </c>
      <c r="Z640" s="24">
        <v>307213</v>
      </c>
      <c r="AA640" s="24">
        <v>34379</v>
      </c>
      <c r="AB640" s="24">
        <v>34678</v>
      </c>
      <c r="AC640" s="24">
        <v>93457</v>
      </c>
      <c r="AD640" s="24">
        <v>93067</v>
      </c>
      <c r="AE640" s="24">
        <v>7308</v>
      </c>
      <c r="AF640" s="24">
        <v>7328</v>
      </c>
      <c r="AG640" s="17">
        <v>0</v>
      </c>
      <c r="AH640" s="16" t="s">
        <v>48</v>
      </c>
      <c r="AI640" s="16" t="s">
        <v>49</v>
      </c>
      <c r="AJ640" s="16" t="s">
        <v>50</v>
      </c>
      <c r="AK640" s="16" t="s">
        <v>51</v>
      </c>
      <c r="AL640" s="25">
        <v>232000</v>
      </c>
      <c r="AM640" s="43">
        <f t="shared" si="39"/>
        <v>87.963408762638423</v>
      </c>
      <c r="AN640" s="16" t="s">
        <v>324</v>
      </c>
      <c r="AO640" s="16" t="s">
        <v>60</v>
      </c>
    </row>
    <row r="641" spans="1:41" s="15" customFormat="1" ht="14.5" x14ac:dyDescent="0.35">
      <c r="A641" s="27" t="s">
        <v>1950</v>
      </c>
      <c r="B641" s="16" t="s">
        <v>42</v>
      </c>
      <c r="C641" s="16" t="s">
        <v>43</v>
      </c>
      <c r="D641" s="16" t="s">
        <v>44</v>
      </c>
      <c r="E641" s="16" t="s">
        <v>68</v>
      </c>
      <c r="F641" s="16">
        <v>6</v>
      </c>
      <c r="G641" s="30" t="s">
        <v>1951</v>
      </c>
      <c r="H641" s="16" t="s">
        <v>1952</v>
      </c>
      <c r="I641" s="16" t="s">
        <v>47</v>
      </c>
      <c r="J641" s="16">
        <v>154.36000000000001</v>
      </c>
      <c r="K641" s="16">
        <v>1227</v>
      </c>
      <c r="L641" s="16">
        <v>1960</v>
      </c>
      <c r="M641" s="8">
        <v>97</v>
      </c>
      <c r="N641" s="21">
        <v>45645</v>
      </c>
      <c r="O641" s="7">
        <f t="shared" si="36"/>
        <v>19</v>
      </c>
      <c r="P641" s="22">
        <f t="shared" si="37"/>
        <v>13</v>
      </c>
      <c r="Q641" s="22">
        <f t="shared" si="38"/>
        <v>31</v>
      </c>
      <c r="R641" s="16">
        <v>21</v>
      </c>
      <c r="S641">
        <v>4.6808849021309298</v>
      </c>
      <c r="T641">
        <v>-74.050113858637303</v>
      </c>
      <c r="U641" s="22">
        <v>18988</v>
      </c>
      <c r="V641" s="22">
        <v>18432.333330000001</v>
      </c>
      <c r="W641" s="25">
        <v>10396</v>
      </c>
      <c r="X641" s="24">
        <v>10829</v>
      </c>
      <c r="Y641" s="24">
        <v>197406</v>
      </c>
      <c r="Z641" s="24">
        <v>199609</v>
      </c>
      <c r="AA641" s="24">
        <v>21190</v>
      </c>
      <c r="AB641" s="24">
        <v>17704</v>
      </c>
      <c r="AC641" s="24">
        <v>77505</v>
      </c>
      <c r="AD641" s="24">
        <v>77185</v>
      </c>
      <c r="AE641" s="24">
        <v>14202</v>
      </c>
      <c r="AF641" s="24">
        <v>14340</v>
      </c>
      <c r="AG641" s="17">
        <v>0</v>
      </c>
      <c r="AH641" s="16" t="s">
        <v>64</v>
      </c>
      <c r="AI641" s="16" t="s">
        <v>49</v>
      </c>
      <c r="AJ641" s="16" t="s">
        <v>50</v>
      </c>
      <c r="AK641" s="16" t="s">
        <v>51</v>
      </c>
      <c r="AL641" s="25">
        <v>232000</v>
      </c>
      <c r="AM641" s="43">
        <f t="shared" si="39"/>
        <v>92.005700958797604</v>
      </c>
      <c r="AN641" s="16" t="s">
        <v>1155</v>
      </c>
      <c r="AO641" s="16" t="s">
        <v>64</v>
      </c>
    </row>
    <row r="642" spans="1:41" s="15" customFormat="1" ht="14.5" x14ac:dyDescent="0.35">
      <c r="A642" s="27" t="s">
        <v>1953</v>
      </c>
      <c r="B642" s="16" t="s">
        <v>42</v>
      </c>
      <c r="C642" s="16" t="s">
        <v>43</v>
      </c>
      <c r="D642" s="16" t="s">
        <v>44</v>
      </c>
      <c r="E642" s="16" t="s">
        <v>68</v>
      </c>
      <c r="F642" s="16">
        <v>6</v>
      </c>
      <c r="G642" s="30" t="s">
        <v>1954</v>
      </c>
      <c r="H642" s="16" t="s">
        <v>1955</v>
      </c>
      <c r="I642" s="16" t="s">
        <v>102</v>
      </c>
      <c r="J642" s="16">
        <v>144.22</v>
      </c>
      <c r="K642" s="16">
        <v>2466</v>
      </c>
      <c r="L642" s="16">
        <v>4700</v>
      </c>
      <c r="M642" s="8">
        <v>282</v>
      </c>
      <c r="N642" s="21">
        <v>45577</v>
      </c>
      <c r="O642" s="7">
        <f t="shared" ref="O642:O705" si="40">DAY(N642)</f>
        <v>12</v>
      </c>
      <c r="P642" s="22">
        <f t="shared" ref="P642:P705" si="41">Q642-O642+1</f>
        <v>20</v>
      </c>
      <c r="Q642" s="22">
        <f t="shared" ref="Q642:Q705" si="42">DAY(EOMONTH(N642,0))</f>
        <v>31</v>
      </c>
      <c r="R642" s="16">
        <v>23</v>
      </c>
      <c r="S642">
        <v>4.6760413932478802</v>
      </c>
      <c r="T642">
        <v>-74.056448618176205</v>
      </c>
      <c r="U642" s="22">
        <v>29156</v>
      </c>
      <c r="V642" s="22">
        <v>29150.166669999999</v>
      </c>
      <c r="W642" s="25">
        <v>10192</v>
      </c>
      <c r="X642" s="24">
        <v>10526</v>
      </c>
      <c r="Y642" s="24">
        <v>297164</v>
      </c>
      <c r="Z642" s="24">
        <v>306822</v>
      </c>
      <c r="AA642" s="24">
        <v>30784</v>
      </c>
      <c r="AB642" s="24">
        <v>33026</v>
      </c>
      <c r="AC642" s="24">
        <v>120801</v>
      </c>
      <c r="AD642" s="24">
        <v>126575</v>
      </c>
      <c r="AE642" s="24">
        <v>19001</v>
      </c>
      <c r="AF642" s="24">
        <v>19179</v>
      </c>
      <c r="AG642" s="17">
        <v>0</v>
      </c>
      <c r="AH642" s="16" t="s">
        <v>64</v>
      </c>
      <c r="AI642" s="16" t="s">
        <v>49</v>
      </c>
      <c r="AJ642" s="16" t="s">
        <v>124</v>
      </c>
      <c r="AK642" s="16" t="s">
        <v>51</v>
      </c>
      <c r="AL642" s="25">
        <v>204160</v>
      </c>
      <c r="AM642" s="43">
        <f t="shared" ref="AM642:AM705" si="43">AE642/J642</f>
        <v>131.75010400776591</v>
      </c>
      <c r="AN642" s="16" t="s">
        <v>529</v>
      </c>
      <c r="AO642" s="16" t="s">
        <v>53</v>
      </c>
    </row>
    <row r="643" spans="1:41" s="15" customFormat="1" ht="14.5" x14ac:dyDescent="0.35">
      <c r="A643" s="27" t="s">
        <v>1956</v>
      </c>
      <c r="B643" s="16" t="s">
        <v>42</v>
      </c>
      <c r="C643" s="16" t="s">
        <v>43</v>
      </c>
      <c r="D643" s="16" t="s">
        <v>44</v>
      </c>
      <c r="E643" s="16" t="s">
        <v>447</v>
      </c>
      <c r="F643" s="16">
        <v>4</v>
      </c>
      <c r="G643" s="30" t="s">
        <v>1957</v>
      </c>
      <c r="H643" s="16">
        <v>0</v>
      </c>
      <c r="I643" s="16" t="s">
        <v>47</v>
      </c>
      <c r="J643" s="16">
        <v>104.63</v>
      </c>
      <c r="K643" s="16">
        <v>2600</v>
      </c>
      <c r="L643" s="16">
        <v>1390</v>
      </c>
      <c r="M643" s="8">
        <v>0</v>
      </c>
      <c r="N643" s="21">
        <v>44894</v>
      </c>
      <c r="O643" s="7">
        <f t="shared" si="40"/>
        <v>29</v>
      </c>
      <c r="P643" s="22">
        <f t="shared" si="41"/>
        <v>2</v>
      </c>
      <c r="Q643" s="22">
        <f t="shared" si="42"/>
        <v>30</v>
      </c>
      <c r="R643" s="16">
        <v>46</v>
      </c>
      <c r="S643">
        <v>4.6870835057251199</v>
      </c>
      <c r="T643">
        <v>-74.073131322662604</v>
      </c>
      <c r="U643" s="22">
        <v>18545</v>
      </c>
      <c r="V643" s="22">
        <v>18372.5</v>
      </c>
      <c r="W643" s="25">
        <v>10234</v>
      </c>
      <c r="X643" s="24">
        <v>10422</v>
      </c>
      <c r="Y643" s="24">
        <v>189791</v>
      </c>
      <c r="Z643" s="24">
        <v>191473</v>
      </c>
      <c r="AA643" s="24">
        <v>20501</v>
      </c>
      <c r="AB643" s="24">
        <v>16295</v>
      </c>
      <c r="AC643" s="24">
        <v>73745</v>
      </c>
      <c r="AD643" s="24">
        <v>71898</v>
      </c>
      <c r="AE643" s="24">
        <v>9489</v>
      </c>
      <c r="AF643" s="24">
        <v>9547</v>
      </c>
      <c r="AG643" s="17">
        <v>0</v>
      </c>
      <c r="AH643" s="16" t="s">
        <v>64</v>
      </c>
      <c r="AI643" s="16" t="s">
        <v>49</v>
      </c>
      <c r="AJ643" s="16" t="s">
        <v>124</v>
      </c>
      <c r="AK643" s="16" t="s">
        <v>51</v>
      </c>
      <c r="AL643" s="25">
        <v>204160</v>
      </c>
      <c r="AM643" s="43">
        <f t="shared" si="43"/>
        <v>90.691006403517164</v>
      </c>
      <c r="AN643" s="16" t="s">
        <v>387</v>
      </c>
      <c r="AO643" s="16" t="s">
        <v>64</v>
      </c>
    </row>
    <row r="644" spans="1:41" s="15" customFormat="1" ht="14.5" x14ac:dyDescent="0.35">
      <c r="A644" s="27" t="s">
        <v>1958</v>
      </c>
      <c r="B644" s="16" t="s">
        <v>119</v>
      </c>
      <c r="C644" s="16" t="s">
        <v>120</v>
      </c>
      <c r="D644" s="16" t="s">
        <v>121</v>
      </c>
      <c r="E644" s="16" t="s">
        <v>122</v>
      </c>
      <c r="F644" s="16">
        <v>4</v>
      </c>
      <c r="G644" s="30" t="s">
        <v>1959</v>
      </c>
      <c r="H644" s="16">
        <v>0</v>
      </c>
      <c r="I644" s="16" t="s">
        <v>47</v>
      </c>
      <c r="J644" s="16">
        <v>164.83</v>
      </c>
      <c r="K644" s="16">
        <v>2358</v>
      </c>
      <c r="L644" s="16">
        <v>1575</v>
      </c>
      <c r="M644" s="8">
        <v>0</v>
      </c>
      <c r="N644" s="21">
        <v>44761</v>
      </c>
      <c r="O644" s="7">
        <f t="shared" si="40"/>
        <v>19</v>
      </c>
      <c r="P644" s="22">
        <f t="shared" si="41"/>
        <v>13</v>
      </c>
      <c r="Q644" s="22">
        <f t="shared" si="42"/>
        <v>31</v>
      </c>
      <c r="R644" s="16">
        <v>50</v>
      </c>
      <c r="S644">
        <v>7.1213222998793801</v>
      </c>
      <c r="T644">
        <v>-73.1213423015123</v>
      </c>
      <c r="U644" s="22">
        <v>15531</v>
      </c>
      <c r="V644" s="22">
        <v>14782.833329999999</v>
      </c>
      <c r="W644" s="25">
        <v>10638</v>
      </c>
      <c r="X644" s="24">
        <v>10945</v>
      </c>
      <c r="Y644" s="24">
        <v>165220</v>
      </c>
      <c r="Z644" s="24">
        <v>161791</v>
      </c>
      <c r="AA644" s="24">
        <v>1298</v>
      </c>
      <c r="AB644" s="42">
        <v>3370</v>
      </c>
      <c r="AC644" s="24">
        <v>58562</v>
      </c>
      <c r="AD644" s="24">
        <v>56890</v>
      </c>
      <c r="AE644" s="24">
        <v>6561</v>
      </c>
      <c r="AF644" s="24">
        <v>6493</v>
      </c>
      <c r="AG644" s="17">
        <v>0</v>
      </c>
      <c r="AH644" s="16" t="s">
        <v>64</v>
      </c>
      <c r="AI644" s="16" t="s">
        <v>49</v>
      </c>
      <c r="AJ644" s="16" t="s">
        <v>124</v>
      </c>
      <c r="AK644" s="16" t="s">
        <v>51</v>
      </c>
      <c r="AL644" s="25">
        <v>204160</v>
      </c>
      <c r="AM644" s="43">
        <f t="shared" si="43"/>
        <v>39.804647212279313</v>
      </c>
      <c r="AN644" s="16" t="s">
        <v>1386</v>
      </c>
      <c r="AO644" s="16" t="s">
        <v>64</v>
      </c>
    </row>
    <row r="645" spans="1:41" s="15" customFormat="1" ht="14.5" x14ac:dyDescent="0.35">
      <c r="A645" s="27" t="s">
        <v>1960</v>
      </c>
      <c r="B645" s="16" t="s">
        <v>105</v>
      </c>
      <c r="C645" s="16" t="s">
        <v>157</v>
      </c>
      <c r="D645" s="16" t="s">
        <v>158</v>
      </c>
      <c r="E645" s="16" t="s">
        <v>596</v>
      </c>
      <c r="F645" s="16">
        <v>6</v>
      </c>
      <c r="G645" s="30" t="s">
        <v>1961</v>
      </c>
      <c r="H645" s="16" t="s">
        <v>1962</v>
      </c>
      <c r="I645" s="16" t="s">
        <v>102</v>
      </c>
      <c r="J645" s="16">
        <v>98.62</v>
      </c>
      <c r="K645" s="16">
        <v>1250</v>
      </c>
      <c r="L645" s="16">
        <v>5240</v>
      </c>
      <c r="M645" s="8">
        <v>52</v>
      </c>
      <c r="N645" s="21">
        <v>45688</v>
      </c>
      <c r="O645" s="7">
        <f t="shared" si="40"/>
        <v>31</v>
      </c>
      <c r="P645" s="22">
        <f t="shared" si="41"/>
        <v>1</v>
      </c>
      <c r="Q645" s="22">
        <f t="shared" si="42"/>
        <v>31</v>
      </c>
      <c r="R645" s="16">
        <v>20</v>
      </c>
      <c r="S645">
        <v>6.1869954605200101</v>
      </c>
      <c r="T645">
        <v>-75.578238934631003</v>
      </c>
      <c r="U645" s="22">
        <v>15312</v>
      </c>
      <c r="V645" s="22">
        <v>13973.333329999999</v>
      </c>
      <c r="W645" s="25">
        <v>13705</v>
      </c>
      <c r="X645" s="24">
        <v>13616</v>
      </c>
      <c r="Y645" s="24">
        <v>209857</v>
      </c>
      <c r="Z645" s="24">
        <v>190267</v>
      </c>
      <c r="AA645" s="24">
        <v>18195</v>
      </c>
      <c r="AB645" s="24">
        <v>11011</v>
      </c>
      <c r="AC645" s="24">
        <v>81952</v>
      </c>
      <c r="AD645" s="24">
        <v>74515</v>
      </c>
      <c r="AE645" s="24">
        <v>16000</v>
      </c>
      <c r="AF645" s="24">
        <v>16153</v>
      </c>
      <c r="AG645" s="17">
        <v>0</v>
      </c>
      <c r="AH645" s="16" t="s">
        <v>64</v>
      </c>
      <c r="AI645" s="16" t="s">
        <v>49</v>
      </c>
      <c r="AJ645" s="16" t="s">
        <v>50</v>
      </c>
      <c r="AK645" s="16" t="s">
        <v>51</v>
      </c>
      <c r="AL645" s="25">
        <v>232000</v>
      </c>
      <c r="AM645" s="43">
        <f t="shared" si="43"/>
        <v>162.23889677550193</v>
      </c>
      <c r="AN645" s="16" t="s">
        <v>1963</v>
      </c>
      <c r="AO645" s="16" t="s">
        <v>53</v>
      </c>
    </row>
    <row r="646" spans="1:41" s="15" customFormat="1" ht="14.5" x14ac:dyDescent="0.35">
      <c r="A646" s="27" t="s">
        <v>1964</v>
      </c>
      <c r="B646" s="16" t="s">
        <v>105</v>
      </c>
      <c r="C646" s="16" t="s">
        <v>157</v>
      </c>
      <c r="D646" s="16" t="s">
        <v>303</v>
      </c>
      <c r="E646" s="16" t="s">
        <v>304</v>
      </c>
      <c r="F646" s="16">
        <v>4</v>
      </c>
      <c r="G646" s="30" t="s">
        <v>1965</v>
      </c>
      <c r="H646" s="16" t="s">
        <v>1966</v>
      </c>
      <c r="I646" s="16" t="s">
        <v>102</v>
      </c>
      <c r="J646" s="16">
        <v>103.34</v>
      </c>
      <c r="K646" s="16">
        <v>3450</v>
      </c>
      <c r="L646" s="16">
        <v>85</v>
      </c>
      <c r="M646" s="8">
        <v>16</v>
      </c>
      <c r="N646" s="21">
        <v>45590</v>
      </c>
      <c r="O646" s="7">
        <f t="shared" si="40"/>
        <v>25</v>
      </c>
      <c r="P646" s="22">
        <f t="shared" si="41"/>
        <v>7</v>
      </c>
      <c r="Q646" s="22">
        <f t="shared" si="42"/>
        <v>31</v>
      </c>
      <c r="R646" s="16">
        <v>23</v>
      </c>
      <c r="S646">
        <v>6.14724687539898</v>
      </c>
      <c r="T646">
        <v>-75.613173978228005</v>
      </c>
      <c r="U646" s="22">
        <v>12761</v>
      </c>
      <c r="V646" s="22">
        <v>11399</v>
      </c>
      <c r="W646" s="25">
        <v>15401</v>
      </c>
      <c r="X646" s="24">
        <v>15584</v>
      </c>
      <c r="Y646" s="24">
        <v>196525</v>
      </c>
      <c r="Z646" s="24">
        <v>177637</v>
      </c>
      <c r="AA646" s="24">
        <v>11587</v>
      </c>
      <c r="AB646" s="24">
        <v>9384</v>
      </c>
      <c r="AC646" s="24">
        <v>71944</v>
      </c>
      <c r="AD646" s="24">
        <v>66499</v>
      </c>
      <c r="AE646" s="24">
        <v>9994</v>
      </c>
      <c r="AF646" s="24">
        <v>10097</v>
      </c>
      <c r="AG646" s="17">
        <v>0</v>
      </c>
      <c r="AH646" s="16" t="s">
        <v>64</v>
      </c>
      <c r="AI646" s="16" t="s">
        <v>49</v>
      </c>
      <c r="AJ646" s="16" t="s">
        <v>124</v>
      </c>
      <c r="AK646" s="16" t="s">
        <v>51</v>
      </c>
      <c r="AL646" s="25">
        <v>204160</v>
      </c>
      <c r="AM646" s="43">
        <f t="shared" si="43"/>
        <v>96.709889684536478</v>
      </c>
      <c r="AN646" s="16" t="s">
        <v>383</v>
      </c>
      <c r="AO646" s="16" t="s">
        <v>60</v>
      </c>
    </row>
    <row r="647" spans="1:41" s="15" customFormat="1" ht="14.5" x14ac:dyDescent="0.35">
      <c r="A647" s="27" t="s">
        <v>1967</v>
      </c>
      <c r="B647" s="16" t="s">
        <v>55</v>
      </c>
      <c r="C647" s="16" t="s">
        <v>43</v>
      </c>
      <c r="D647" s="16" t="s">
        <v>44</v>
      </c>
      <c r="E647" s="16" t="s">
        <v>1968</v>
      </c>
      <c r="F647" s="16">
        <v>3</v>
      </c>
      <c r="G647" s="30" t="s">
        <v>1968</v>
      </c>
      <c r="H647" s="16">
        <v>0</v>
      </c>
      <c r="I647" s="16" t="s">
        <v>47</v>
      </c>
      <c r="J647" s="16">
        <v>69.13</v>
      </c>
      <c r="K647" s="16">
        <v>0</v>
      </c>
      <c r="L647" s="16">
        <v>9473</v>
      </c>
      <c r="M647" s="8">
        <v>48</v>
      </c>
      <c r="N647" s="21">
        <v>43440</v>
      </c>
      <c r="O647" s="7">
        <f t="shared" si="40"/>
        <v>6</v>
      </c>
      <c r="P647" s="22">
        <f t="shared" si="41"/>
        <v>26</v>
      </c>
      <c r="Q647" s="22">
        <f t="shared" si="42"/>
        <v>31</v>
      </c>
      <c r="R647" s="16">
        <v>93</v>
      </c>
      <c r="S647">
        <v>4.6755588001516299</v>
      </c>
      <c r="T647">
        <v>-74.154834458627604</v>
      </c>
      <c r="U647" s="22">
        <v>25047</v>
      </c>
      <c r="V647" s="22">
        <v>26459.833330000001</v>
      </c>
      <c r="W647" s="25">
        <v>9731</v>
      </c>
      <c r="X647" s="24">
        <v>9746</v>
      </c>
      <c r="Y647" s="24">
        <v>243729</v>
      </c>
      <c r="Z647" s="24">
        <v>257888</v>
      </c>
      <c r="AA647" s="24">
        <v>35225</v>
      </c>
      <c r="AB647" s="24">
        <v>42365</v>
      </c>
      <c r="AC647" s="24">
        <v>95463</v>
      </c>
      <c r="AD647" s="24">
        <v>100399</v>
      </c>
      <c r="AE647" s="24">
        <v>5324</v>
      </c>
      <c r="AF647" s="24">
        <v>7062</v>
      </c>
      <c r="AG647" s="17">
        <v>0</v>
      </c>
      <c r="AH647" s="16" t="s">
        <v>64</v>
      </c>
      <c r="AI647" s="16" t="s">
        <v>49</v>
      </c>
      <c r="AJ647" s="16" t="s">
        <v>50</v>
      </c>
      <c r="AK647" s="16" t="s">
        <v>51</v>
      </c>
      <c r="AL647" s="25">
        <v>232000</v>
      </c>
      <c r="AM647" s="43">
        <f t="shared" si="43"/>
        <v>77.014320844785189</v>
      </c>
      <c r="AN647" s="16" t="s">
        <v>1857</v>
      </c>
      <c r="AO647" s="16" t="s">
        <v>64</v>
      </c>
    </row>
    <row r="648" spans="1:41" s="15" customFormat="1" ht="14.5" x14ac:dyDescent="0.35">
      <c r="A648" s="27" t="s">
        <v>1969</v>
      </c>
      <c r="B648" s="16" t="s">
        <v>1970</v>
      </c>
      <c r="C648" s="16" t="s">
        <v>43</v>
      </c>
      <c r="D648" s="16" t="s">
        <v>44</v>
      </c>
      <c r="E648" s="16" t="s">
        <v>352</v>
      </c>
      <c r="F648" s="16">
        <v>3</v>
      </c>
      <c r="G648" s="30" t="s">
        <v>1971</v>
      </c>
      <c r="H648" s="16">
        <v>0</v>
      </c>
      <c r="I648" s="16" t="s">
        <v>47</v>
      </c>
      <c r="J648" s="16">
        <v>129.71</v>
      </c>
      <c r="K648" s="16">
        <v>0</v>
      </c>
      <c r="L648" s="16">
        <v>0</v>
      </c>
      <c r="M648" s="8">
        <v>0</v>
      </c>
      <c r="N648" s="21">
        <v>45468</v>
      </c>
      <c r="O648" s="7">
        <f t="shared" si="40"/>
        <v>25</v>
      </c>
      <c r="P648" s="22">
        <f t="shared" si="41"/>
        <v>6</v>
      </c>
      <c r="Q648" s="22">
        <f t="shared" si="42"/>
        <v>30</v>
      </c>
      <c r="R648" s="16">
        <v>0</v>
      </c>
      <c r="S648" s="29">
        <v>4.6859999999999999</v>
      </c>
      <c r="T648" s="29">
        <v>-74.094999999999999</v>
      </c>
      <c r="U648" s="22">
        <v>0</v>
      </c>
      <c r="V648" s="22">
        <v>0</v>
      </c>
      <c r="W648" s="25">
        <v>0</v>
      </c>
      <c r="X648" s="24">
        <v>0</v>
      </c>
      <c r="Y648" s="24">
        <v>0</v>
      </c>
      <c r="Z648" s="24">
        <v>0</v>
      </c>
      <c r="AA648" s="24">
        <v>0</v>
      </c>
      <c r="AB648" s="24">
        <v>0</v>
      </c>
      <c r="AC648" s="24">
        <v>0</v>
      </c>
      <c r="AD648" s="24">
        <v>0</v>
      </c>
      <c r="AE648" s="24">
        <v>0</v>
      </c>
      <c r="AF648" s="24">
        <v>0</v>
      </c>
      <c r="AG648" s="16">
        <v>0</v>
      </c>
      <c r="AH648" s="16" t="s">
        <v>64</v>
      </c>
      <c r="AI648" s="16" t="s">
        <v>1972</v>
      </c>
      <c r="AJ648" s="16" t="s">
        <v>1972</v>
      </c>
      <c r="AK648" s="16" t="s">
        <v>1972</v>
      </c>
      <c r="AL648" s="25" t="s">
        <v>1973</v>
      </c>
      <c r="AM648" s="43">
        <f t="shared" si="43"/>
        <v>0</v>
      </c>
      <c r="AN648" s="16" t="s">
        <v>64</v>
      </c>
      <c r="AO648" s="16" t="s">
        <v>64</v>
      </c>
    </row>
    <row r="649" spans="1:41" s="15" customFormat="1" ht="14.5" x14ac:dyDescent="0.35">
      <c r="A649" s="27" t="s">
        <v>1974</v>
      </c>
      <c r="B649" s="16" t="s">
        <v>42</v>
      </c>
      <c r="C649" s="16" t="s">
        <v>93</v>
      </c>
      <c r="D649" s="16" t="s">
        <v>281</v>
      </c>
      <c r="E649" s="16"/>
      <c r="F649" s="16">
        <v>0</v>
      </c>
      <c r="G649" s="30" t="s">
        <v>1975</v>
      </c>
      <c r="H649" s="16">
        <v>0</v>
      </c>
      <c r="I649" s="16" t="s">
        <v>1972</v>
      </c>
      <c r="J649" s="16">
        <v>100</v>
      </c>
      <c r="K649" s="16">
        <v>0</v>
      </c>
      <c r="L649" s="16">
        <v>0</v>
      </c>
      <c r="M649" s="8">
        <v>0</v>
      </c>
      <c r="N649" s="21">
        <v>45169</v>
      </c>
      <c r="O649" s="7">
        <f t="shared" si="40"/>
        <v>31</v>
      </c>
      <c r="P649" s="22">
        <f t="shared" si="41"/>
        <v>1</v>
      </c>
      <c r="Q649" s="22">
        <f t="shared" si="42"/>
        <v>31</v>
      </c>
      <c r="R649" s="16">
        <v>0</v>
      </c>
      <c r="S649" s="29">
        <v>4.8680000000000003</v>
      </c>
      <c r="T649" s="29">
        <v>-74.063999999999993</v>
      </c>
      <c r="U649" s="22">
        <v>0</v>
      </c>
      <c r="V649" s="22">
        <v>0</v>
      </c>
      <c r="W649" s="25">
        <v>0</v>
      </c>
      <c r="X649" s="24">
        <v>0</v>
      </c>
      <c r="Y649" s="24">
        <v>0</v>
      </c>
      <c r="Z649" s="24">
        <v>0</v>
      </c>
      <c r="AA649" s="24">
        <v>0</v>
      </c>
      <c r="AB649" s="24">
        <v>0</v>
      </c>
      <c r="AC649" s="24">
        <v>0</v>
      </c>
      <c r="AD649" s="24">
        <v>0</v>
      </c>
      <c r="AE649" s="24">
        <v>0</v>
      </c>
      <c r="AF649" s="24">
        <v>0</v>
      </c>
      <c r="AG649" s="16">
        <v>0</v>
      </c>
      <c r="AH649" s="16" t="s">
        <v>64</v>
      </c>
      <c r="AI649" s="16" t="s">
        <v>1972</v>
      </c>
      <c r="AJ649" s="16" t="s">
        <v>124</v>
      </c>
      <c r="AK649" s="16" t="s">
        <v>51</v>
      </c>
      <c r="AL649" s="25">
        <v>204160</v>
      </c>
      <c r="AM649" s="43">
        <f t="shared" si="43"/>
        <v>0</v>
      </c>
      <c r="AN649" s="16" t="s">
        <v>64</v>
      </c>
      <c r="AO649" s="16" t="s">
        <v>64</v>
      </c>
    </row>
    <row r="650" spans="1:41" s="15" customFormat="1" ht="14.5" x14ac:dyDescent="0.35">
      <c r="A650" s="27" t="s">
        <v>1976</v>
      </c>
      <c r="B650" s="16" t="s">
        <v>1970</v>
      </c>
      <c r="C650" s="16" t="s">
        <v>43</v>
      </c>
      <c r="D650" s="16" t="s">
        <v>44</v>
      </c>
      <c r="E650" s="16" t="s">
        <v>1968</v>
      </c>
      <c r="F650" s="16">
        <v>2</v>
      </c>
      <c r="G650" s="30" t="s">
        <v>1977</v>
      </c>
      <c r="H650" s="16">
        <v>0</v>
      </c>
      <c r="I650" s="16" t="s">
        <v>102</v>
      </c>
      <c r="J650" s="16">
        <v>84.96</v>
      </c>
      <c r="K650" s="16">
        <v>0</v>
      </c>
      <c r="L650" s="16">
        <v>0</v>
      </c>
      <c r="M650" s="8">
        <v>0</v>
      </c>
      <c r="N650" s="21">
        <v>45136</v>
      </c>
      <c r="O650" s="7">
        <f t="shared" si="40"/>
        <v>29</v>
      </c>
      <c r="P650" s="22">
        <f t="shared" si="41"/>
        <v>3</v>
      </c>
      <c r="Q650" s="22">
        <f t="shared" si="42"/>
        <v>31</v>
      </c>
      <c r="R650" s="16">
        <v>0</v>
      </c>
      <c r="S650" s="29">
        <v>4.6740000000000004</v>
      </c>
      <c r="T650" s="29">
        <v>-74.153000000000006</v>
      </c>
      <c r="U650" s="22">
        <v>0</v>
      </c>
      <c r="V650" s="22">
        <v>0</v>
      </c>
      <c r="W650" s="25">
        <v>0</v>
      </c>
      <c r="X650" s="24">
        <v>0</v>
      </c>
      <c r="Y650" s="24">
        <v>0</v>
      </c>
      <c r="Z650" s="24">
        <v>0</v>
      </c>
      <c r="AA650" s="24">
        <v>0</v>
      </c>
      <c r="AB650" s="24">
        <v>0</v>
      </c>
      <c r="AC650" s="24">
        <v>0</v>
      </c>
      <c r="AD650" s="24">
        <v>0</v>
      </c>
      <c r="AE650" s="24">
        <v>0</v>
      </c>
      <c r="AF650" s="24">
        <v>0</v>
      </c>
      <c r="AG650" s="16">
        <v>0</v>
      </c>
      <c r="AH650" s="16" t="s">
        <v>64</v>
      </c>
      <c r="AI650" s="16" t="s">
        <v>1972</v>
      </c>
      <c r="AJ650" s="16" t="s">
        <v>50</v>
      </c>
      <c r="AK650" s="16" t="s">
        <v>51</v>
      </c>
      <c r="AL650" s="25">
        <v>232000</v>
      </c>
      <c r="AM650" s="43">
        <f t="shared" si="43"/>
        <v>0</v>
      </c>
      <c r="AN650" s="16" t="s">
        <v>64</v>
      </c>
      <c r="AO650" s="16" t="s">
        <v>64</v>
      </c>
    </row>
    <row r="651" spans="1:41" s="15" customFormat="1" ht="14.5" x14ac:dyDescent="0.35">
      <c r="A651" s="27" t="s">
        <v>1978</v>
      </c>
      <c r="B651" s="16" t="s">
        <v>1970</v>
      </c>
      <c r="C651" s="16" t="s">
        <v>43</v>
      </c>
      <c r="D651" s="16" t="s">
        <v>44</v>
      </c>
      <c r="E651" s="16" t="s">
        <v>79</v>
      </c>
      <c r="F651" s="16">
        <v>3</v>
      </c>
      <c r="G651" s="30" t="s">
        <v>1979</v>
      </c>
      <c r="H651" s="16">
        <v>0</v>
      </c>
      <c r="I651" s="16" t="s">
        <v>47</v>
      </c>
      <c r="J651" s="16">
        <v>146.61000000000001</v>
      </c>
      <c r="K651" s="16">
        <v>0</v>
      </c>
      <c r="L651" s="16">
        <v>0</v>
      </c>
      <c r="M651" s="8">
        <v>0</v>
      </c>
      <c r="N651" s="21">
        <v>45286</v>
      </c>
      <c r="O651" s="7">
        <f t="shared" si="40"/>
        <v>26</v>
      </c>
      <c r="P651" s="22">
        <f t="shared" si="41"/>
        <v>6</v>
      </c>
      <c r="Q651" s="22">
        <f t="shared" si="42"/>
        <v>31</v>
      </c>
      <c r="R651" s="16">
        <v>0</v>
      </c>
      <c r="S651" s="29">
        <v>4.6109999999999998</v>
      </c>
      <c r="T651" s="29">
        <v>-74.072999999999993</v>
      </c>
      <c r="U651" s="22">
        <v>0</v>
      </c>
      <c r="V651" s="22">
        <v>0</v>
      </c>
      <c r="W651" s="25">
        <v>0</v>
      </c>
      <c r="X651" s="24">
        <v>0</v>
      </c>
      <c r="Y651" s="24">
        <v>0</v>
      </c>
      <c r="Z651" s="24">
        <v>0</v>
      </c>
      <c r="AA651" s="24">
        <v>0</v>
      </c>
      <c r="AB651" s="24">
        <v>0</v>
      </c>
      <c r="AC651" s="24">
        <v>0</v>
      </c>
      <c r="AD651" s="24">
        <v>0</v>
      </c>
      <c r="AE651" s="24">
        <v>0</v>
      </c>
      <c r="AF651" s="24">
        <v>0</v>
      </c>
      <c r="AG651" s="16">
        <v>0</v>
      </c>
      <c r="AH651" s="16" t="s">
        <v>58</v>
      </c>
      <c r="AI651" s="16" t="s">
        <v>1972</v>
      </c>
      <c r="AJ651" s="16" t="s">
        <v>50</v>
      </c>
      <c r="AK651" s="16" t="s">
        <v>51</v>
      </c>
      <c r="AL651" s="25">
        <v>232000</v>
      </c>
      <c r="AM651" s="43">
        <f t="shared" si="43"/>
        <v>0</v>
      </c>
      <c r="AN651" s="16" t="s">
        <v>64</v>
      </c>
      <c r="AO651" s="16" t="s">
        <v>64</v>
      </c>
    </row>
    <row r="652" spans="1:41" s="15" customFormat="1" ht="14.5" x14ac:dyDescent="0.35">
      <c r="A652" s="27" t="s">
        <v>1980</v>
      </c>
      <c r="B652" s="16" t="s">
        <v>1970</v>
      </c>
      <c r="C652" s="16" t="s">
        <v>43</v>
      </c>
      <c r="D652" s="16" t="s">
        <v>44</v>
      </c>
      <c r="E652" s="16" t="s">
        <v>705</v>
      </c>
      <c r="F652" s="16">
        <v>3</v>
      </c>
      <c r="G652" s="30" t="s">
        <v>1981</v>
      </c>
      <c r="H652" s="16">
        <v>0</v>
      </c>
      <c r="I652" s="16" t="s">
        <v>47</v>
      </c>
      <c r="J652" s="16">
        <v>105.02</v>
      </c>
      <c r="K652" s="16">
        <v>1465</v>
      </c>
      <c r="L652" s="16">
        <v>1445</v>
      </c>
      <c r="M652" s="8">
        <v>0</v>
      </c>
      <c r="N652" s="21">
        <v>44902</v>
      </c>
      <c r="O652" s="7">
        <f t="shared" si="40"/>
        <v>7</v>
      </c>
      <c r="P652" s="22">
        <f t="shared" si="41"/>
        <v>25</v>
      </c>
      <c r="Q652" s="22">
        <f t="shared" si="42"/>
        <v>31</v>
      </c>
      <c r="R652" s="16">
        <v>0</v>
      </c>
      <c r="S652" s="29">
        <v>4.7050000000000001</v>
      </c>
      <c r="T652" s="29">
        <v>-74.117000000000004</v>
      </c>
      <c r="U652" s="22">
        <v>0</v>
      </c>
      <c r="V652" s="22">
        <v>0</v>
      </c>
      <c r="W652" s="25">
        <v>0</v>
      </c>
      <c r="X652" s="24">
        <v>0</v>
      </c>
      <c r="Y652" s="24">
        <v>0</v>
      </c>
      <c r="Z652" s="24">
        <v>0</v>
      </c>
      <c r="AA652" s="24">
        <v>0</v>
      </c>
      <c r="AB652" s="24">
        <v>0</v>
      </c>
      <c r="AC652" s="24">
        <v>0</v>
      </c>
      <c r="AD652" s="24">
        <v>0</v>
      </c>
      <c r="AE652" s="24">
        <v>0</v>
      </c>
      <c r="AF652" s="24">
        <v>0</v>
      </c>
      <c r="AG652" s="16">
        <v>0</v>
      </c>
      <c r="AH652" s="16" t="s">
        <v>64</v>
      </c>
      <c r="AI652" s="16" t="s">
        <v>1972</v>
      </c>
      <c r="AJ652" s="16" t="s">
        <v>50</v>
      </c>
      <c r="AK652" s="16" t="s">
        <v>1972</v>
      </c>
      <c r="AL652" s="25">
        <v>232000</v>
      </c>
      <c r="AM652" s="43">
        <f t="shared" si="43"/>
        <v>0</v>
      </c>
      <c r="AN652" s="16" t="s">
        <v>64</v>
      </c>
      <c r="AO652" s="16" t="s">
        <v>64</v>
      </c>
    </row>
    <row r="653" spans="1:41" s="15" customFormat="1" ht="14.5" x14ac:dyDescent="0.35">
      <c r="A653" s="27" t="s">
        <v>1982</v>
      </c>
      <c r="B653" s="16" t="s">
        <v>119</v>
      </c>
      <c r="C653" s="16" t="s">
        <v>120</v>
      </c>
      <c r="D653" s="16" t="s">
        <v>121</v>
      </c>
      <c r="E653" s="16"/>
      <c r="F653" s="16">
        <v>0</v>
      </c>
      <c r="G653" s="30" t="s">
        <v>1983</v>
      </c>
      <c r="H653" s="16">
        <v>0</v>
      </c>
      <c r="I653" s="16" t="s">
        <v>47</v>
      </c>
      <c r="J653" s="16">
        <v>100</v>
      </c>
      <c r="K653" s="16">
        <v>0</v>
      </c>
      <c r="L653" s="16">
        <v>0</v>
      </c>
      <c r="M653" s="8">
        <v>0</v>
      </c>
      <c r="N653" s="21">
        <v>45010</v>
      </c>
      <c r="O653" s="7">
        <f t="shared" si="40"/>
        <v>25</v>
      </c>
      <c r="P653" s="22">
        <f t="shared" si="41"/>
        <v>7</v>
      </c>
      <c r="Q653" s="22">
        <f t="shared" si="42"/>
        <v>31</v>
      </c>
      <c r="R653" s="16">
        <v>0</v>
      </c>
      <c r="S653" s="29">
        <v>7.1260000000000003</v>
      </c>
      <c r="T653" s="29">
        <v>-73.126000000000005</v>
      </c>
      <c r="U653" s="22">
        <v>0</v>
      </c>
      <c r="V653" s="22">
        <v>0</v>
      </c>
      <c r="W653" s="25">
        <v>0</v>
      </c>
      <c r="X653" s="24">
        <v>0</v>
      </c>
      <c r="Y653" s="24">
        <v>0</v>
      </c>
      <c r="Z653" s="24">
        <v>0</v>
      </c>
      <c r="AA653" s="24">
        <v>0</v>
      </c>
      <c r="AB653" s="24">
        <v>0</v>
      </c>
      <c r="AC653" s="24">
        <v>0</v>
      </c>
      <c r="AD653" s="24">
        <v>0</v>
      </c>
      <c r="AE653" s="24">
        <v>0</v>
      </c>
      <c r="AF653" s="24">
        <v>0</v>
      </c>
      <c r="AG653" s="16">
        <v>0</v>
      </c>
      <c r="AH653" s="16" t="s">
        <v>136</v>
      </c>
      <c r="AI653" s="16" t="s">
        <v>1972</v>
      </c>
      <c r="AJ653" s="16" t="s">
        <v>50</v>
      </c>
      <c r="AK653" s="16" t="s">
        <v>71</v>
      </c>
      <c r="AL653" s="25">
        <v>232000</v>
      </c>
      <c r="AM653" s="43">
        <f t="shared" si="43"/>
        <v>0</v>
      </c>
      <c r="AN653" s="16" t="s">
        <v>64</v>
      </c>
      <c r="AO653" s="16" t="s">
        <v>64</v>
      </c>
    </row>
    <row r="654" spans="1:41" s="15" customFormat="1" ht="14.5" x14ac:dyDescent="0.35">
      <c r="A654" s="27" t="s">
        <v>1984</v>
      </c>
      <c r="B654" s="16" t="s">
        <v>1970</v>
      </c>
      <c r="C654" s="16" t="s">
        <v>43</v>
      </c>
      <c r="D654" s="16" t="s">
        <v>44</v>
      </c>
      <c r="E654" s="16" t="s">
        <v>330</v>
      </c>
      <c r="F654" s="16">
        <v>5</v>
      </c>
      <c r="G654" s="30" t="s">
        <v>1985</v>
      </c>
      <c r="H654" s="16" t="s">
        <v>1986</v>
      </c>
      <c r="I654" s="16" t="s">
        <v>47</v>
      </c>
      <c r="J654" s="16">
        <v>168.51</v>
      </c>
      <c r="K654" s="16">
        <v>0</v>
      </c>
      <c r="L654" s="16">
        <v>0</v>
      </c>
      <c r="M654" s="8">
        <v>0</v>
      </c>
      <c r="N654" s="21">
        <v>45818</v>
      </c>
      <c r="O654" s="7">
        <f t="shared" si="40"/>
        <v>10</v>
      </c>
      <c r="P654" s="22">
        <f t="shared" si="41"/>
        <v>21</v>
      </c>
      <c r="Q654" s="22">
        <f t="shared" si="42"/>
        <v>30</v>
      </c>
      <c r="R654" s="16">
        <v>0</v>
      </c>
      <c r="S654" s="29">
        <v>4.6890000000000001</v>
      </c>
      <c r="T654" s="29">
        <v>-74.063000000000002</v>
      </c>
      <c r="U654" s="22">
        <v>0</v>
      </c>
      <c r="V654" s="22">
        <v>0</v>
      </c>
      <c r="W654" s="25">
        <v>0</v>
      </c>
      <c r="X654" s="24">
        <v>0</v>
      </c>
      <c r="Y654" s="24">
        <v>0</v>
      </c>
      <c r="Z654" s="24">
        <v>0</v>
      </c>
      <c r="AA654" s="24">
        <v>0</v>
      </c>
      <c r="AB654" s="24">
        <v>0</v>
      </c>
      <c r="AC654" s="24">
        <v>0</v>
      </c>
      <c r="AD654" s="24">
        <v>0</v>
      </c>
      <c r="AE654" s="24">
        <v>0</v>
      </c>
      <c r="AF654" s="24">
        <v>0</v>
      </c>
      <c r="AG654" s="16">
        <v>0</v>
      </c>
      <c r="AH654" s="16" t="s">
        <v>90</v>
      </c>
      <c r="AI654" s="16" t="s">
        <v>1972</v>
      </c>
      <c r="AJ654" s="16" t="s">
        <v>124</v>
      </c>
      <c r="AK654" s="16" t="s">
        <v>71</v>
      </c>
      <c r="AL654" s="25">
        <v>204160</v>
      </c>
      <c r="AM654" s="43">
        <f t="shared" si="43"/>
        <v>0</v>
      </c>
      <c r="AN654" s="16" t="s">
        <v>64</v>
      </c>
      <c r="AO654" s="16" t="s">
        <v>64</v>
      </c>
    </row>
    <row r="655" spans="1:41" s="15" customFormat="1" ht="14.5" x14ac:dyDescent="0.35">
      <c r="A655" s="27" t="s">
        <v>1987</v>
      </c>
      <c r="B655" s="16" t="s">
        <v>183</v>
      </c>
      <c r="C655" s="16" t="s">
        <v>184</v>
      </c>
      <c r="D655" s="16" t="s">
        <v>185</v>
      </c>
      <c r="E655" s="16" t="s">
        <v>186</v>
      </c>
      <c r="F655" s="16">
        <v>5</v>
      </c>
      <c r="G655" s="30" t="s">
        <v>1988</v>
      </c>
      <c r="H655" s="16" t="s">
        <v>1989</v>
      </c>
      <c r="I655" s="16" t="s">
        <v>102</v>
      </c>
      <c r="J655" s="16">
        <v>139.88999999999999</v>
      </c>
      <c r="K655" s="16">
        <v>142</v>
      </c>
      <c r="L655" s="16">
        <v>1874</v>
      </c>
      <c r="M655" s="8">
        <v>0</v>
      </c>
      <c r="N655" s="21">
        <v>45709</v>
      </c>
      <c r="O655" s="7">
        <f t="shared" si="40"/>
        <v>21</v>
      </c>
      <c r="P655" s="22">
        <f t="shared" si="41"/>
        <v>8</v>
      </c>
      <c r="Q655" s="22">
        <f t="shared" si="42"/>
        <v>28</v>
      </c>
      <c r="R655" s="16">
        <v>0</v>
      </c>
      <c r="S655" s="29">
        <v>11.002000000000001</v>
      </c>
      <c r="T655" s="29">
        <v>-74.816999999999993</v>
      </c>
      <c r="U655" s="22">
        <v>0</v>
      </c>
      <c r="V655" s="22">
        <v>0</v>
      </c>
      <c r="W655" s="25">
        <v>0</v>
      </c>
      <c r="X655" s="24">
        <v>0</v>
      </c>
      <c r="Y655" s="24">
        <v>0</v>
      </c>
      <c r="Z655" s="24">
        <v>0</v>
      </c>
      <c r="AA655" s="24">
        <v>0</v>
      </c>
      <c r="AB655" s="24">
        <v>0</v>
      </c>
      <c r="AC655" s="24">
        <v>0</v>
      </c>
      <c r="AD655" s="24">
        <v>0</v>
      </c>
      <c r="AE655" s="24">
        <v>0</v>
      </c>
      <c r="AF655" s="24">
        <v>0</v>
      </c>
      <c r="AG655" s="16">
        <v>0</v>
      </c>
      <c r="AH655" s="16" t="s">
        <v>64</v>
      </c>
      <c r="AI655" s="16" t="s">
        <v>1972</v>
      </c>
      <c r="AJ655" s="16" t="s">
        <v>50</v>
      </c>
      <c r="AK655" s="16" t="s">
        <v>1972</v>
      </c>
      <c r="AL655" s="25">
        <v>232000</v>
      </c>
      <c r="AM655" s="43">
        <f t="shared" si="43"/>
        <v>0</v>
      </c>
      <c r="AN655" s="16" t="s">
        <v>64</v>
      </c>
      <c r="AO655" s="16" t="s">
        <v>64</v>
      </c>
    </row>
    <row r="656" spans="1:41" s="15" customFormat="1" ht="14.5" x14ac:dyDescent="0.35">
      <c r="A656" s="27" t="s">
        <v>1990</v>
      </c>
      <c r="B656" s="16" t="s">
        <v>55</v>
      </c>
      <c r="C656" s="16" t="s">
        <v>93</v>
      </c>
      <c r="D656" s="16" t="s">
        <v>94</v>
      </c>
      <c r="E656" s="16"/>
      <c r="F656" s="16">
        <v>0</v>
      </c>
      <c r="G656" s="30" t="s">
        <v>1991</v>
      </c>
      <c r="H656" s="16">
        <v>0</v>
      </c>
      <c r="I656" s="16" t="s">
        <v>47</v>
      </c>
      <c r="J656" s="16">
        <v>100</v>
      </c>
      <c r="K656" s="16">
        <v>0</v>
      </c>
      <c r="L656" s="16">
        <v>0</v>
      </c>
      <c r="M656" s="8">
        <v>0</v>
      </c>
      <c r="N656" s="21">
        <v>45199</v>
      </c>
      <c r="O656" s="7">
        <f t="shared" si="40"/>
        <v>30</v>
      </c>
      <c r="P656" s="22">
        <f t="shared" si="41"/>
        <v>1</v>
      </c>
      <c r="Q656" s="22">
        <f t="shared" si="42"/>
        <v>30</v>
      </c>
      <c r="R656" s="16">
        <v>0</v>
      </c>
      <c r="S656" s="29">
        <v>4.2919999999999998</v>
      </c>
      <c r="T656" s="29">
        <v>-74.804000000000002</v>
      </c>
      <c r="U656" s="22">
        <v>0</v>
      </c>
      <c r="V656" s="22">
        <v>0</v>
      </c>
      <c r="W656" s="25">
        <v>0</v>
      </c>
      <c r="X656" s="24">
        <v>0</v>
      </c>
      <c r="Y656" s="24">
        <v>0</v>
      </c>
      <c r="Z656" s="24">
        <v>0</v>
      </c>
      <c r="AA656" s="24">
        <v>0</v>
      </c>
      <c r="AB656" s="24">
        <v>0</v>
      </c>
      <c r="AC656" s="24">
        <v>0</v>
      </c>
      <c r="AD656" s="24">
        <v>0</v>
      </c>
      <c r="AE656" s="24">
        <v>0</v>
      </c>
      <c r="AF656" s="24">
        <v>0</v>
      </c>
      <c r="AG656" s="16">
        <v>0</v>
      </c>
      <c r="AH656" s="16" t="s">
        <v>64</v>
      </c>
      <c r="AI656" s="16" t="s">
        <v>1972</v>
      </c>
      <c r="AJ656" s="16" t="s">
        <v>50</v>
      </c>
      <c r="AK656" s="16" t="s">
        <v>51</v>
      </c>
      <c r="AL656" s="25">
        <v>232000</v>
      </c>
      <c r="AM656" s="43">
        <f t="shared" si="43"/>
        <v>0</v>
      </c>
      <c r="AN656" s="16" t="s">
        <v>64</v>
      </c>
      <c r="AO656" s="16" t="s">
        <v>64</v>
      </c>
    </row>
    <row r="657" spans="1:41" s="15" customFormat="1" ht="14.5" x14ac:dyDescent="0.35">
      <c r="A657" s="27" t="s">
        <v>1992</v>
      </c>
      <c r="B657" s="16" t="s">
        <v>183</v>
      </c>
      <c r="C657" s="16" t="s">
        <v>184</v>
      </c>
      <c r="D657" s="16" t="s">
        <v>185</v>
      </c>
      <c r="E657" s="16" t="s">
        <v>186</v>
      </c>
      <c r="F657" s="16">
        <v>6</v>
      </c>
      <c r="G657" s="30" t="s">
        <v>1993</v>
      </c>
      <c r="H657" s="16">
        <v>0</v>
      </c>
      <c r="I657" s="16" t="s">
        <v>47</v>
      </c>
      <c r="J657" s="16">
        <v>123.8</v>
      </c>
      <c r="K657" s="16">
        <v>0</v>
      </c>
      <c r="L657" s="16">
        <v>0</v>
      </c>
      <c r="M657" s="8">
        <v>0</v>
      </c>
      <c r="N657" s="21">
        <v>45472</v>
      </c>
      <c r="O657" s="7">
        <f t="shared" si="40"/>
        <v>29</v>
      </c>
      <c r="P657" s="22">
        <f t="shared" si="41"/>
        <v>2</v>
      </c>
      <c r="Q657" s="22">
        <f t="shared" si="42"/>
        <v>30</v>
      </c>
      <c r="R657" s="16">
        <v>0</v>
      </c>
      <c r="S657" s="29">
        <v>11.007999999999999</v>
      </c>
      <c r="T657" s="29">
        <v>-74.816999999999993</v>
      </c>
      <c r="U657" s="22">
        <v>0</v>
      </c>
      <c r="V657" s="22">
        <v>0</v>
      </c>
      <c r="W657" s="25">
        <v>0</v>
      </c>
      <c r="X657" s="24">
        <v>0</v>
      </c>
      <c r="Y657" s="24">
        <v>0</v>
      </c>
      <c r="Z657" s="24">
        <v>0</v>
      </c>
      <c r="AA657" s="24">
        <v>0</v>
      </c>
      <c r="AB657" s="24">
        <v>0</v>
      </c>
      <c r="AC657" s="24">
        <v>0</v>
      </c>
      <c r="AD657" s="24">
        <v>0</v>
      </c>
      <c r="AE657" s="24">
        <v>0</v>
      </c>
      <c r="AF657" s="24">
        <v>0</v>
      </c>
      <c r="AG657" s="16">
        <v>0</v>
      </c>
      <c r="AH657" s="16" t="s">
        <v>58</v>
      </c>
      <c r="AI657" s="16" t="s">
        <v>1972</v>
      </c>
      <c r="AJ657" s="16" t="s">
        <v>50</v>
      </c>
      <c r="AK657" s="16" t="s">
        <v>1994</v>
      </c>
      <c r="AL657" s="25">
        <v>232000</v>
      </c>
      <c r="AM657" s="43">
        <f t="shared" si="43"/>
        <v>0</v>
      </c>
      <c r="AN657" s="16" t="s">
        <v>64</v>
      </c>
      <c r="AO657" s="16" t="s">
        <v>64</v>
      </c>
    </row>
    <row r="658" spans="1:41" s="15" customFormat="1" ht="14.5" x14ac:dyDescent="0.35">
      <c r="A658" s="27" t="s">
        <v>1995</v>
      </c>
      <c r="B658" s="16" t="s">
        <v>183</v>
      </c>
      <c r="C658" s="16" t="s">
        <v>184</v>
      </c>
      <c r="D658" s="16" t="s">
        <v>185</v>
      </c>
      <c r="E658" s="16" t="s">
        <v>186</v>
      </c>
      <c r="F658" s="16">
        <v>4</v>
      </c>
      <c r="G658" s="30" t="s">
        <v>1996</v>
      </c>
      <c r="H658" s="16">
        <v>0</v>
      </c>
      <c r="I658" s="16" t="s">
        <v>102</v>
      </c>
      <c r="J658" s="16">
        <v>159.49</v>
      </c>
      <c r="K658" s="16">
        <v>0</v>
      </c>
      <c r="L658" s="16">
        <v>0</v>
      </c>
      <c r="M658" s="8">
        <v>0</v>
      </c>
      <c r="N658" s="21">
        <v>45590</v>
      </c>
      <c r="O658" s="7">
        <f t="shared" si="40"/>
        <v>25</v>
      </c>
      <c r="P658" s="22">
        <f t="shared" si="41"/>
        <v>7</v>
      </c>
      <c r="Q658" s="22">
        <f t="shared" si="42"/>
        <v>31</v>
      </c>
      <c r="R658" s="16">
        <v>0</v>
      </c>
      <c r="S658" s="29">
        <v>10.986000000000001</v>
      </c>
      <c r="T658" s="29">
        <v>-74.814999999999998</v>
      </c>
      <c r="U658" s="22">
        <v>0</v>
      </c>
      <c r="V658" s="22">
        <v>0</v>
      </c>
      <c r="W658" s="25">
        <v>0</v>
      </c>
      <c r="X658" s="24">
        <v>0</v>
      </c>
      <c r="Y658" s="24">
        <v>0</v>
      </c>
      <c r="Z658" s="24">
        <v>0</v>
      </c>
      <c r="AA658" s="24">
        <v>0</v>
      </c>
      <c r="AB658" s="24">
        <v>0</v>
      </c>
      <c r="AC658" s="24">
        <v>0</v>
      </c>
      <c r="AD658" s="24">
        <v>0</v>
      </c>
      <c r="AE658" s="24">
        <v>0</v>
      </c>
      <c r="AF658" s="24">
        <v>0</v>
      </c>
      <c r="AG658" s="16">
        <v>0</v>
      </c>
      <c r="AH658" s="16" t="s">
        <v>64</v>
      </c>
      <c r="AI658" s="16" t="s">
        <v>1972</v>
      </c>
      <c r="AJ658" s="16" t="s">
        <v>76</v>
      </c>
      <c r="AK658" s="16" t="s">
        <v>1972</v>
      </c>
      <c r="AL658" s="25">
        <v>241405</v>
      </c>
      <c r="AM658" s="43">
        <f t="shared" si="43"/>
        <v>0</v>
      </c>
      <c r="AN658" s="16" t="s">
        <v>64</v>
      </c>
      <c r="AO658" s="16" t="s">
        <v>64</v>
      </c>
    </row>
    <row r="659" spans="1:41" s="15" customFormat="1" ht="14.5" x14ac:dyDescent="0.35">
      <c r="A659" s="27" t="s">
        <v>1997</v>
      </c>
      <c r="B659" s="16" t="s">
        <v>119</v>
      </c>
      <c r="C659" s="16" t="s">
        <v>184</v>
      </c>
      <c r="D659" s="16" t="s">
        <v>121</v>
      </c>
      <c r="E659" s="16"/>
      <c r="F659" s="16">
        <v>0</v>
      </c>
      <c r="G659" s="30" t="s">
        <v>1998</v>
      </c>
      <c r="H659" s="16">
        <v>0</v>
      </c>
      <c r="I659" s="16" t="s">
        <v>47</v>
      </c>
      <c r="J659" s="16">
        <v>100</v>
      </c>
      <c r="K659" s="16">
        <v>0</v>
      </c>
      <c r="L659" s="16">
        <v>0</v>
      </c>
      <c r="M659" s="8">
        <v>0</v>
      </c>
      <c r="N659" s="21">
        <v>45169</v>
      </c>
      <c r="O659" s="7">
        <f t="shared" si="40"/>
        <v>31</v>
      </c>
      <c r="P659" s="22">
        <f t="shared" si="41"/>
        <v>1</v>
      </c>
      <c r="Q659" s="22">
        <f t="shared" si="42"/>
        <v>31</v>
      </c>
      <c r="R659" s="16">
        <v>0</v>
      </c>
      <c r="S659" s="29">
        <v>7.0869999999999997</v>
      </c>
      <c r="T659" s="29">
        <v>-73.117999999999995</v>
      </c>
      <c r="U659" s="22">
        <v>0</v>
      </c>
      <c r="V659" s="22">
        <v>0</v>
      </c>
      <c r="W659" s="25">
        <v>0</v>
      </c>
      <c r="X659" s="24">
        <v>0</v>
      </c>
      <c r="Y659" s="24">
        <v>0</v>
      </c>
      <c r="Z659" s="24">
        <v>0</v>
      </c>
      <c r="AA659" s="24">
        <v>0</v>
      </c>
      <c r="AB659" s="24">
        <v>0</v>
      </c>
      <c r="AC659" s="24">
        <v>0</v>
      </c>
      <c r="AD659" s="24">
        <v>0</v>
      </c>
      <c r="AE659" s="24">
        <v>0</v>
      </c>
      <c r="AF659" s="24">
        <v>0</v>
      </c>
      <c r="AG659" s="16">
        <v>0</v>
      </c>
      <c r="AH659" s="16" t="s">
        <v>64</v>
      </c>
      <c r="AI659" s="16" t="s">
        <v>1972</v>
      </c>
      <c r="AJ659" s="16" t="s">
        <v>1972</v>
      </c>
      <c r="AK659" s="16" t="s">
        <v>1972</v>
      </c>
      <c r="AL659" s="25" t="s">
        <v>1973</v>
      </c>
      <c r="AM659" s="43">
        <f t="shared" si="43"/>
        <v>0</v>
      </c>
      <c r="AN659" s="16" t="s">
        <v>64</v>
      </c>
      <c r="AO659" s="16" t="s">
        <v>64</v>
      </c>
    </row>
    <row r="660" spans="1:41" s="15" customFormat="1" ht="14.5" x14ac:dyDescent="0.35">
      <c r="A660" s="27" t="s">
        <v>1999</v>
      </c>
      <c r="B660" s="16" t="s">
        <v>1970</v>
      </c>
      <c r="C660" s="16" t="s">
        <v>43</v>
      </c>
      <c r="D660" s="16" t="s">
        <v>44</v>
      </c>
      <c r="E660" s="16"/>
      <c r="F660" s="16">
        <v>0</v>
      </c>
      <c r="G660" s="30" t="s">
        <v>2000</v>
      </c>
      <c r="H660" s="16">
        <v>0</v>
      </c>
      <c r="I660" s="16" t="s">
        <v>1972</v>
      </c>
      <c r="J660" s="16">
        <v>100</v>
      </c>
      <c r="K660" s="16">
        <v>0</v>
      </c>
      <c r="L660" s="16">
        <v>0</v>
      </c>
      <c r="M660" s="8">
        <v>0</v>
      </c>
      <c r="N660" s="21">
        <v>42688</v>
      </c>
      <c r="O660" s="7">
        <f t="shared" si="40"/>
        <v>14</v>
      </c>
      <c r="P660" s="22">
        <f t="shared" si="41"/>
        <v>17</v>
      </c>
      <c r="Q660" s="22">
        <f t="shared" si="42"/>
        <v>30</v>
      </c>
      <c r="R660" s="16">
        <v>0</v>
      </c>
      <c r="S660" s="29">
        <v>4.6589999999999998</v>
      </c>
      <c r="T660" s="29">
        <v>-74.061999999999998</v>
      </c>
      <c r="U660" s="22">
        <v>0</v>
      </c>
      <c r="V660" s="22">
        <v>0</v>
      </c>
      <c r="W660" s="25">
        <v>0</v>
      </c>
      <c r="X660" s="24">
        <v>0</v>
      </c>
      <c r="Y660" s="24">
        <v>0</v>
      </c>
      <c r="Z660" s="24">
        <v>0</v>
      </c>
      <c r="AA660" s="24">
        <v>0</v>
      </c>
      <c r="AB660" s="24">
        <v>0</v>
      </c>
      <c r="AC660" s="24">
        <v>0</v>
      </c>
      <c r="AD660" s="24">
        <v>0</v>
      </c>
      <c r="AE660" s="24">
        <v>0</v>
      </c>
      <c r="AF660" s="24">
        <v>0</v>
      </c>
      <c r="AG660" s="16">
        <v>0</v>
      </c>
      <c r="AH660" s="16" t="s">
        <v>64</v>
      </c>
      <c r="AI660" s="16" t="s">
        <v>1972</v>
      </c>
      <c r="AJ660" s="16" t="s">
        <v>1972</v>
      </c>
      <c r="AK660" s="16" t="s">
        <v>1972</v>
      </c>
      <c r="AL660" s="25" t="s">
        <v>1973</v>
      </c>
      <c r="AM660" s="43">
        <f t="shared" si="43"/>
        <v>0</v>
      </c>
      <c r="AN660" s="16" t="s">
        <v>64</v>
      </c>
      <c r="AO660" s="16" t="s">
        <v>64</v>
      </c>
    </row>
    <row r="661" spans="1:41" s="15" customFormat="1" ht="14.5" x14ac:dyDescent="0.35">
      <c r="A661" s="27" t="s">
        <v>2001</v>
      </c>
      <c r="B661" s="16" t="s">
        <v>1970</v>
      </c>
      <c r="C661" s="16" t="s">
        <v>43</v>
      </c>
      <c r="D661" s="16" t="s">
        <v>44</v>
      </c>
      <c r="E661" s="16"/>
      <c r="F661" s="16">
        <v>0</v>
      </c>
      <c r="G661" s="30" t="s">
        <v>2002</v>
      </c>
      <c r="H661" s="16">
        <v>0</v>
      </c>
      <c r="I661" s="16" t="s">
        <v>1972</v>
      </c>
      <c r="J661" s="16">
        <v>100</v>
      </c>
      <c r="K661" s="16">
        <v>0</v>
      </c>
      <c r="L661" s="16">
        <v>0</v>
      </c>
      <c r="M661" s="8">
        <v>0</v>
      </c>
      <c r="N661" s="21">
        <v>42359</v>
      </c>
      <c r="O661" s="7">
        <f t="shared" si="40"/>
        <v>21</v>
      </c>
      <c r="P661" s="22">
        <f t="shared" si="41"/>
        <v>11</v>
      </c>
      <c r="Q661" s="22">
        <f t="shared" si="42"/>
        <v>31</v>
      </c>
      <c r="R661" s="16">
        <v>0</v>
      </c>
      <c r="S661" s="29">
        <v>4.6020000000000003</v>
      </c>
      <c r="T661" s="29">
        <v>-74.075000000000003</v>
      </c>
      <c r="U661" s="22">
        <v>0</v>
      </c>
      <c r="V661" s="22">
        <v>0</v>
      </c>
      <c r="W661" s="25">
        <v>0</v>
      </c>
      <c r="X661" s="24">
        <v>0</v>
      </c>
      <c r="Y661" s="24">
        <v>0</v>
      </c>
      <c r="Z661" s="24">
        <v>0</v>
      </c>
      <c r="AA661" s="24">
        <v>0</v>
      </c>
      <c r="AB661" s="24">
        <v>0</v>
      </c>
      <c r="AC661" s="24">
        <v>0</v>
      </c>
      <c r="AD661" s="24">
        <v>0</v>
      </c>
      <c r="AE661" s="24">
        <v>0</v>
      </c>
      <c r="AF661" s="24">
        <v>0</v>
      </c>
      <c r="AG661" s="16">
        <v>0</v>
      </c>
      <c r="AH661" s="16" t="s">
        <v>136</v>
      </c>
      <c r="AI661" s="16" t="s">
        <v>1972</v>
      </c>
      <c r="AJ661" s="16" t="s">
        <v>76</v>
      </c>
      <c r="AK661" s="16" t="s">
        <v>51</v>
      </c>
      <c r="AL661" s="25">
        <v>241405</v>
      </c>
      <c r="AM661" s="43">
        <f t="shared" si="43"/>
        <v>0</v>
      </c>
      <c r="AN661" s="16" t="s">
        <v>64</v>
      </c>
      <c r="AO661" s="16" t="s">
        <v>64</v>
      </c>
    </row>
    <row r="662" spans="1:41" s="15" customFormat="1" ht="14.5" x14ac:dyDescent="0.35">
      <c r="A662" s="27" t="s">
        <v>2003</v>
      </c>
      <c r="B662" s="16" t="s">
        <v>1970</v>
      </c>
      <c r="C662" s="16" t="s">
        <v>43</v>
      </c>
      <c r="D662" s="16" t="s">
        <v>44</v>
      </c>
      <c r="E662" s="16" t="s">
        <v>236</v>
      </c>
      <c r="F662" s="16">
        <v>3</v>
      </c>
      <c r="G662" s="30" t="s">
        <v>2004</v>
      </c>
      <c r="H662" s="16">
        <v>0</v>
      </c>
      <c r="I662" s="16" t="s">
        <v>47</v>
      </c>
      <c r="J662" s="16">
        <v>121.4</v>
      </c>
      <c r="K662" s="16">
        <v>0</v>
      </c>
      <c r="L662" s="16">
        <v>0</v>
      </c>
      <c r="M662" s="8">
        <v>0</v>
      </c>
      <c r="N662" s="21">
        <v>44764</v>
      </c>
      <c r="O662" s="7">
        <f t="shared" si="40"/>
        <v>22</v>
      </c>
      <c r="P662" s="22">
        <f t="shared" si="41"/>
        <v>10</v>
      </c>
      <c r="Q662" s="22">
        <f t="shared" si="42"/>
        <v>31</v>
      </c>
      <c r="R662" s="16">
        <v>0</v>
      </c>
      <c r="S662" s="29">
        <v>4.6849999999999996</v>
      </c>
      <c r="T662" s="29">
        <v>-74.111000000000004</v>
      </c>
      <c r="U662" s="22">
        <v>0</v>
      </c>
      <c r="V662" s="22">
        <v>0</v>
      </c>
      <c r="W662" s="25">
        <v>0</v>
      </c>
      <c r="X662" s="24">
        <v>0</v>
      </c>
      <c r="Y662" s="24">
        <v>0</v>
      </c>
      <c r="Z662" s="24">
        <v>0</v>
      </c>
      <c r="AA662" s="24">
        <v>0</v>
      </c>
      <c r="AB662" s="24">
        <v>0</v>
      </c>
      <c r="AC662" s="24">
        <v>0</v>
      </c>
      <c r="AD662" s="24">
        <v>0</v>
      </c>
      <c r="AE662" s="24">
        <v>0</v>
      </c>
      <c r="AF662" s="24">
        <v>0</v>
      </c>
      <c r="AG662" s="16">
        <v>0</v>
      </c>
      <c r="AH662" s="16" t="s">
        <v>58</v>
      </c>
      <c r="AI662" s="16" t="s">
        <v>1972</v>
      </c>
      <c r="AJ662" s="16" t="s">
        <v>124</v>
      </c>
      <c r="AK662" s="16" t="s">
        <v>1994</v>
      </c>
      <c r="AL662" s="25">
        <v>204160</v>
      </c>
      <c r="AM662" s="43">
        <f t="shared" si="43"/>
        <v>0</v>
      </c>
      <c r="AN662" s="16" t="s">
        <v>64</v>
      </c>
      <c r="AO662" s="16" t="s">
        <v>64</v>
      </c>
    </row>
    <row r="663" spans="1:41" s="15" customFormat="1" ht="14.5" x14ac:dyDescent="0.35">
      <c r="A663" s="27" t="s">
        <v>2005</v>
      </c>
      <c r="B663" s="16" t="s">
        <v>183</v>
      </c>
      <c r="C663" s="16" t="s">
        <v>184</v>
      </c>
      <c r="D663" s="16" t="s">
        <v>185</v>
      </c>
      <c r="E663" s="16" t="s">
        <v>186</v>
      </c>
      <c r="F663" s="16">
        <v>5</v>
      </c>
      <c r="G663" s="30" t="s">
        <v>2006</v>
      </c>
      <c r="H663" s="16" t="s">
        <v>2007</v>
      </c>
      <c r="I663" s="16" t="s">
        <v>47</v>
      </c>
      <c r="J663" s="16">
        <v>114.4</v>
      </c>
      <c r="K663" s="16">
        <v>0</v>
      </c>
      <c r="L663" s="16">
        <v>0</v>
      </c>
      <c r="M663" s="8">
        <v>0</v>
      </c>
      <c r="N663" s="21">
        <v>45560</v>
      </c>
      <c r="O663" s="7">
        <f t="shared" si="40"/>
        <v>25</v>
      </c>
      <c r="P663" s="22">
        <f t="shared" si="41"/>
        <v>6</v>
      </c>
      <c r="Q663" s="22">
        <f t="shared" si="42"/>
        <v>30</v>
      </c>
      <c r="R663" s="16">
        <v>0</v>
      </c>
      <c r="S663" s="29">
        <v>11.003</v>
      </c>
      <c r="T663" s="29">
        <v>-74.820999999999998</v>
      </c>
      <c r="U663" s="22">
        <v>0</v>
      </c>
      <c r="V663" s="22">
        <v>0</v>
      </c>
      <c r="W663" s="25">
        <v>0</v>
      </c>
      <c r="X663" s="24">
        <v>0</v>
      </c>
      <c r="Y663" s="24">
        <v>0</v>
      </c>
      <c r="Z663" s="24">
        <v>0</v>
      </c>
      <c r="AA663" s="24">
        <v>0</v>
      </c>
      <c r="AB663" s="24">
        <v>0</v>
      </c>
      <c r="AC663" s="24">
        <v>0</v>
      </c>
      <c r="AD663" s="24">
        <v>0</v>
      </c>
      <c r="AE663" s="24">
        <v>0</v>
      </c>
      <c r="AF663" s="24">
        <v>0</v>
      </c>
      <c r="AG663" s="16">
        <v>0</v>
      </c>
      <c r="AH663" s="16" t="s">
        <v>64</v>
      </c>
      <c r="AI663" s="16" t="s">
        <v>1972</v>
      </c>
      <c r="AJ663" s="16" t="s">
        <v>50</v>
      </c>
      <c r="AK663" s="16" t="s">
        <v>1994</v>
      </c>
      <c r="AL663" s="25">
        <v>232000</v>
      </c>
      <c r="AM663" s="43">
        <f t="shared" si="43"/>
        <v>0</v>
      </c>
      <c r="AN663" s="16" t="s">
        <v>64</v>
      </c>
      <c r="AO663" s="16" t="s">
        <v>64</v>
      </c>
    </row>
    <row r="664" spans="1:41" s="15" customFormat="1" ht="14.5" x14ac:dyDescent="0.35">
      <c r="A664" s="27" t="s">
        <v>2008</v>
      </c>
      <c r="B664" s="16" t="s">
        <v>1970</v>
      </c>
      <c r="C664" s="16" t="s">
        <v>43</v>
      </c>
      <c r="D664" s="16" t="s">
        <v>44</v>
      </c>
      <c r="E664" s="16" t="s">
        <v>447</v>
      </c>
      <c r="F664" s="16">
        <v>4</v>
      </c>
      <c r="G664" s="30" t="s">
        <v>2009</v>
      </c>
      <c r="H664" s="16" t="s">
        <v>2010</v>
      </c>
      <c r="I664" s="16" t="s">
        <v>47</v>
      </c>
      <c r="J664" s="16">
        <v>102.8</v>
      </c>
      <c r="K664" s="16">
        <v>0</v>
      </c>
      <c r="L664" s="16">
        <v>0</v>
      </c>
      <c r="M664" s="8">
        <v>0</v>
      </c>
      <c r="N664" s="21">
        <v>45628</v>
      </c>
      <c r="O664" s="7">
        <f t="shared" si="40"/>
        <v>2</v>
      </c>
      <c r="P664" s="22">
        <f t="shared" si="41"/>
        <v>30</v>
      </c>
      <c r="Q664" s="22">
        <f t="shared" si="42"/>
        <v>31</v>
      </c>
      <c r="R664" s="16">
        <v>0</v>
      </c>
      <c r="S664" s="29">
        <v>4.6890000000000001</v>
      </c>
      <c r="T664" s="29">
        <v>-74.069999999999993</v>
      </c>
      <c r="U664" s="22">
        <v>0</v>
      </c>
      <c r="V664" s="22">
        <v>0</v>
      </c>
      <c r="W664" s="25">
        <v>0</v>
      </c>
      <c r="X664" s="24">
        <v>0</v>
      </c>
      <c r="Y664" s="24">
        <v>0</v>
      </c>
      <c r="Z664" s="24">
        <v>0</v>
      </c>
      <c r="AA664" s="24">
        <v>0</v>
      </c>
      <c r="AB664" s="24">
        <v>0</v>
      </c>
      <c r="AC664" s="24">
        <v>0</v>
      </c>
      <c r="AD664" s="24">
        <v>0</v>
      </c>
      <c r="AE664" s="24">
        <v>0</v>
      </c>
      <c r="AF664" s="24">
        <v>0</v>
      </c>
      <c r="AG664" s="16">
        <v>0</v>
      </c>
      <c r="AH664" s="16" t="s">
        <v>64</v>
      </c>
      <c r="AI664" s="16" t="s">
        <v>1972</v>
      </c>
      <c r="AJ664" s="16" t="s">
        <v>76</v>
      </c>
      <c r="AK664" s="16" t="s">
        <v>1972</v>
      </c>
      <c r="AL664" s="25">
        <v>241405</v>
      </c>
      <c r="AM664" s="43">
        <f t="shared" si="43"/>
        <v>0</v>
      </c>
      <c r="AN664" s="16" t="s">
        <v>64</v>
      </c>
      <c r="AO664" s="16" t="s">
        <v>64</v>
      </c>
    </row>
    <row r="665" spans="1:41" s="15" customFormat="1" ht="14.5" x14ac:dyDescent="0.35">
      <c r="A665" s="27" t="s">
        <v>2011</v>
      </c>
      <c r="B665" s="16" t="s">
        <v>119</v>
      </c>
      <c r="C665" s="16" t="s">
        <v>120</v>
      </c>
      <c r="D665" s="16" t="s">
        <v>147</v>
      </c>
      <c r="E665" s="16"/>
      <c r="F665" s="16">
        <v>0</v>
      </c>
      <c r="G665" s="30" t="s">
        <v>2012</v>
      </c>
      <c r="H665" s="16">
        <v>0</v>
      </c>
      <c r="I665" s="16" t="s">
        <v>102</v>
      </c>
      <c r="J665" s="16">
        <v>100</v>
      </c>
      <c r="K665" s="16">
        <v>0</v>
      </c>
      <c r="L665" s="16">
        <v>0</v>
      </c>
      <c r="M665" s="8">
        <v>0</v>
      </c>
      <c r="N665" s="21">
        <v>45021</v>
      </c>
      <c r="O665" s="7">
        <f t="shared" si="40"/>
        <v>5</v>
      </c>
      <c r="P665" s="22">
        <f t="shared" si="41"/>
        <v>26</v>
      </c>
      <c r="Q665" s="22">
        <f t="shared" si="42"/>
        <v>30</v>
      </c>
      <c r="R665" s="16">
        <v>0</v>
      </c>
      <c r="S665" s="29">
        <v>6.9749999999999996</v>
      </c>
      <c r="T665" s="29">
        <v>-73.055000000000007</v>
      </c>
      <c r="U665" s="22">
        <v>0</v>
      </c>
      <c r="V665" s="22">
        <v>0</v>
      </c>
      <c r="W665" s="25">
        <v>0</v>
      </c>
      <c r="X665" s="24">
        <v>0</v>
      </c>
      <c r="Y665" s="24">
        <v>0</v>
      </c>
      <c r="Z665" s="24">
        <v>0</v>
      </c>
      <c r="AA665" s="24">
        <v>0</v>
      </c>
      <c r="AB665" s="24">
        <v>0</v>
      </c>
      <c r="AC665" s="24">
        <v>0</v>
      </c>
      <c r="AD665" s="24">
        <v>0</v>
      </c>
      <c r="AE665" s="24">
        <v>0</v>
      </c>
      <c r="AF665" s="24">
        <v>0</v>
      </c>
      <c r="AG665" s="16">
        <v>0</v>
      </c>
      <c r="AH665" s="16" t="s">
        <v>90</v>
      </c>
      <c r="AI665" s="16" t="s">
        <v>1972</v>
      </c>
      <c r="AJ665" s="16" t="s">
        <v>50</v>
      </c>
      <c r="AK665" s="16" t="s">
        <v>1994</v>
      </c>
      <c r="AL665" s="25">
        <v>232000</v>
      </c>
      <c r="AM665" s="43">
        <f t="shared" si="43"/>
        <v>0</v>
      </c>
      <c r="AN665" s="16" t="s">
        <v>64</v>
      </c>
      <c r="AO665" s="16" t="s">
        <v>64</v>
      </c>
    </row>
    <row r="666" spans="1:41" s="15" customFormat="1" ht="14.5" x14ac:dyDescent="0.35">
      <c r="A666" s="27" t="s">
        <v>2013</v>
      </c>
      <c r="B666" s="16" t="s">
        <v>105</v>
      </c>
      <c r="C666" s="16" t="s">
        <v>170</v>
      </c>
      <c r="D666" s="16" t="s">
        <v>171</v>
      </c>
      <c r="E666" s="16"/>
      <c r="F666" s="16">
        <v>5</v>
      </c>
      <c r="G666" s="30" t="s">
        <v>2014</v>
      </c>
      <c r="H666" s="16" t="s">
        <v>2015</v>
      </c>
      <c r="I666" s="16" t="s">
        <v>47</v>
      </c>
      <c r="J666" s="16">
        <v>140.88999999999999</v>
      </c>
      <c r="K666" s="16">
        <v>0</v>
      </c>
      <c r="L666" s="16">
        <v>0</v>
      </c>
      <c r="M666" s="8">
        <v>0</v>
      </c>
      <c r="N666" s="21">
        <v>45647</v>
      </c>
      <c r="O666" s="7">
        <f t="shared" si="40"/>
        <v>21</v>
      </c>
      <c r="P666" s="22">
        <f t="shared" si="41"/>
        <v>11</v>
      </c>
      <c r="Q666" s="22">
        <f t="shared" si="42"/>
        <v>31</v>
      </c>
      <c r="R666" s="16">
        <v>0</v>
      </c>
      <c r="S666" s="29">
        <v>5.0609999999999999</v>
      </c>
      <c r="T666" s="29">
        <v>-75.492999999999995</v>
      </c>
      <c r="U666" s="22">
        <v>0</v>
      </c>
      <c r="V666" s="22">
        <v>0</v>
      </c>
      <c r="W666" s="25">
        <v>0</v>
      </c>
      <c r="X666" s="24">
        <v>0</v>
      </c>
      <c r="Y666" s="24">
        <v>0</v>
      </c>
      <c r="Z666" s="24">
        <v>0</v>
      </c>
      <c r="AA666" s="24">
        <v>0</v>
      </c>
      <c r="AB666" s="24">
        <v>0</v>
      </c>
      <c r="AC666" s="24">
        <v>0</v>
      </c>
      <c r="AD666" s="24">
        <v>0</v>
      </c>
      <c r="AE666" s="24">
        <v>0</v>
      </c>
      <c r="AF666" s="24">
        <v>0</v>
      </c>
      <c r="AG666" s="16">
        <v>0</v>
      </c>
      <c r="AH666" s="16" t="s">
        <v>64</v>
      </c>
      <c r="AI666" s="16" t="s">
        <v>1972</v>
      </c>
      <c r="AJ666" s="16" t="s">
        <v>50</v>
      </c>
      <c r="AK666" s="16" t="s">
        <v>51</v>
      </c>
      <c r="AL666" s="25">
        <v>232000</v>
      </c>
      <c r="AM666" s="43">
        <f t="shared" si="43"/>
        <v>0</v>
      </c>
      <c r="AN666" s="16" t="s">
        <v>64</v>
      </c>
      <c r="AO666" s="16" t="s">
        <v>64</v>
      </c>
    </row>
    <row r="667" spans="1:41" s="15" customFormat="1" ht="14.5" x14ac:dyDescent="0.35">
      <c r="A667" s="27" t="s">
        <v>2016</v>
      </c>
      <c r="B667" s="16" t="s">
        <v>105</v>
      </c>
      <c r="C667" s="16" t="s">
        <v>2017</v>
      </c>
      <c r="D667" s="16" t="s">
        <v>178</v>
      </c>
      <c r="E667" s="16"/>
      <c r="F667" s="16">
        <v>5</v>
      </c>
      <c r="G667" s="30" t="s">
        <v>2018</v>
      </c>
      <c r="H667" s="16">
        <v>0</v>
      </c>
      <c r="I667" s="16" t="s">
        <v>47</v>
      </c>
      <c r="J667" s="16">
        <v>92.35</v>
      </c>
      <c r="K667" s="16">
        <v>0</v>
      </c>
      <c r="L667" s="16">
        <v>0</v>
      </c>
      <c r="M667" s="8">
        <v>0</v>
      </c>
      <c r="N667" s="21">
        <v>45104</v>
      </c>
      <c r="O667" s="7">
        <f t="shared" si="40"/>
        <v>27</v>
      </c>
      <c r="P667" s="22">
        <f t="shared" si="41"/>
        <v>4</v>
      </c>
      <c r="Q667" s="22">
        <f t="shared" si="42"/>
        <v>30</v>
      </c>
      <c r="R667" s="16">
        <v>0</v>
      </c>
      <c r="S667" s="29">
        <v>4.5549999999999997</v>
      </c>
      <c r="T667" s="29">
        <v>-75.658000000000001</v>
      </c>
      <c r="U667" s="22">
        <v>0</v>
      </c>
      <c r="V667" s="22">
        <v>0</v>
      </c>
      <c r="W667" s="25">
        <v>0</v>
      </c>
      <c r="X667" s="24">
        <v>0</v>
      </c>
      <c r="Y667" s="24">
        <v>0</v>
      </c>
      <c r="Z667" s="24">
        <v>0</v>
      </c>
      <c r="AA667" s="24">
        <v>0</v>
      </c>
      <c r="AB667" s="24">
        <v>0</v>
      </c>
      <c r="AC667" s="24">
        <v>0</v>
      </c>
      <c r="AD667" s="24">
        <v>0</v>
      </c>
      <c r="AE667" s="24">
        <v>0</v>
      </c>
      <c r="AF667" s="24">
        <v>0</v>
      </c>
      <c r="AG667" s="16">
        <v>0</v>
      </c>
      <c r="AH667" s="16" t="s">
        <v>64</v>
      </c>
      <c r="AI667" s="16" t="s">
        <v>1972</v>
      </c>
      <c r="AJ667" s="16" t="s">
        <v>50</v>
      </c>
      <c r="AK667" s="16" t="s">
        <v>1972</v>
      </c>
      <c r="AL667" s="25">
        <v>232000</v>
      </c>
      <c r="AM667" s="43">
        <f t="shared" si="43"/>
        <v>0</v>
      </c>
      <c r="AN667" s="16" t="s">
        <v>64</v>
      </c>
      <c r="AO667" s="16" t="s">
        <v>64</v>
      </c>
    </row>
    <row r="668" spans="1:41" s="15" customFormat="1" ht="14.5" x14ac:dyDescent="0.35">
      <c r="A668" s="27" t="s">
        <v>2019</v>
      </c>
      <c r="B668" s="16" t="s">
        <v>119</v>
      </c>
      <c r="C668" s="16" t="s">
        <v>120</v>
      </c>
      <c r="D668" s="16" t="s">
        <v>121</v>
      </c>
      <c r="E668" s="16"/>
      <c r="F668" s="16">
        <v>0</v>
      </c>
      <c r="G668" s="30" t="s">
        <v>2020</v>
      </c>
      <c r="H668" s="16">
        <v>0</v>
      </c>
      <c r="I668" s="16" t="s">
        <v>47</v>
      </c>
      <c r="J668" s="16">
        <v>100</v>
      </c>
      <c r="K668" s="16">
        <v>0</v>
      </c>
      <c r="L668" s="16">
        <v>0</v>
      </c>
      <c r="M668" s="8">
        <v>0</v>
      </c>
      <c r="N668" s="21">
        <v>44847</v>
      </c>
      <c r="O668" s="7">
        <f t="shared" si="40"/>
        <v>13</v>
      </c>
      <c r="P668" s="22">
        <f t="shared" si="41"/>
        <v>19</v>
      </c>
      <c r="Q668" s="22">
        <f t="shared" si="42"/>
        <v>31</v>
      </c>
      <c r="R668" s="16">
        <v>0</v>
      </c>
      <c r="S668" s="29">
        <v>7.13</v>
      </c>
      <c r="T668" s="29">
        <v>-73.123999999999995</v>
      </c>
      <c r="U668" s="22">
        <v>0</v>
      </c>
      <c r="V668" s="22">
        <v>0</v>
      </c>
      <c r="W668" s="25">
        <v>0</v>
      </c>
      <c r="X668" s="24">
        <v>0</v>
      </c>
      <c r="Y668" s="24">
        <v>0</v>
      </c>
      <c r="Z668" s="24">
        <v>0</v>
      </c>
      <c r="AA668" s="24">
        <v>0</v>
      </c>
      <c r="AB668" s="24">
        <v>0</v>
      </c>
      <c r="AC668" s="24">
        <v>0</v>
      </c>
      <c r="AD668" s="24">
        <v>0</v>
      </c>
      <c r="AE668" s="24">
        <v>0</v>
      </c>
      <c r="AF668" s="24">
        <v>0</v>
      </c>
      <c r="AG668" s="16">
        <v>0</v>
      </c>
      <c r="AH668" s="16" t="s">
        <v>64</v>
      </c>
      <c r="AI668" s="16" t="s">
        <v>1972</v>
      </c>
      <c r="AJ668" s="16" t="s">
        <v>1972</v>
      </c>
      <c r="AK668" s="16" t="s">
        <v>1972</v>
      </c>
      <c r="AL668" s="25" t="s">
        <v>1973</v>
      </c>
      <c r="AM668" s="43">
        <f t="shared" si="43"/>
        <v>0</v>
      </c>
      <c r="AN668" s="16" t="s">
        <v>64</v>
      </c>
      <c r="AO668" s="16" t="s">
        <v>64</v>
      </c>
    </row>
    <row r="669" spans="1:41" s="15" customFormat="1" ht="14.5" x14ac:dyDescent="0.35">
      <c r="A669" s="27" t="s">
        <v>2021</v>
      </c>
      <c r="B669" s="16" t="s">
        <v>1970</v>
      </c>
      <c r="C669" s="16" t="s">
        <v>43</v>
      </c>
      <c r="D669" s="16" t="s">
        <v>44</v>
      </c>
      <c r="E669" s="16"/>
      <c r="F669" s="16">
        <v>0</v>
      </c>
      <c r="G669" s="30" t="s">
        <v>2022</v>
      </c>
      <c r="H669" s="16">
        <v>0</v>
      </c>
      <c r="I669" s="16" t="s">
        <v>1972</v>
      </c>
      <c r="J669" s="16">
        <v>100</v>
      </c>
      <c r="K669" s="16">
        <v>0</v>
      </c>
      <c r="L669" s="16">
        <v>0</v>
      </c>
      <c r="M669" s="8">
        <v>0</v>
      </c>
      <c r="N669" s="21">
        <v>43789</v>
      </c>
      <c r="O669" s="7">
        <f t="shared" si="40"/>
        <v>20</v>
      </c>
      <c r="P669" s="22">
        <f t="shared" si="41"/>
        <v>11</v>
      </c>
      <c r="Q669" s="22">
        <f t="shared" si="42"/>
        <v>30</v>
      </c>
      <c r="R669" s="16">
        <v>0</v>
      </c>
      <c r="S669" s="29">
        <v>4.67</v>
      </c>
      <c r="T669" s="29">
        <v>-74.055000000000007</v>
      </c>
      <c r="U669" s="22">
        <v>0</v>
      </c>
      <c r="V669" s="22">
        <v>0</v>
      </c>
      <c r="W669" s="25">
        <v>0</v>
      </c>
      <c r="X669" s="24">
        <v>0</v>
      </c>
      <c r="Y669" s="24">
        <v>0</v>
      </c>
      <c r="Z669" s="24">
        <v>0</v>
      </c>
      <c r="AA669" s="24">
        <v>0</v>
      </c>
      <c r="AB669" s="24">
        <v>0</v>
      </c>
      <c r="AC669" s="24">
        <v>0</v>
      </c>
      <c r="AD669" s="24">
        <v>0</v>
      </c>
      <c r="AE669" s="24">
        <v>0</v>
      </c>
      <c r="AF669" s="24">
        <v>0</v>
      </c>
      <c r="AG669" s="16">
        <v>0</v>
      </c>
      <c r="AH669" s="16" t="s">
        <v>64</v>
      </c>
      <c r="AI669" s="16" t="s">
        <v>1972</v>
      </c>
      <c r="AJ669" s="16" t="s">
        <v>50</v>
      </c>
      <c r="AK669" s="16" t="s">
        <v>1972</v>
      </c>
      <c r="AL669" s="25">
        <v>232000</v>
      </c>
      <c r="AM669" s="43">
        <f t="shared" si="43"/>
        <v>0</v>
      </c>
      <c r="AN669" s="16" t="s">
        <v>64</v>
      </c>
      <c r="AO669" s="16" t="s">
        <v>64</v>
      </c>
    </row>
    <row r="670" spans="1:41" s="15" customFormat="1" ht="14.5" x14ac:dyDescent="0.35">
      <c r="A670" s="27" t="s">
        <v>2023</v>
      </c>
      <c r="B670" s="16" t="s">
        <v>42</v>
      </c>
      <c r="C670" s="16" t="s">
        <v>93</v>
      </c>
      <c r="D670" s="16" t="s">
        <v>426</v>
      </c>
      <c r="E670" s="16"/>
      <c r="F670" s="16">
        <v>0</v>
      </c>
      <c r="G670" s="30" t="s">
        <v>2024</v>
      </c>
      <c r="H670" s="16">
        <v>0</v>
      </c>
      <c r="I670" s="16" t="s">
        <v>47</v>
      </c>
      <c r="J670" s="16">
        <v>100</v>
      </c>
      <c r="K670" s="16">
        <v>0</v>
      </c>
      <c r="L670" s="16">
        <v>0</v>
      </c>
      <c r="M670" s="8">
        <v>0</v>
      </c>
      <c r="N670" s="21">
        <v>45073</v>
      </c>
      <c r="O670" s="7">
        <f t="shared" si="40"/>
        <v>27</v>
      </c>
      <c r="P670" s="22">
        <f t="shared" si="41"/>
        <v>5</v>
      </c>
      <c r="Q670" s="22">
        <f t="shared" si="42"/>
        <v>31</v>
      </c>
      <c r="R670" s="16">
        <v>0</v>
      </c>
      <c r="S670" s="29">
        <v>4.9329999999999998</v>
      </c>
      <c r="T670" s="29">
        <v>-74.043999999999997</v>
      </c>
      <c r="U670" s="22">
        <v>0</v>
      </c>
      <c r="V670" s="22">
        <v>0</v>
      </c>
      <c r="W670" s="25">
        <v>0</v>
      </c>
      <c r="X670" s="24">
        <v>0</v>
      </c>
      <c r="Y670" s="24">
        <v>0</v>
      </c>
      <c r="Z670" s="24">
        <v>0</v>
      </c>
      <c r="AA670" s="24">
        <v>0</v>
      </c>
      <c r="AB670" s="24">
        <v>0</v>
      </c>
      <c r="AC670" s="24">
        <v>0</v>
      </c>
      <c r="AD670" s="24">
        <v>0</v>
      </c>
      <c r="AE670" s="24">
        <v>0</v>
      </c>
      <c r="AF670" s="24">
        <v>0</v>
      </c>
      <c r="AG670" s="16">
        <v>0</v>
      </c>
      <c r="AH670" s="16" t="s">
        <v>64</v>
      </c>
      <c r="AI670" s="16" t="s">
        <v>1972</v>
      </c>
      <c r="AJ670" s="16" t="s">
        <v>1972</v>
      </c>
      <c r="AK670" s="16" t="s">
        <v>1972</v>
      </c>
      <c r="AL670" s="25" t="s">
        <v>1973</v>
      </c>
      <c r="AM670" s="43">
        <f t="shared" si="43"/>
        <v>0</v>
      </c>
      <c r="AN670" s="16" t="s">
        <v>64</v>
      </c>
      <c r="AO670" s="16" t="s">
        <v>64</v>
      </c>
    </row>
    <row r="671" spans="1:41" s="15" customFormat="1" ht="14.5" x14ac:dyDescent="0.35">
      <c r="A671" s="27" t="s">
        <v>2025</v>
      </c>
      <c r="B671" s="16" t="s">
        <v>119</v>
      </c>
      <c r="C671" s="16" t="s">
        <v>120</v>
      </c>
      <c r="D671" s="16" t="s">
        <v>121</v>
      </c>
      <c r="E671" s="16"/>
      <c r="F671" s="16">
        <v>0</v>
      </c>
      <c r="G671" s="30" t="s">
        <v>2026</v>
      </c>
      <c r="H671" s="16">
        <v>0</v>
      </c>
      <c r="I671" s="16" t="s">
        <v>1972</v>
      </c>
      <c r="J671" s="16">
        <v>100</v>
      </c>
      <c r="K671" s="16">
        <v>0</v>
      </c>
      <c r="L671" s="16">
        <v>0</v>
      </c>
      <c r="M671" s="8">
        <v>0</v>
      </c>
      <c r="N671" s="21">
        <v>44495</v>
      </c>
      <c r="O671" s="7">
        <f t="shared" si="40"/>
        <v>26</v>
      </c>
      <c r="P671" s="22">
        <f t="shared" si="41"/>
        <v>6</v>
      </c>
      <c r="Q671" s="22">
        <f t="shared" si="42"/>
        <v>31</v>
      </c>
      <c r="R671" s="16">
        <v>0</v>
      </c>
      <c r="S671" s="29">
        <v>4.6470000000000002</v>
      </c>
      <c r="T671" s="29">
        <v>-74.093000000000004</v>
      </c>
      <c r="U671" s="22">
        <v>0</v>
      </c>
      <c r="V671" s="22">
        <v>0</v>
      </c>
      <c r="W671" s="25">
        <v>0</v>
      </c>
      <c r="X671" s="24">
        <v>0</v>
      </c>
      <c r="Y671" s="24">
        <v>0</v>
      </c>
      <c r="Z671" s="24">
        <v>0</v>
      </c>
      <c r="AA671" s="24">
        <v>0</v>
      </c>
      <c r="AB671" s="24">
        <v>0</v>
      </c>
      <c r="AC671" s="24">
        <v>0</v>
      </c>
      <c r="AD671" s="24">
        <v>0</v>
      </c>
      <c r="AE671" s="24">
        <v>0</v>
      </c>
      <c r="AF671" s="24">
        <v>0</v>
      </c>
      <c r="AG671" s="16">
        <v>0</v>
      </c>
      <c r="AH671" s="16" t="s">
        <v>58</v>
      </c>
      <c r="AI671" s="16" t="s">
        <v>1972</v>
      </c>
      <c r="AJ671" s="16" t="s">
        <v>50</v>
      </c>
      <c r="AK671" s="16" t="s">
        <v>51</v>
      </c>
      <c r="AL671" s="25">
        <v>232000</v>
      </c>
      <c r="AM671" s="43">
        <f t="shared" si="43"/>
        <v>0</v>
      </c>
      <c r="AN671" s="16" t="s">
        <v>64</v>
      </c>
      <c r="AO671" s="16" t="s">
        <v>64</v>
      </c>
    </row>
    <row r="672" spans="1:41" s="15" customFormat="1" ht="14.5" x14ac:dyDescent="0.35">
      <c r="A672" s="27" t="s">
        <v>2027</v>
      </c>
      <c r="B672" s="16" t="s">
        <v>1970</v>
      </c>
      <c r="C672" s="16" t="s">
        <v>43</v>
      </c>
      <c r="D672" s="16" t="s">
        <v>44</v>
      </c>
      <c r="E672" s="16" t="s">
        <v>85</v>
      </c>
      <c r="F672" s="16">
        <v>3</v>
      </c>
      <c r="G672" s="30" t="s">
        <v>2028</v>
      </c>
      <c r="H672" s="16">
        <v>0</v>
      </c>
      <c r="I672" s="16" t="s">
        <v>47</v>
      </c>
      <c r="J672" s="16">
        <v>91.32</v>
      </c>
      <c r="K672" s="16">
        <v>0</v>
      </c>
      <c r="L672" s="16">
        <v>0</v>
      </c>
      <c r="M672" s="8">
        <v>0</v>
      </c>
      <c r="N672" s="21">
        <v>45408</v>
      </c>
      <c r="O672" s="7">
        <f t="shared" si="40"/>
        <v>26</v>
      </c>
      <c r="P672" s="22">
        <f t="shared" si="41"/>
        <v>5</v>
      </c>
      <c r="Q672" s="22">
        <f t="shared" si="42"/>
        <v>30</v>
      </c>
      <c r="R672" s="16">
        <v>0</v>
      </c>
      <c r="S672" s="29">
        <v>4.6210000000000004</v>
      </c>
      <c r="T672" s="29">
        <v>-74.165999999999997</v>
      </c>
      <c r="U672" s="22">
        <v>0</v>
      </c>
      <c r="V672" s="22">
        <v>0</v>
      </c>
      <c r="W672" s="25">
        <v>0</v>
      </c>
      <c r="X672" s="24">
        <v>0</v>
      </c>
      <c r="Y672" s="24">
        <v>0</v>
      </c>
      <c r="Z672" s="24">
        <v>0</v>
      </c>
      <c r="AA672" s="24">
        <v>0</v>
      </c>
      <c r="AB672" s="24">
        <v>0</v>
      </c>
      <c r="AC672" s="24">
        <v>0</v>
      </c>
      <c r="AD672" s="24">
        <v>0</v>
      </c>
      <c r="AE672" s="24">
        <v>0</v>
      </c>
      <c r="AF672" s="24">
        <v>0</v>
      </c>
      <c r="AG672" s="16">
        <v>0</v>
      </c>
      <c r="AH672" s="16" t="s">
        <v>58</v>
      </c>
      <c r="AI672" s="16" t="s">
        <v>1972</v>
      </c>
      <c r="AJ672" s="16" t="s">
        <v>50</v>
      </c>
      <c r="AK672" s="16" t="s">
        <v>51</v>
      </c>
      <c r="AL672" s="25">
        <v>232000</v>
      </c>
      <c r="AM672" s="43">
        <f t="shared" si="43"/>
        <v>0</v>
      </c>
      <c r="AN672" s="16" t="s">
        <v>64</v>
      </c>
      <c r="AO672" s="16" t="s">
        <v>64</v>
      </c>
    </row>
    <row r="673" spans="1:41" s="15" customFormat="1" ht="14.5" x14ac:dyDescent="0.35">
      <c r="A673" s="27" t="s">
        <v>2029</v>
      </c>
      <c r="B673" s="16" t="s">
        <v>105</v>
      </c>
      <c r="C673" s="16" t="s">
        <v>2017</v>
      </c>
      <c r="D673" s="16" t="s">
        <v>178</v>
      </c>
      <c r="E673" s="16"/>
      <c r="F673" s="16">
        <v>5</v>
      </c>
      <c r="G673" s="30" t="s">
        <v>2030</v>
      </c>
      <c r="H673" s="16">
        <v>0</v>
      </c>
      <c r="I673" s="16" t="s">
        <v>47</v>
      </c>
      <c r="J673" s="16">
        <v>116.16</v>
      </c>
      <c r="K673" s="16">
        <v>0</v>
      </c>
      <c r="L673" s="16">
        <v>0</v>
      </c>
      <c r="M673" s="8">
        <v>0</v>
      </c>
      <c r="N673" s="21">
        <v>45275</v>
      </c>
      <c r="O673" s="7">
        <f t="shared" si="40"/>
        <v>15</v>
      </c>
      <c r="P673" s="22">
        <f t="shared" si="41"/>
        <v>17</v>
      </c>
      <c r="Q673" s="22">
        <f t="shared" si="42"/>
        <v>31</v>
      </c>
      <c r="R673" s="16">
        <v>0</v>
      </c>
      <c r="S673" s="29">
        <v>4.5359999999999996</v>
      </c>
      <c r="T673" s="29">
        <v>-75.664000000000001</v>
      </c>
      <c r="U673" s="22">
        <v>0</v>
      </c>
      <c r="V673" s="22">
        <v>0</v>
      </c>
      <c r="W673" s="25">
        <v>0</v>
      </c>
      <c r="X673" s="24">
        <v>0</v>
      </c>
      <c r="Y673" s="24">
        <v>0</v>
      </c>
      <c r="Z673" s="24">
        <v>0</v>
      </c>
      <c r="AA673" s="24">
        <v>0</v>
      </c>
      <c r="AB673" s="24">
        <v>0</v>
      </c>
      <c r="AC673" s="24">
        <v>0</v>
      </c>
      <c r="AD673" s="24">
        <v>0</v>
      </c>
      <c r="AE673" s="24">
        <v>0</v>
      </c>
      <c r="AF673" s="24">
        <v>0</v>
      </c>
      <c r="AG673" s="16">
        <v>0</v>
      </c>
      <c r="AH673" s="16" t="s">
        <v>58</v>
      </c>
      <c r="AI673" s="16" t="s">
        <v>1972</v>
      </c>
      <c r="AJ673" s="16" t="s">
        <v>50</v>
      </c>
      <c r="AK673" s="16" t="s">
        <v>1994</v>
      </c>
      <c r="AL673" s="25">
        <v>232000</v>
      </c>
      <c r="AM673" s="43">
        <f t="shared" si="43"/>
        <v>0</v>
      </c>
      <c r="AN673" s="16" t="s">
        <v>64</v>
      </c>
      <c r="AO673" s="16" t="s">
        <v>64</v>
      </c>
    </row>
    <row r="674" spans="1:41" s="15" customFormat="1" ht="14.5" x14ac:dyDescent="0.35">
      <c r="A674" s="27" t="s">
        <v>2031</v>
      </c>
      <c r="B674" s="16" t="s">
        <v>105</v>
      </c>
      <c r="C674" s="16" t="s">
        <v>112</v>
      </c>
      <c r="D674" s="16" t="s">
        <v>113</v>
      </c>
      <c r="E674" s="16" t="s">
        <v>114</v>
      </c>
      <c r="F674" s="16">
        <v>4</v>
      </c>
      <c r="G674" s="30" t="s">
        <v>2032</v>
      </c>
      <c r="H674" s="16" t="s">
        <v>2033</v>
      </c>
      <c r="I674" s="16" t="s">
        <v>47</v>
      </c>
      <c r="J674" s="16">
        <v>116</v>
      </c>
      <c r="K674" s="16">
        <v>0</v>
      </c>
      <c r="L674" s="16">
        <v>0</v>
      </c>
      <c r="M674" s="8">
        <v>0</v>
      </c>
      <c r="N674" s="21">
        <v>45582</v>
      </c>
      <c r="O674" s="7">
        <f t="shared" si="40"/>
        <v>17</v>
      </c>
      <c r="P674" s="22">
        <f t="shared" si="41"/>
        <v>15</v>
      </c>
      <c r="Q674" s="22">
        <f t="shared" si="42"/>
        <v>31</v>
      </c>
      <c r="R674" s="16">
        <v>0</v>
      </c>
      <c r="S674" s="29">
        <v>3.41</v>
      </c>
      <c r="T674" s="29">
        <v>-76.555999999999997</v>
      </c>
      <c r="U674" s="22">
        <v>0</v>
      </c>
      <c r="V674" s="22">
        <v>0</v>
      </c>
      <c r="W674" s="25">
        <v>0</v>
      </c>
      <c r="X674" s="24">
        <v>0</v>
      </c>
      <c r="Y674" s="24">
        <v>0</v>
      </c>
      <c r="Z674" s="24">
        <v>0</v>
      </c>
      <c r="AA674" s="24">
        <v>0</v>
      </c>
      <c r="AB674" s="24">
        <v>0</v>
      </c>
      <c r="AC674" s="24">
        <v>0</v>
      </c>
      <c r="AD674" s="24">
        <v>0</v>
      </c>
      <c r="AE674" s="24">
        <v>0</v>
      </c>
      <c r="AF674" s="24">
        <v>0</v>
      </c>
      <c r="AG674" s="16">
        <v>0</v>
      </c>
      <c r="AH674" s="16" t="s">
        <v>64</v>
      </c>
      <c r="AI674" s="16" t="s">
        <v>1972</v>
      </c>
      <c r="AJ674" s="16" t="s">
        <v>1972</v>
      </c>
      <c r="AK674" s="16" t="s">
        <v>1972</v>
      </c>
      <c r="AL674" s="25" t="s">
        <v>1973</v>
      </c>
      <c r="AM674" s="43">
        <f t="shared" si="43"/>
        <v>0</v>
      </c>
      <c r="AN674" s="16" t="s">
        <v>64</v>
      </c>
      <c r="AO674" s="16" t="s">
        <v>64</v>
      </c>
    </row>
    <row r="675" spans="1:41" s="15" customFormat="1" ht="14.5" x14ac:dyDescent="0.35">
      <c r="A675" s="27" t="s">
        <v>2034</v>
      </c>
      <c r="B675" s="16" t="s">
        <v>1970</v>
      </c>
      <c r="C675" s="16" t="s">
        <v>43</v>
      </c>
      <c r="D675" s="16" t="s">
        <v>44</v>
      </c>
      <c r="E675" s="16"/>
      <c r="F675" s="16">
        <v>0</v>
      </c>
      <c r="G675" s="30" t="s">
        <v>2035</v>
      </c>
      <c r="H675" s="16">
        <v>0</v>
      </c>
      <c r="I675" s="16" t="s">
        <v>1972</v>
      </c>
      <c r="J675" s="16">
        <v>100</v>
      </c>
      <c r="K675" s="16">
        <v>0</v>
      </c>
      <c r="L675" s="16">
        <v>0</v>
      </c>
      <c r="M675" s="8">
        <v>0</v>
      </c>
      <c r="N675" s="21">
        <v>43410</v>
      </c>
      <c r="O675" s="7">
        <f t="shared" si="40"/>
        <v>6</v>
      </c>
      <c r="P675" s="22">
        <f t="shared" si="41"/>
        <v>25</v>
      </c>
      <c r="Q675" s="22">
        <f t="shared" si="42"/>
        <v>30</v>
      </c>
      <c r="R675" s="16">
        <v>0</v>
      </c>
      <c r="S675" s="29">
        <v>4.6820000000000004</v>
      </c>
      <c r="T675" s="29">
        <v>-74.049000000000007</v>
      </c>
      <c r="U675" s="22">
        <v>0</v>
      </c>
      <c r="V675" s="22">
        <v>0</v>
      </c>
      <c r="W675" s="25">
        <v>0</v>
      </c>
      <c r="X675" s="24">
        <v>0</v>
      </c>
      <c r="Y675" s="24">
        <v>0</v>
      </c>
      <c r="Z675" s="24">
        <v>0</v>
      </c>
      <c r="AA675" s="24">
        <v>0</v>
      </c>
      <c r="AB675" s="24">
        <v>0</v>
      </c>
      <c r="AC675" s="24">
        <v>0</v>
      </c>
      <c r="AD675" s="24">
        <v>0</v>
      </c>
      <c r="AE675" s="24">
        <v>0</v>
      </c>
      <c r="AF675" s="24">
        <v>0</v>
      </c>
      <c r="AG675" s="16">
        <v>0</v>
      </c>
      <c r="AH675" s="16" t="s">
        <v>64</v>
      </c>
      <c r="AI675" s="16" t="s">
        <v>1972</v>
      </c>
      <c r="AJ675" s="16" t="s">
        <v>50</v>
      </c>
      <c r="AK675" s="16" t="s">
        <v>1972</v>
      </c>
      <c r="AL675" s="25">
        <v>232000</v>
      </c>
      <c r="AM675" s="43">
        <f t="shared" si="43"/>
        <v>0</v>
      </c>
      <c r="AN675" s="16" t="s">
        <v>64</v>
      </c>
      <c r="AO675" s="16" t="s">
        <v>64</v>
      </c>
    </row>
    <row r="676" spans="1:41" s="15" customFormat="1" ht="14.5" x14ac:dyDescent="0.35">
      <c r="A676" s="27" t="s">
        <v>2036</v>
      </c>
      <c r="B676" s="16" t="s">
        <v>105</v>
      </c>
      <c r="C676" s="16" t="s">
        <v>106</v>
      </c>
      <c r="D676" s="16" t="s">
        <v>298</v>
      </c>
      <c r="E676" s="16"/>
      <c r="F676" s="16">
        <v>0</v>
      </c>
      <c r="G676" s="30" t="s">
        <v>2037</v>
      </c>
      <c r="H676" s="16">
        <v>0</v>
      </c>
      <c r="I676" s="16" t="s">
        <v>47</v>
      </c>
      <c r="J676" s="16">
        <v>100</v>
      </c>
      <c r="K676" s="16">
        <v>0</v>
      </c>
      <c r="L676" s="16">
        <v>0</v>
      </c>
      <c r="M676" s="8">
        <v>0</v>
      </c>
      <c r="N676" s="21">
        <v>44887</v>
      </c>
      <c r="O676" s="7">
        <f t="shared" si="40"/>
        <v>22</v>
      </c>
      <c r="P676" s="22">
        <f t="shared" si="41"/>
        <v>9</v>
      </c>
      <c r="Q676" s="22">
        <f t="shared" si="42"/>
        <v>30</v>
      </c>
      <c r="R676" s="16">
        <v>0</v>
      </c>
      <c r="S676" s="29">
        <v>4.8109999999999999</v>
      </c>
      <c r="T676" s="29">
        <v>-75.701999999999998</v>
      </c>
      <c r="U676" s="22">
        <v>0</v>
      </c>
      <c r="V676" s="22">
        <v>0</v>
      </c>
      <c r="W676" s="25">
        <v>0</v>
      </c>
      <c r="X676" s="24">
        <v>0</v>
      </c>
      <c r="Y676" s="24">
        <v>0</v>
      </c>
      <c r="Z676" s="24">
        <v>0</v>
      </c>
      <c r="AA676" s="24">
        <v>0</v>
      </c>
      <c r="AB676" s="24">
        <v>0</v>
      </c>
      <c r="AC676" s="24">
        <v>0</v>
      </c>
      <c r="AD676" s="24">
        <v>0</v>
      </c>
      <c r="AE676" s="24">
        <v>0</v>
      </c>
      <c r="AF676" s="24">
        <v>0</v>
      </c>
      <c r="AG676" s="16">
        <v>0</v>
      </c>
      <c r="AH676" s="16" t="s">
        <v>64</v>
      </c>
      <c r="AI676" s="16" t="s">
        <v>1972</v>
      </c>
      <c r="AJ676" s="16" t="s">
        <v>50</v>
      </c>
      <c r="AK676" s="16" t="s">
        <v>51</v>
      </c>
      <c r="AL676" s="25">
        <v>232000</v>
      </c>
      <c r="AM676" s="43">
        <f t="shared" si="43"/>
        <v>0</v>
      </c>
      <c r="AN676" s="16" t="s">
        <v>64</v>
      </c>
      <c r="AO676" s="16" t="s">
        <v>64</v>
      </c>
    </row>
    <row r="677" spans="1:41" s="15" customFormat="1" ht="14.5" x14ac:dyDescent="0.35">
      <c r="A677" s="27" t="s">
        <v>2038</v>
      </c>
      <c r="B677" s="16" t="s">
        <v>42</v>
      </c>
      <c r="C677" s="16" t="s">
        <v>93</v>
      </c>
      <c r="D677" s="16" t="s">
        <v>281</v>
      </c>
      <c r="E677" s="16"/>
      <c r="F677" s="16">
        <v>3</v>
      </c>
      <c r="G677" s="30" t="s">
        <v>2039</v>
      </c>
      <c r="H677" s="16">
        <v>0</v>
      </c>
      <c r="I677" s="16" t="s">
        <v>47</v>
      </c>
      <c r="J677" s="16">
        <v>175.3</v>
      </c>
      <c r="K677" s="16">
        <v>0</v>
      </c>
      <c r="L677" s="16">
        <v>0</v>
      </c>
      <c r="M677" s="8">
        <v>0</v>
      </c>
      <c r="N677" s="21">
        <v>44901</v>
      </c>
      <c r="O677" s="7">
        <f t="shared" si="40"/>
        <v>6</v>
      </c>
      <c r="P677" s="22">
        <f t="shared" si="41"/>
        <v>26</v>
      </c>
      <c r="Q677" s="22">
        <f t="shared" si="42"/>
        <v>31</v>
      </c>
      <c r="R677" s="16">
        <v>0</v>
      </c>
      <c r="S677" s="29">
        <v>4.8550000000000004</v>
      </c>
      <c r="T677" s="29">
        <v>-74.064999999999998</v>
      </c>
      <c r="U677" s="22">
        <v>0</v>
      </c>
      <c r="V677" s="22">
        <v>0</v>
      </c>
      <c r="W677" s="25">
        <v>0</v>
      </c>
      <c r="X677" s="24">
        <v>0</v>
      </c>
      <c r="Y677" s="24">
        <v>0</v>
      </c>
      <c r="Z677" s="24">
        <v>0</v>
      </c>
      <c r="AA677" s="24">
        <v>0</v>
      </c>
      <c r="AB677" s="24">
        <v>0</v>
      </c>
      <c r="AC677" s="24">
        <v>0</v>
      </c>
      <c r="AD677" s="24">
        <v>0</v>
      </c>
      <c r="AE677" s="24">
        <v>0</v>
      </c>
      <c r="AF677" s="24">
        <v>0</v>
      </c>
      <c r="AG677" s="16">
        <v>0</v>
      </c>
      <c r="AH677" s="16" t="s">
        <v>64</v>
      </c>
      <c r="AI677" s="16" t="s">
        <v>1972</v>
      </c>
      <c r="AJ677" s="16" t="s">
        <v>50</v>
      </c>
      <c r="AK677" s="16" t="s">
        <v>1972</v>
      </c>
      <c r="AL677" s="25">
        <v>232000</v>
      </c>
      <c r="AM677" s="43">
        <f t="shared" si="43"/>
        <v>0</v>
      </c>
      <c r="AN677" s="16" t="s">
        <v>64</v>
      </c>
      <c r="AO677" s="16" t="s">
        <v>64</v>
      </c>
    </row>
    <row r="678" spans="1:41" s="15" customFormat="1" ht="14.5" x14ac:dyDescent="0.35">
      <c r="A678" s="27" t="s">
        <v>2040</v>
      </c>
      <c r="B678" s="16" t="s">
        <v>119</v>
      </c>
      <c r="C678" s="16" t="s">
        <v>120</v>
      </c>
      <c r="D678" s="16" t="s">
        <v>121</v>
      </c>
      <c r="E678" s="16"/>
      <c r="F678" s="16">
        <v>0</v>
      </c>
      <c r="G678" s="30" t="s">
        <v>2041</v>
      </c>
      <c r="H678" s="16">
        <v>0</v>
      </c>
      <c r="I678" s="16" t="s">
        <v>102</v>
      </c>
      <c r="J678" s="16">
        <v>100</v>
      </c>
      <c r="K678" s="16">
        <v>0</v>
      </c>
      <c r="L678" s="16">
        <v>0</v>
      </c>
      <c r="M678" s="8">
        <v>0</v>
      </c>
      <c r="N678" s="21">
        <v>45041</v>
      </c>
      <c r="O678" s="7">
        <f t="shared" si="40"/>
        <v>25</v>
      </c>
      <c r="P678" s="22">
        <f t="shared" si="41"/>
        <v>6</v>
      </c>
      <c r="Q678" s="22">
        <f t="shared" si="42"/>
        <v>30</v>
      </c>
      <c r="R678" s="16">
        <v>0</v>
      </c>
      <c r="S678" s="29">
        <v>7.1029999999999998</v>
      </c>
      <c r="T678" s="29">
        <v>-73.114000000000004</v>
      </c>
      <c r="U678" s="22">
        <v>0</v>
      </c>
      <c r="V678" s="22">
        <v>0</v>
      </c>
      <c r="W678" s="25">
        <v>0</v>
      </c>
      <c r="X678" s="24">
        <v>0</v>
      </c>
      <c r="Y678" s="24">
        <v>0</v>
      </c>
      <c r="Z678" s="24">
        <v>0</v>
      </c>
      <c r="AA678" s="24">
        <v>0</v>
      </c>
      <c r="AB678" s="24">
        <v>0</v>
      </c>
      <c r="AC678" s="24">
        <v>0</v>
      </c>
      <c r="AD678" s="24">
        <v>0</v>
      </c>
      <c r="AE678" s="24">
        <v>0</v>
      </c>
      <c r="AF678" s="24">
        <v>0</v>
      </c>
      <c r="AG678" s="16">
        <v>0</v>
      </c>
      <c r="AH678" s="16" t="s">
        <v>58</v>
      </c>
      <c r="AI678" s="16" t="s">
        <v>1972</v>
      </c>
      <c r="AJ678" s="16" t="s">
        <v>50</v>
      </c>
      <c r="AK678" s="16" t="s">
        <v>1994</v>
      </c>
      <c r="AL678" s="25">
        <v>232000</v>
      </c>
      <c r="AM678" s="43">
        <f t="shared" si="43"/>
        <v>0</v>
      </c>
      <c r="AN678" s="16" t="s">
        <v>64</v>
      </c>
      <c r="AO678" s="16" t="s">
        <v>64</v>
      </c>
    </row>
    <row r="679" spans="1:41" s="15" customFormat="1" ht="14.5" x14ac:dyDescent="0.35">
      <c r="A679" s="27" t="s">
        <v>2042</v>
      </c>
      <c r="B679" s="16" t="s">
        <v>1970</v>
      </c>
      <c r="C679" s="16" t="s">
        <v>43</v>
      </c>
      <c r="D679" s="16" t="s">
        <v>44</v>
      </c>
      <c r="E679" s="16" t="s">
        <v>56</v>
      </c>
      <c r="F679" s="16">
        <v>3</v>
      </c>
      <c r="G679" s="30" t="s">
        <v>2043</v>
      </c>
      <c r="H679" s="16" t="s">
        <v>2044</v>
      </c>
      <c r="I679" s="16" t="s">
        <v>47</v>
      </c>
      <c r="J679" s="16">
        <v>161.52000000000001</v>
      </c>
      <c r="K679" s="16">
        <v>0</v>
      </c>
      <c r="L679" s="16">
        <v>0</v>
      </c>
      <c r="M679" s="8">
        <v>0</v>
      </c>
      <c r="N679" s="21">
        <v>45618</v>
      </c>
      <c r="O679" s="7">
        <f t="shared" si="40"/>
        <v>22</v>
      </c>
      <c r="P679" s="22">
        <f t="shared" si="41"/>
        <v>9</v>
      </c>
      <c r="Q679" s="22">
        <f t="shared" si="42"/>
        <v>30</v>
      </c>
      <c r="R679" s="16">
        <v>0</v>
      </c>
      <c r="S679" s="29">
        <v>4.5819999999999999</v>
      </c>
      <c r="T679" s="29">
        <v>-74.100999999999999</v>
      </c>
      <c r="U679" s="22">
        <v>0</v>
      </c>
      <c r="V679" s="22">
        <v>0</v>
      </c>
      <c r="W679" s="25">
        <v>0</v>
      </c>
      <c r="X679" s="24">
        <v>0</v>
      </c>
      <c r="Y679" s="24">
        <v>0</v>
      </c>
      <c r="Z679" s="24">
        <v>0</v>
      </c>
      <c r="AA679" s="24">
        <v>0</v>
      </c>
      <c r="AB679" s="24">
        <v>0</v>
      </c>
      <c r="AC679" s="24">
        <v>0</v>
      </c>
      <c r="AD679" s="24">
        <v>0</v>
      </c>
      <c r="AE679" s="24">
        <v>0</v>
      </c>
      <c r="AF679" s="24">
        <v>0</v>
      </c>
      <c r="AG679" s="16">
        <v>0</v>
      </c>
      <c r="AH679" s="16" t="s">
        <v>58</v>
      </c>
      <c r="AI679" s="16" t="s">
        <v>1972</v>
      </c>
      <c r="AJ679" s="16" t="s">
        <v>50</v>
      </c>
      <c r="AK679" s="16" t="s">
        <v>51</v>
      </c>
      <c r="AL679" s="25">
        <v>232000</v>
      </c>
      <c r="AM679" s="43">
        <f t="shared" si="43"/>
        <v>0</v>
      </c>
      <c r="AN679" s="16" t="s">
        <v>64</v>
      </c>
      <c r="AO679" s="16" t="s">
        <v>64</v>
      </c>
    </row>
    <row r="680" spans="1:41" s="15" customFormat="1" ht="14.5" x14ac:dyDescent="0.35">
      <c r="A680" s="27" t="s">
        <v>2045</v>
      </c>
      <c r="B680" s="16" t="s">
        <v>105</v>
      </c>
      <c r="C680" s="16" t="s">
        <v>170</v>
      </c>
      <c r="D680" s="16" t="s">
        <v>171</v>
      </c>
      <c r="E680" s="16"/>
      <c r="F680" s="16">
        <v>6</v>
      </c>
      <c r="G680" s="30" t="s">
        <v>2046</v>
      </c>
      <c r="H680" s="16">
        <v>0</v>
      </c>
      <c r="I680" s="16" t="s">
        <v>47</v>
      </c>
      <c r="J680" s="16">
        <v>108.24</v>
      </c>
      <c r="K680" s="16">
        <v>0</v>
      </c>
      <c r="L680" s="16">
        <v>0</v>
      </c>
      <c r="M680" s="8">
        <v>0</v>
      </c>
      <c r="N680" s="21">
        <v>45279</v>
      </c>
      <c r="O680" s="7">
        <f t="shared" si="40"/>
        <v>19</v>
      </c>
      <c r="P680" s="22">
        <f t="shared" si="41"/>
        <v>13</v>
      </c>
      <c r="Q680" s="22">
        <f t="shared" si="42"/>
        <v>31</v>
      </c>
      <c r="R680" s="16">
        <v>0</v>
      </c>
      <c r="S680" s="29">
        <v>5.0570000000000004</v>
      </c>
      <c r="T680" s="29">
        <v>-75.488</v>
      </c>
      <c r="U680" s="22">
        <v>0</v>
      </c>
      <c r="V680" s="22">
        <v>0</v>
      </c>
      <c r="W680" s="25">
        <v>0</v>
      </c>
      <c r="X680" s="24">
        <v>0</v>
      </c>
      <c r="Y680" s="24">
        <v>0</v>
      </c>
      <c r="Z680" s="24">
        <v>0</v>
      </c>
      <c r="AA680" s="24">
        <v>0</v>
      </c>
      <c r="AB680" s="24">
        <v>0</v>
      </c>
      <c r="AC680" s="24">
        <v>0</v>
      </c>
      <c r="AD680" s="24">
        <v>0</v>
      </c>
      <c r="AE680" s="24">
        <v>0</v>
      </c>
      <c r="AF680" s="24">
        <v>0</v>
      </c>
      <c r="AG680" s="16">
        <v>0</v>
      </c>
      <c r="AH680" s="16" t="s">
        <v>64</v>
      </c>
      <c r="AI680" s="16" t="s">
        <v>1972</v>
      </c>
      <c r="AJ680" s="16" t="s">
        <v>1972</v>
      </c>
      <c r="AK680" s="16" t="s">
        <v>1972</v>
      </c>
      <c r="AL680" s="25" t="s">
        <v>1973</v>
      </c>
      <c r="AM680" s="43">
        <f t="shared" si="43"/>
        <v>0</v>
      </c>
      <c r="AN680" s="16" t="s">
        <v>64</v>
      </c>
      <c r="AO680" s="16" t="s">
        <v>64</v>
      </c>
    </row>
    <row r="681" spans="1:41" s="15" customFormat="1" ht="14.5" x14ac:dyDescent="0.35">
      <c r="A681" s="27" t="s">
        <v>2047</v>
      </c>
      <c r="B681" s="16" t="s">
        <v>1970</v>
      </c>
      <c r="C681" s="16" t="s">
        <v>43</v>
      </c>
      <c r="D681" s="16" t="s">
        <v>44</v>
      </c>
      <c r="E681" s="16"/>
      <c r="F681" s="16">
        <v>0</v>
      </c>
      <c r="G681" s="30" t="s">
        <v>2048</v>
      </c>
      <c r="H681" s="16">
        <v>0</v>
      </c>
      <c r="I681" s="16" t="s">
        <v>1972</v>
      </c>
      <c r="J681" s="16">
        <v>100</v>
      </c>
      <c r="K681" s="16">
        <v>0</v>
      </c>
      <c r="L681" s="16">
        <v>0</v>
      </c>
      <c r="M681" s="8">
        <v>0</v>
      </c>
      <c r="N681" s="21">
        <v>43770</v>
      </c>
      <c r="O681" s="7">
        <f t="shared" si="40"/>
        <v>1</v>
      </c>
      <c r="P681" s="22">
        <f t="shared" si="41"/>
        <v>30</v>
      </c>
      <c r="Q681" s="22">
        <f t="shared" si="42"/>
        <v>30</v>
      </c>
      <c r="R681" s="16">
        <v>0</v>
      </c>
      <c r="S681" s="29">
        <v>4.6029999999999998</v>
      </c>
      <c r="T681" s="29">
        <v>-74.075999999999993</v>
      </c>
      <c r="U681" s="22">
        <v>0</v>
      </c>
      <c r="V681" s="22">
        <v>0</v>
      </c>
      <c r="W681" s="25">
        <v>0</v>
      </c>
      <c r="X681" s="24">
        <v>0</v>
      </c>
      <c r="Y681" s="24">
        <v>0</v>
      </c>
      <c r="Z681" s="24">
        <v>0</v>
      </c>
      <c r="AA681" s="24">
        <v>0</v>
      </c>
      <c r="AB681" s="24">
        <v>0</v>
      </c>
      <c r="AC681" s="24">
        <v>0</v>
      </c>
      <c r="AD681" s="24">
        <v>0</v>
      </c>
      <c r="AE681" s="24">
        <v>0</v>
      </c>
      <c r="AF681" s="24">
        <v>0</v>
      </c>
      <c r="AG681" s="16">
        <v>0</v>
      </c>
      <c r="AH681" s="16" t="s">
        <v>64</v>
      </c>
      <c r="AI681" s="16" t="s">
        <v>1972</v>
      </c>
      <c r="AJ681" s="16" t="s">
        <v>50</v>
      </c>
      <c r="AK681" s="16" t="s">
        <v>1972</v>
      </c>
      <c r="AL681" s="25">
        <v>232000</v>
      </c>
      <c r="AM681" s="43">
        <f t="shared" si="43"/>
        <v>0</v>
      </c>
      <c r="AN681" s="16" t="s">
        <v>64</v>
      </c>
      <c r="AO681" s="16" t="s">
        <v>64</v>
      </c>
    </row>
    <row r="682" spans="1:41" s="15" customFormat="1" ht="14.5" x14ac:dyDescent="0.35">
      <c r="A682" s="27" t="s">
        <v>2049</v>
      </c>
      <c r="B682" s="16" t="s">
        <v>119</v>
      </c>
      <c r="C682" s="16" t="s">
        <v>120</v>
      </c>
      <c r="D682" s="16" t="s">
        <v>121</v>
      </c>
      <c r="E682" s="16"/>
      <c r="F682" s="16">
        <v>0</v>
      </c>
      <c r="G682" s="30" t="s">
        <v>2050</v>
      </c>
      <c r="H682" s="16">
        <v>0</v>
      </c>
      <c r="I682" s="16" t="s">
        <v>718</v>
      </c>
      <c r="J682" s="16">
        <v>100</v>
      </c>
      <c r="K682" s="16">
        <v>0</v>
      </c>
      <c r="L682" s="16">
        <v>0</v>
      </c>
      <c r="M682" s="8">
        <v>0</v>
      </c>
      <c r="N682" s="21">
        <v>45289</v>
      </c>
      <c r="O682" s="7">
        <f t="shared" si="40"/>
        <v>29</v>
      </c>
      <c r="P682" s="22">
        <f t="shared" si="41"/>
        <v>3</v>
      </c>
      <c r="Q682" s="22">
        <f t="shared" si="42"/>
        <v>31</v>
      </c>
      <c r="R682" s="16">
        <v>0</v>
      </c>
      <c r="S682" s="29">
        <v>7.1310000000000002</v>
      </c>
      <c r="T682" s="29">
        <v>-73.125</v>
      </c>
      <c r="U682" s="22">
        <v>0</v>
      </c>
      <c r="V682" s="22">
        <v>0</v>
      </c>
      <c r="W682" s="25">
        <v>0</v>
      </c>
      <c r="X682" s="24">
        <v>0</v>
      </c>
      <c r="Y682" s="24">
        <v>0</v>
      </c>
      <c r="Z682" s="24">
        <v>0</v>
      </c>
      <c r="AA682" s="24">
        <v>0</v>
      </c>
      <c r="AB682" s="24">
        <v>0</v>
      </c>
      <c r="AC682" s="24">
        <v>0</v>
      </c>
      <c r="AD682" s="24">
        <v>0</v>
      </c>
      <c r="AE682" s="24">
        <v>0</v>
      </c>
      <c r="AF682" s="24">
        <v>0</v>
      </c>
      <c r="AG682" s="16">
        <v>0</v>
      </c>
      <c r="AH682" s="16" t="s">
        <v>64</v>
      </c>
      <c r="AI682" s="16" t="s">
        <v>1972</v>
      </c>
      <c r="AJ682" s="16" t="s">
        <v>50</v>
      </c>
      <c r="AK682" s="16" t="s">
        <v>71</v>
      </c>
      <c r="AL682" s="25">
        <v>232000</v>
      </c>
      <c r="AM682" s="43">
        <f t="shared" si="43"/>
        <v>0</v>
      </c>
      <c r="AN682" s="16" t="s">
        <v>64</v>
      </c>
      <c r="AO682" s="16" t="s">
        <v>64</v>
      </c>
    </row>
    <row r="683" spans="1:41" s="15" customFormat="1" ht="14.5" x14ac:dyDescent="0.35">
      <c r="A683" s="27" t="s">
        <v>2051</v>
      </c>
      <c r="B683" s="16" t="s">
        <v>105</v>
      </c>
      <c r="C683" s="16" t="s">
        <v>112</v>
      </c>
      <c r="D683" s="16" t="s">
        <v>113</v>
      </c>
      <c r="E683" s="16" t="s">
        <v>735</v>
      </c>
      <c r="F683" s="16">
        <v>5</v>
      </c>
      <c r="G683" s="30" t="s">
        <v>2052</v>
      </c>
      <c r="H683" s="16" t="s">
        <v>2053</v>
      </c>
      <c r="I683" s="16" t="s">
        <v>718</v>
      </c>
      <c r="J683" s="16">
        <v>110.36</v>
      </c>
      <c r="K683" s="16">
        <v>0</v>
      </c>
      <c r="L683" s="16">
        <v>0</v>
      </c>
      <c r="M683" s="8">
        <v>0</v>
      </c>
      <c r="N683" s="21">
        <v>45686</v>
      </c>
      <c r="O683" s="7">
        <f t="shared" si="40"/>
        <v>29</v>
      </c>
      <c r="P683" s="22">
        <f t="shared" si="41"/>
        <v>3</v>
      </c>
      <c r="Q683" s="22">
        <f t="shared" si="42"/>
        <v>31</v>
      </c>
      <c r="R683" s="16">
        <v>0</v>
      </c>
      <c r="S683" s="29">
        <v>3.3839999999999999</v>
      </c>
      <c r="T683" s="29">
        <v>-76.543999999999997</v>
      </c>
      <c r="U683" s="22">
        <v>0</v>
      </c>
      <c r="V683" s="22">
        <v>0</v>
      </c>
      <c r="W683" s="25">
        <v>0</v>
      </c>
      <c r="X683" s="24">
        <v>0</v>
      </c>
      <c r="Y683" s="24">
        <v>0</v>
      </c>
      <c r="Z683" s="24">
        <v>0</v>
      </c>
      <c r="AA683" s="24">
        <v>0</v>
      </c>
      <c r="AB683" s="24">
        <v>0</v>
      </c>
      <c r="AC683" s="24">
        <v>0</v>
      </c>
      <c r="AD683" s="24">
        <v>0</v>
      </c>
      <c r="AE683" s="24">
        <v>0</v>
      </c>
      <c r="AF683" s="24">
        <v>0</v>
      </c>
      <c r="AG683" s="16">
        <v>0</v>
      </c>
      <c r="AH683" s="16" t="s">
        <v>64</v>
      </c>
      <c r="AI683" s="16" t="s">
        <v>1972</v>
      </c>
      <c r="AJ683" s="16" t="s">
        <v>124</v>
      </c>
      <c r="AK683" s="16" t="s">
        <v>1972</v>
      </c>
      <c r="AL683" s="25">
        <v>204160</v>
      </c>
      <c r="AM683" s="43">
        <f t="shared" si="43"/>
        <v>0</v>
      </c>
      <c r="AN683" s="16" t="s">
        <v>64</v>
      </c>
      <c r="AO683" s="16" t="s">
        <v>64</v>
      </c>
    </row>
    <row r="684" spans="1:41" s="15" customFormat="1" ht="14.5" x14ac:dyDescent="0.35">
      <c r="A684" s="27" t="s">
        <v>2054</v>
      </c>
      <c r="B684" s="16" t="s">
        <v>55</v>
      </c>
      <c r="C684" s="16" t="s">
        <v>93</v>
      </c>
      <c r="D684" s="16" t="s">
        <v>2055</v>
      </c>
      <c r="E684" s="16"/>
      <c r="F684" s="16">
        <v>0</v>
      </c>
      <c r="G684" s="30" t="s">
        <v>2056</v>
      </c>
      <c r="H684" s="16">
        <v>0</v>
      </c>
      <c r="I684" s="16" t="s">
        <v>429</v>
      </c>
      <c r="J684" s="16">
        <v>100</v>
      </c>
      <c r="K684" s="16">
        <v>0</v>
      </c>
      <c r="L684" s="16">
        <v>0</v>
      </c>
      <c r="M684" s="8">
        <v>0</v>
      </c>
      <c r="N684" s="21">
        <v>45219</v>
      </c>
      <c r="O684" s="7">
        <f t="shared" si="40"/>
        <v>20</v>
      </c>
      <c r="P684" s="22">
        <f t="shared" si="41"/>
        <v>12</v>
      </c>
      <c r="Q684" s="22">
        <f t="shared" si="42"/>
        <v>31</v>
      </c>
      <c r="R684" s="16">
        <v>0</v>
      </c>
      <c r="S684" s="29">
        <v>4.2300000000000004</v>
      </c>
      <c r="T684" s="29">
        <v>-74.703999999999994</v>
      </c>
      <c r="U684" s="22">
        <v>0</v>
      </c>
      <c r="V684" s="22">
        <v>0</v>
      </c>
      <c r="W684" s="25">
        <v>0</v>
      </c>
      <c r="X684" s="24">
        <v>0</v>
      </c>
      <c r="Y684" s="24">
        <v>0</v>
      </c>
      <c r="Z684" s="24">
        <v>0</v>
      </c>
      <c r="AA684" s="24">
        <v>0</v>
      </c>
      <c r="AB684" s="24">
        <v>0</v>
      </c>
      <c r="AC684" s="24">
        <v>0</v>
      </c>
      <c r="AD684" s="24">
        <v>0</v>
      </c>
      <c r="AE684" s="24">
        <v>0</v>
      </c>
      <c r="AF684" s="24">
        <v>0</v>
      </c>
      <c r="AG684" s="16">
        <v>0</v>
      </c>
      <c r="AH684" s="16" t="s">
        <v>64</v>
      </c>
      <c r="AI684" s="16" t="s">
        <v>1972</v>
      </c>
      <c r="AJ684" s="16" t="s">
        <v>50</v>
      </c>
      <c r="AK684" s="16" t="s">
        <v>1994</v>
      </c>
      <c r="AL684" s="25">
        <v>232000</v>
      </c>
      <c r="AM684" s="43">
        <f t="shared" si="43"/>
        <v>0</v>
      </c>
      <c r="AN684" s="16" t="s">
        <v>64</v>
      </c>
      <c r="AO684" s="16" t="s">
        <v>64</v>
      </c>
    </row>
    <row r="685" spans="1:41" s="15" customFormat="1" ht="14.5" x14ac:dyDescent="0.35">
      <c r="A685" s="27" t="s">
        <v>2057</v>
      </c>
      <c r="B685" s="16" t="s">
        <v>105</v>
      </c>
      <c r="C685" s="16" t="s">
        <v>112</v>
      </c>
      <c r="D685" s="16" t="s">
        <v>113</v>
      </c>
      <c r="E685" s="16" t="s">
        <v>735</v>
      </c>
      <c r="F685" s="16">
        <v>5</v>
      </c>
      <c r="G685" s="30" t="s">
        <v>2058</v>
      </c>
      <c r="H685" s="16" t="s">
        <v>2059</v>
      </c>
      <c r="I685" s="16" t="s">
        <v>718</v>
      </c>
      <c r="J685" s="16">
        <v>121.91</v>
      </c>
      <c r="K685" s="16">
        <v>0</v>
      </c>
      <c r="L685" s="16">
        <v>0</v>
      </c>
      <c r="M685" s="8">
        <v>0</v>
      </c>
      <c r="N685" s="21">
        <v>45558</v>
      </c>
      <c r="O685" s="7">
        <f t="shared" si="40"/>
        <v>23</v>
      </c>
      <c r="P685" s="22">
        <f t="shared" si="41"/>
        <v>8</v>
      </c>
      <c r="Q685" s="22">
        <f t="shared" si="42"/>
        <v>30</v>
      </c>
      <c r="R685" s="16">
        <v>0</v>
      </c>
      <c r="S685" s="29">
        <v>3.3879999999999999</v>
      </c>
      <c r="T685" s="29">
        <v>-76.545000000000002</v>
      </c>
      <c r="U685" s="22">
        <v>0</v>
      </c>
      <c r="V685" s="22">
        <v>0</v>
      </c>
      <c r="W685" s="25">
        <v>0</v>
      </c>
      <c r="X685" s="24">
        <v>0</v>
      </c>
      <c r="Y685" s="24">
        <v>0</v>
      </c>
      <c r="Z685" s="24">
        <v>0</v>
      </c>
      <c r="AA685" s="24">
        <v>0</v>
      </c>
      <c r="AB685" s="24">
        <v>0</v>
      </c>
      <c r="AC685" s="24">
        <v>0</v>
      </c>
      <c r="AD685" s="24">
        <v>0</v>
      </c>
      <c r="AE685" s="24">
        <v>0</v>
      </c>
      <c r="AF685" s="24">
        <v>0</v>
      </c>
      <c r="AG685" s="16">
        <v>0</v>
      </c>
      <c r="AH685" s="16" t="s">
        <v>64</v>
      </c>
      <c r="AI685" s="16" t="s">
        <v>1972</v>
      </c>
      <c r="AJ685" s="16" t="s">
        <v>50</v>
      </c>
      <c r="AK685" s="16" t="s">
        <v>1972</v>
      </c>
      <c r="AL685" s="25">
        <v>232000</v>
      </c>
      <c r="AM685" s="43">
        <f t="shared" si="43"/>
        <v>0</v>
      </c>
      <c r="AN685" s="16" t="s">
        <v>64</v>
      </c>
      <c r="AO685" s="16" t="s">
        <v>64</v>
      </c>
    </row>
    <row r="686" spans="1:41" s="15" customFormat="1" ht="14.5" x14ac:dyDescent="0.35">
      <c r="A686" s="27" t="s">
        <v>2060</v>
      </c>
      <c r="B686" s="16" t="s">
        <v>119</v>
      </c>
      <c r="C686" s="16" t="s">
        <v>120</v>
      </c>
      <c r="D686" s="16" t="s">
        <v>121</v>
      </c>
      <c r="E686" s="16"/>
      <c r="F686" s="16">
        <v>0</v>
      </c>
      <c r="G686" s="30" t="s">
        <v>2061</v>
      </c>
      <c r="H686" s="16" t="s">
        <v>2062</v>
      </c>
      <c r="I686" s="16" t="s">
        <v>718</v>
      </c>
      <c r="J686" s="16">
        <v>100</v>
      </c>
      <c r="K686" s="16">
        <v>0</v>
      </c>
      <c r="L686" s="16">
        <v>0</v>
      </c>
      <c r="M686" s="8">
        <v>0</v>
      </c>
      <c r="N686" s="21">
        <v>45504</v>
      </c>
      <c r="O686" s="7">
        <f t="shared" si="40"/>
        <v>31</v>
      </c>
      <c r="P686" s="22">
        <f t="shared" si="41"/>
        <v>1</v>
      </c>
      <c r="Q686" s="22">
        <f t="shared" si="42"/>
        <v>31</v>
      </c>
      <c r="R686" s="16">
        <v>0</v>
      </c>
      <c r="S686" s="29">
        <v>7.1239999999999997</v>
      </c>
      <c r="T686" s="29">
        <v>-73.123000000000005</v>
      </c>
      <c r="U686" s="22">
        <v>0</v>
      </c>
      <c r="V686" s="22">
        <v>0</v>
      </c>
      <c r="W686" s="25">
        <v>0</v>
      </c>
      <c r="X686" s="24">
        <v>0</v>
      </c>
      <c r="Y686" s="24">
        <v>0</v>
      </c>
      <c r="Z686" s="24">
        <v>0</v>
      </c>
      <c r="AA686" s="24">
        <v>0</v>
      </c>
      <c r="AB686" s="24">
        <v>0</v>
      </c>
      <c r="AC686" s="24">
        <v>0</v>
      </c>
      <c r="AD686" s="24">
        <v>0</v>
      </c>
      <c r="AE686" s="24">
        <v>0</v>
      </c>
      <c r="AF686" s="24">
        <v>0</v>
      </c>
      <c r="AG686" s="16">
        <v>0</v>
      </c>
      <c r="AH686" s="16" t="s">
        <v>64</v>
      </c>
      <c r="AI686" s="16" t="s">
        <v>1972</v>
      </c>
      <c r="AJ686" s="16" t="s">
        <v>50</v>
      </c>
      <c r="AK686" s="16" t="s">
        <v>1994</v>
      </c>
      <c r="AL686" s="25">
        <v>232000</v>
      </c>
      <c r="AM686" s="43">
        <f t="shared" si="43"/>
        <v>0</v>
      </c>
      <c r="AN686" s="16" t="s">
        <v>64</v>
      </c>
      <c r="AO686" s="16" t="s">
        <v>64</v>
      </c>
    </row>
    <row r="687" spans="1:41" s="15" customFormat="1" ht="14.5" x14ac:dyDescent="0.35">
      <c r="A687" s="27" t="s">
        <v>2063</v>
      </c>
      <c r="B687" s="16" t="s">
        <v>183</v>
      </c>
      <c r="C687" s="16" t="s">
        <v>184</v>
      </c>
      <c r="D687" s="16" t="s">
        <v>185</v>
      </c>
      <c r="E687" s="16" t="s">
        <v>186</v>
      </c>
      <c r="F687" s="16">
        <v>4</v>
      </c>
      <c r="G687" s="30" t="s">
        <v>2064</v>
      </c>
      <c r="H687" s="16" t="s">
        <v>2065</v>
      </c>
      <c r="I687" s="16" t="s">
        <v>718</v>
      </c>
      <c r="J687" s="16">
        <v>113.27</v>
      </c>
      <c r="K687" s="16">
        <v>0</v>
      </c>
      <c r="L687" s="16">
        <v>0</v>
      </c>
      <c r="M687" s="8">
        <v>0</v>
      </c>
      <c r="N687" s="21">
        <v>45562</v>
      </c>
      <c r="O687" s="7">
        <f t="shared" si="40"/>
        <v>27</v>
      </c>
      <c r="P687" s="22">
        <f t="shared" si="41"/>
        <v>4</v>
      </c>
      <c r="Q687" s="22">
        <f t="shared" si="42"/>
        <v>30</v>
      </c>
      <c r="R687" s="16">
        <v>0</v>
      </c>
      <c r="S687" s="29">
        <v>10.994999999999999</v>
      </c>
      <c r="T687" s="29">
        <v>-74.811000000000007</v>
      </c>
      <c r="U687" s="22">
        <v>0</v>
      </c>
      <c r="V687" s="22">
        <v>0</v>
      </c>
      <c r="W687" s="25">
        <v>0</v>
      </c>
      <c r="X687" s="24">
        <v>0</v>
      </c>
      <c r="Y687" s="24">
        <v>0</v>
      </c>
      <c r="Z687" s="24">
        <v>0</v>
      </c>
      <c r="AA687" s="24">
        <v>0</v>
      </c>
      <c r="AB687" s="24">
        <v>0</v>
      </c>
      <c r="AC687" s="24">
        <v>0</v>
      </c>
      <c r="AD687" s="24">
        <v>0</v>
      </c>
      <c r="AE687" s="24">
        <v>0</v>
      </c>
      <c r="AF687" s="24">
        <v>0</v>
      </c>
      <c r="AG687" s="16">
        <v>0</v>
      </c>
      <c r="AH687" s="16" t="s">
        <v>64</v>
      </c>
      <c r="AI687" s="16" t="s">
        <v>1972</v>
      </c>
      <c r="AJ687" s="16" t="s">
        <v>124</v>
      </c>
      <c r="AK687" s="16" t="s">
        <v>1972</v>
      </c>
      <c r="AL687" s="25">
        <v>204160</v>
      </c>
      <c r="AM687" s="43">
        <f t="shared" si="43"/>
        <v>0</v>
      </c>
      <c r="AN687" s="16" t="s">
        <v>64</v>
      </c>
      <c r="AO687" s="16" t="s">
        <v>64</v>
      </c>
    </row>
    <row r="688" spans="1:41" s="15" customFormat="1" ht="14.5" x14ac:dyDescent="0.35">
      <c r="A688" s="27" t="s">
        <v>2066</v>
      </c>
      <c r="B688" s="16" t="s">
        <v>1970</v>
      </c>
      <c r="C688" s="16" t="s">
        <v>43</v>
      </c>
      <c r="D688" s="16" t="s">
        <v>44</v>
      </c>
      <c r="E688" s="16"/>
      <c r="F688" s="16">
        <v>0</v>
      </c>
      <c r="G688" s="30" t="s">
        <v>2067</v>
      </c>
      <c r="H688" s="16">
        <v>0</v>
      </c>
      <c r="I688" s="16" t="s">
        <v>718</v>
      </c>
      <c r="J688" s="16">
        <v>100</v>
      </c>
      <c r="K688" s="16">
        <v>0</v>
      </c>
      <c r="L688" s="16">
        <v>0</v>
      </c>
      <c r="M688" s="8">
        <v>0</v>
      </c>
      <c r="N688" s="21">
        <v>45138</v>
      </c>
      <c r="O688" s="7">
        <f t="shared" si="40"/>
        <v>31</v>
      </c>
      <c r="P688" s="22">
        <f t="shared" si="41"/>
        <v>1</v>
      </c>
      <c r="Q688" s="22">
        <f t="shared" si="42"/>
        <v>31</v>
      </c>
      <c r="R688" s="16">
        <v>0</v>
      </c>
      <c r="S688" s="29">
        <v>4.5949999999999998</v>
      </c>
      <c r="T688" s="29">
        <v>-74.100999999999999</v>
      </c>
      <c r="U688" s="22">
        <v>0</v>
      </c>
      <c r="V688" s="22">
        <v>0</v>
      </c>
      <c r="W688" s="25">
        <v>0</v>
      </c>
      <c r="X688" s="24">
        <v>0</v>
      </c>
      <c r="Y688" s="24">
        <v>0</v>
      </c>
      <c r="Z688" s="24">
        <v>0</v>
      </c>
      <c r="AA688" s="24">
        <v>0</v>
      </c>
      <c r="AB688" s="24">
        <v>0</v>
      </c>
      <c r="AC688" s="24">
        <v>0</v>
      </c>
      <c r="AD688" s="24">
        <v>0</v>
      </c>
      <c r="AE688" s="24">
        <v>0</v>
      </c>
      <c r="AF688" s="24">
        <v>0</v>
      </c>
      <c r="AG688" s="16">
        <v>0</v>
      </c>
      <c r="AH688" s="16" t="s">
        <v>64</v>
      </c>
      <c r="AI688" s="16" t="s">
        <v>1972</v>
      </c>
      <c r="AJ688" s="16" t="s">
        <v>124</v>
      </c>
      <c r="AK688" s="16" t="s">
        <v>1972</v>
      </c>
      <c r="AL688" s="25">
        <v>204160</v>
      </c>
      <c r="AM688" s="43">
        <f t="shared" si="43"/>
        <v>0</v>
      </c>
      <c r="AN688" s="16" t="s">
        <v>64</v>
      </c>
      <c r="AO688" s="16" t="s">
        <v>64</v>
      </c>
    </row>
    <row r="689" spans="1:41" s="15" customFormat="1" ht="14.5" x14ac:dyDescent="0.35">
      <c r="A689" s="27" t="s">
        <v>2068</v>
      </c>
      <c r="B689" s="16" t="s">
        <v>42</v>
      </c>
      <c r="C689" s="16" t="s">
        <v>93</v>
      </c>
      <c r="D689" s="16" t="s">
        <v>749</v>
      </c>
      <c r="E689" s="16"/>
      <c r="F689" s="16">
        <v>0</v>
      </c>
      <c r="G689" s="30" t="s">
        <v>2069</v>
      </c>
      <c r="H689" s="16">
        <v>0</v>
      </c>
      <c r="I689" s="16" t="s">
        <v>429</v>
      </c>
      <c r="J689" s="16">
        <v>100</v>
      </c>
      <c r="K689" s="16">
        <v>0</v>
      </c>
      <c r="L689" s="16">
        <v>0</v>
      </c>
      <c r="M689" s="8">
        <v>0</v>
      </c>
      <c r="N689" s="21">
        <v>44918</v>
      </c>
      <c r="O689" s="7">
        <f t="shared" si="40"/>
        <v>23</v>
      </c>
      <c r="P689" s="22">
        <f t="shared" si="41"/>
        <v>9</v>
      </c>
      <c r="Q689" s="22">
        <f t="shared" si="42"/>
        <v>31</v>
      </c>
      <c r="R689" s="16">
        <v>0</v>
      </c>
      <c r="S689" s="29">
        <v>4.7759999999999998</v>
      </c>
      <c r="T689" s="29">
        <v>-74.143000000000001</v>
      </c>
      <c r="U689" s="22">
        <v>0</v>
      </c>
      <c r="V689" s="22">
        <v>0</v>
      </c>
      <c r="W689" s="25">
        <v>0</v>
      </c>
      <c r="X689" s="24">
        <v>0</v>
      </c>
      <c r="Y689" s="24">
        <v>0</v>
      </c>
      <c r="Z689" s="24">
        <v>0</v>
      </c>
      <c r="AA689" s="24">
        <v>0</v>
      </c>
      <c r="AB689" s="24">
        <v>0</v>
      </c>
      <c r="AC689" s="24">
        <v>0</v>
      </c>
      <c r="AD689" s="24">
        <v>0</v>
      </c>
      <c r="AE689" s="24">
        <v>0</v>
      </c>
      <c r="AF689" s="24">
        <v>0</v>
      </c>
      <c r="AG689" s="16">
        <v>0</v>
      </c>
      <c r="AH689" s="16" t="s">
        <v>64</v>
      </c>
      <c r="AI689" s="16" t="s">
        <v>1972</v>
      </c>
      <c r="AJ689" s="16" t="s">
        <v>76</v>
      </c>
      <c r="AK689" s="16" t="s">
        <v>1972</v>
      </c>
      <c r="AL689" s="25">
        <v>241405</v>
      </c>
      <c r="AM689" s="43">
        <f t="shared" si="43"/>
        <v>0</v>
      </c>
      <c r="AN689" s="16" t="s">
        <v>64</v>
      </c>
      <c r="AO689" s="16" t="s">
        <v>64</v>
      </c>
    </row>
    <row r="690" spans="1:41" s="15" customFormat="1" ht="14.5" x14ac:dyDescent="0.35">
      <c r="A690" s="27" t="s">
        <v>2070</v>
      </c>
      <c r="B690" s="16" t="s">
        <v>55</v>
      </c>
      <c r="C690" s="16" t="s">
        <v>93</v>
      </c>
      <c r="D690" s="16" t="s">
        <v>854</v>
      </c>
      <c r="E690" s="16"/>
      <c r="F690" s="16">
        <v>0</v>
      </c>
      <c r="G690" s="30" t="s">
        <v>2071</v>
      </c>
      <c r="H690" s="16">
        <v>0</v>
      </c>
      <c r="I690" s="16" t="s">
        <v>47</v>
      </c>
      <c r="J690" s="16">
        <v>100</v>
      </c>
      <c r="K690" s="16">
        <v>0</v>
      </c>
      <c r="L690" s="16">
        <v>0</v>
      </c>
      <c r="M690" s="8">
        <v>0</v>
      </c>
      <c r="N690" s="21">
        <v>45135</v>
      </c>
      <c r="O690" s="7">
        <f t="shared" si="40"/>
        <v>28</v>
      </c>
      <c r="P690" s="22">
        <f t="shared" si="41"/>
        <v>4</v>
      </c>
      <c r="Q690" s="22">
        <f t="shared" si="42"/>
        <v>31</v>
      </c>
      <c r="R690" s="16">
        <v>0</v>
      </c>
      <c r="S690" s="29">
        <v>4.7190000000000003</v>
      </c>
      <c r="T690" s="29">
        <v>-74.215000000000003</v>
      </c>
      <c r="U690" s="22">
        <v>0</v>
      </c>
      <c r="V690" s="22">
        <v>0</v>
      </c>
      <c r="W690" s="25">
        <v>0</v>
      </c>
      <c r="X690" s="24">
        <v>0</v>
      </c>
      <c r="Y690" s="24">
        <v>0</v>
      </c>
      <c r="Z690" s="24">
        <v>0</v>
      </c>
      <c r="AA690" s="24">
        <v>0</v>
      </c>
      <c r="AB690" s="24">
        <v>0</v>
      </c>
      <c r="AC690" s="24">
        <v>0</v>
      </c>
      <c r="AD690" s="24">
        <v>0</v>
      </c>
      <c r="AE690" s="24">
        <v>0</v>
      </c>
      <c r="AF690" s="24">
        <v>0</v>
      </c>
      <c r="AG690" s="16">
        <v>0</v>
      </c>
      <c r="AH690" s="16" t="s">
        <v>64</v>
      </c>
      <c r="AI690" s="16" t="s">
        <v>1972</v>
      </c>
      <c r="AJ690" s="16" t="s">
        <v>50</v>
      </c>
      <c r="AK690" s="16" t="s">
        <v>71</v>
      </c>
      <c r="AL690" s="25">
        <v>232000</v>
      </c>
      <c r="AM690" s="43">
        <f t="shared" si="43"/>
        <v>0</v>
      </c>
      <c r="AN690" s="16" t="s">
        <v>64</v>
      </c>
      <c r="AO690" s="16" t="s">
        <v>64</v>
      </c>
    </row>
    <row r="691" spans="1:41" s="15" customFormat="1" ht="14.5" x14ac:dyDescent="0.35">
      <c r="A691" s="27" t="s">
        <v>2072</v>
      </c>
      <c r="B691" s="16" t="s">
        <v>1970</v>
      </c>
      <c r="C691" s="16" t="s">
        <v>43</v>
      </c>
      <c r="D691" s="16" t="s">
        <v>44</v>
      </c>
      <c r="E691" s="16" t="s">
        <v>272</v>
      </c>
      <c r="F691" s="16">
        <v>4</v>
      </c>
      <c r="G691" s="30" t="s">
        <v>2073</v>
      </c>
      <c r="H691" s="16" t="s">
        <v>2074</v>
      </c>
      <c r="I691" s="16" t="s">
        <v>47</v>
      </c>
      <c r="J691" s="16">
        <v>125.2</v>
      </c>
      <c r="K691" s="16">
        <v>0</v>
      </c>
      <c r="L691" s="16">
        <v>0</v>
      </c>
      <c r="M691" s="8">
        <v>0</v>
      </c>
      <c r="N691" s="21">
        <v>45702</v>
      </c>
      <c r="O691" s="7">
        <f t="shared" si="40"/>
        <v>14</v>
      </c>
      <c r="P691" s="22">
        <f t="shared" si="41"/>
        <v>15</v>
      </c>
      <c r="Q691" s="22">
        <f t="shared" si="42"/>
        <v>28</v>
      </c>
      <c r="R691" s="16">
        <v>0</v>
      </c>
      <c r="S691" s="29">
        <v>4.6900000000000004</v>
      </c>
      <c r="T691" s="29">
        <v>-74.072000000000003</v>
      </c>
      <c r="U691" s="22">
        <v>0</v>
      </c>
      <c r="V691" s="22">
        <v>0</v>
      </c>
      <c r="W691" s="25">
        <v>0</v>
      </c>
      <c r="X691" s="24">
        <v>0</v>
      </c>
      <c r="Y691" s="24">
        <v>0</v>
      </c>
      <c r="Z691" s="24">
        <v>0</v>
      </c>
      <c r="AA691" s="24">
        <v>0</v>
      </c>
      <c r="AB691" s="24">
        <v>0</v>
      </c>
      <c r="AC691" s="24">
        <v>0</v>
      </c>
      <c r="AD691" s="24">
        <v>0</v>
      </c>
      <c r="AE691" s="24">
        <v>0</v>
      </c>
      <c r="AF691" s="24">
        <v>0</v>
      </c>
      <c r="AG691" s="16">
        <v>0</v>
      </c>
      <c r="AH691" s="16" t="s">
        <v>136</v>
      </c>
      <c r="AI691" s="16" t="s">
        <v>1972</v>
      </c>
      <c r="AJ691" s="16" t="s">
        <v>76</v>
      </c>
      <c r="AK691" s="16" t="s">
        <v>51</v>
      </c>
      <c r="AL691" s="25">
        <v>241405</v>
      </c>
      <c r="AM691" s="43">
        <f t="shared" si="43"/>
        <v>0</v>
      </c>
      <c r="AN691" s="16" t="s">
        <v>64</v>
      </c>
      <c r="AO691" s="16" t="s">
        <v>64</v>
      </c>
    </row>
    <row r="692" spans="1:41" s="15" customFormat="1" ht="14.5" x14ac:dyDescent="0.35">
      <c r="A692" s="27" t="s">
        <v>2075</v>
      </c>
      <c r="B692" s="16" t="s">
        <v>1970</v>
      </c>
      <c r="C692" s="16" t="s">
        <v>43</v>
      </c>
      <c r="D692" s="16" t="s">
        <v>44</v>
      </c>
      <c r="E692" s="16" t="s">
        <v>133</v>
      </c>
      <c r="F692" s="16">
        <v>3</v>
      </c>
      <c r="G692" s="30" t="s">
        <v>2076</v>
      </c>
      <c r="H692" s="16">
        <v>0</v>
      </c>
      <c r="I692" s="16" t="s">
        <v>47</v>
      </c>
      <c r="J692" s="16">
        <v>100.48</v>
      </c>
      <c r="K692" s="16">
        <v>0</v>
      </c>
      <c r="L692" s="16">
        <v>0</v>
      </c>
      <c r="M692" s="8">
        <v>0</v>
      </c>
      <c r="N692" s="21">
        <v>45435</v>
      </c>
      <c r="O692" s="7">
        <f t="shared" si="40"/>
        <v>23</v>
      </c>
      <c r="P692" s="22">
        <f t="shared" si="41"/>
        <v>9</v>
      </c>
      <c r="Q692" s="22">
        <f t="shared" si="42"/>
        <v>31</v>
      </c>
      <c r="R692" s="16">
        <v>0</v>
      </c>
      <c r="S692" s="29">
        <v>4.6980000000000004</v>
      </c>
      <c r="T692" s="29">
        <v>-74.114000000000004</v>
      </c>
      <c r="U692" s="22">
        <v>0</v>
      </c>
      <c r="V692" s="22">
        <v>0</v>
      </c>
      <c r="W692" s="25">
        <v>0</v>
      </c>
      <c r="X692" s="24">
        <v>0</v>
      </c>
      <c r="Y692" s="24">
        <v>0</v>
      </c>
      <c r="Z692" s="24">
        <v>0</v>
      </c>
      <c r="AA692" s="24">
        <v>0</v>
      </c>
      <c r="AB692" s="24">
        <v>0</v>
      </c>
      <c r="AC692" s="24">
        <v>0</v>
      </c>
      <c r="AD692" s="24">
        <v>0</v>
      </c>
      <c r="AE692" s="24">
        <v>0</v>
      </c>
      <c r="AF692" s="24">
        <v>0</v>
      </c>
      <c r="AG692" s="16">
        <v>0</v>
      </c>
      <c r="AH692" s="16" t="s">
        <v>64</v>
      </c>
      <c r="AI692" s="16" t="s">
        <v>1972</v>
      </c>
      <c r="AJ692" s="16" t="s">
        <v>124</v>
      </c>
      <c r="AK692" s="16" t="s">
        <v>1972</v>
      </c>
      <c r="AL692" s="25">
        <v>204160</v>
      </c>
      <c r="AM692" s="43">
        <f t="shared" si="43"/>
        <v>0</v>
      </c>
      <c r="AN692" s="16" t="s">
        <v>64</v>
      </c>
      <c r="AO692" s="16" t="s">
        <v>64</v>
      </c>
    </row>
    <row r="693" spans="1:41" s="15" customFormat="1" ht="14.5" x14ac:dyDescent="0.35">
      <c r="A693" s="27" t="s">
        <v>2077</v>
      </c>
      <c r="B693" s="16" t="s">
        <v>119</v>
      </c>
      <c r="C693" s="16" t="s">
        <v>120</v>
      </c>
      <c r="D693" s="16" t="s">
        <v>121</v>
      </c>
      <c r="E693" s="16"/>
      <c r="F693" s="16">
        <v>0</v>
      </c>
      <c r="G693" s="30" t="s">
        <v>2078</v>
      </c>
      <c r="H693" s="16">
        <v>0</v>
      </c>
      <c r="I693" s="16" t="s">
        <v>47</v>
      </c>
      <c r="J693" s="16">
        <v>100</v>
      </c>
      <c r="K693" s="16">
        <v>0</v>
      </c>
      <c r="L693" s="16">
        <v>0</v>
      </c>
      <c r="M693" s="8">
        <v>0</v>
      </c>
      <c r="N693" s="21">
        <v>45348</v>
      </c>
      <c r="O693" s="7">
        <f t="shared" si="40"/>
        <v>26</v>
      </c>
      <c r="P693" s="22">
        <f t="shared" si="41"/>
        <v>4</v>
      </c>
      <c r="Q693" s="22">
        <f t="shared" si="42"/>
        <v>29</v>
      </c>
      <c r="R693" s="16">
        <v>0</v>
      </c>
      <c r="S693" s="29">
        <v>7.0629999999999997</v>
      </c>
      <c r="T693" s="29">
        <v>-73.125</v>
      </c>
      <c r="U693" s="22">
        <v>0</v>
      </c>
      <c r="V693" s="22">
        <v>0</v>
      </c>
      <c r="W693" s="25">
        <v>0</v>
      </c>
      <c r="X693" s="24">
        <v>0</v>
      </c>
      <c r="Y693" s="24">
        <v>0</v>
      </c>
      <c r="Z693" s="24">
        <v>0</v>
      </c>
      <c r="AA693" s="24">
        <v>0</v>
      </c>
      <c r="AB693" s="24">
        <v>0</v>
      </c>
      <c r="AC693" s="24">
        <v>0</v>
      </c>
      <c r="AD693" s="24">
        <v>0</v>
      </c>
      <c r="AE693" s="24">
        <v>0</v>
      </c>
      <c r="AF693" s="24">
        <v>0</v>
      </c>
      <c r="AG693" s="16">
        <v>0</v>
      </c>
      <c r="AH693" s="16" t="s">
        <v>64</v>
      </c>
      <c r="AI693" s="16" t="s">
        <v>1972</v>
      </c>
      <c r="AJ693" s="16" t="s">
        <v>50</v>
      </c>
      <c r="AK693" s="16" t="s">
        <v>1972</v>
      </c>
      <c r="AL693" s="25">
        <v>232000</v>
      </c>
      <c r="AM693" s="43">
        <f t="shared" si="43"/>
        <v>0</v>
      </c>
      <c r="AN693" s="16" t="s">
        <v>64</v>
      </c>
      <c r="AO693" s="16" t="s">
        <v>64</v>
      </c>
    </row>
    <row r="694" spans="1:41" s="15" customFormat="1" ht="14.5" x14ac:dyDescent="0.35">
      <c r="A694" s="27" t="s">
        <v>2079</v>
      </c>
      <c r="B694" s="16" t="s">
        <v>55</v>
      </c>
      <c r="C694" s="16" t="s">
        <v>93</v>
      </c>
      <c r="D694" s="16" t="s">
        <v>553</v>
      </c>
      <c r="E694" s="16"/>
      <c r="F694" s="16">
        <v>0</v>
      </c>
      <c r="G694" s="30" t="s">
        <v>2080</v>
      </c>
      <c r="H694" s="16">
        <v>0</v>
      </c>
      <c r="I694" s="16" t="s">
        <v>47</v>
      </c>
      <c r="J694" s="16">
        <v>100</v>
      </c>
      <c r="K694" s="16">
        <v>0</v>
      </c>
      <c r="L694" s="16">
        <v>0</v>
      </c>
      <c r="M694" s="8">
        <v>0</v>
      </c>
      <c r="N694" s="21">
        <v>45075</v>
      </c>
      <c r="O694" s="7">
        <f t="shared" si="40"/>
        <v>29</v>
      </c>
      <c r="P694" s="22">
        <f t="shared" si="41"/>
        <v>3</v>
      </c>
      <c r="Q694" s="22">
        <f t="shared" si="42"/>
        <v>31</v>
      </c>
      <c r="R694" s="16">
        <v>0</v>
      </c>
      <c r="S694" s="29">
        <v>4.3280000000000003</v>
      </c>
      <c r="T694" s="29">
        <v>-74.366</v>
      </c>
      <c r="U694" s="22">
        <v>0</v>
      </c>
      <c r="V694" s="22">
        <v>0</v>
      </c>
      <c r="W694" s="25">
        <v>0</v>
      </c>
      <c r="X694" s="24">
        <v>0</v>
      </c>
      <c r="Y694" s="24">
        <v>0</v>
      </c>
      <c r="Z694" s="24">
        <v>0</v>
      </c>
      <c r="AA694" s="24">
        <v>0</v>
      </c>
      <c r="AB694" s="24">
        <v>0</v>
      </c>
      <c r="AC694" s="24">
        <v>0</v>
      </c>
      <c r="AD694" s="24">
        <v>0</v>
      </c>
      <c r="AE694" s="24">
        <v>0</v>
      </c>
      <c r="AF694" s="24">
        <v>0</v>
      </c>
      <c r="AG694" s="16">
        <v>0</v>
      </c>
      <c r="AH694" s="16" t="s">
        <v>58</v>
      </c>
      <c r="AI694" s="16" t="s">
        <v>1972</v>
      </c>
      <c r="AJ694" s="16" t="s">
        <v>50</v>
      </c>
      <c r="AK694" s="16" t="s">
        <v>51</v>
      </c>
      <c r="AL694" s="25">
        <v>232000</v>
      </c>
      <c r="AM694" s="43">
        <f t="shared" si="43"/>
        <v>0</v>
      </c>
      <c r="AN694" s="16" t="s">
        <v>64</v>
      </c>
      <c r="AO694" s="16" t="s">
        <v>64</v>
      </c>
    </row>
    <row r="695" spans="1:41" s="15" customFormat="1" ht="14.5" x14ac:dyDescent="0.35">
      <c r="A695" s="27" t="s">
        <v>2081</v>
      </c>
      <c r="B695" s="16" t="s">
        <v>105</v>
      </c>
      <c r="C695" s="16" t="s">
        <v>106</v>
      </c>
      <c r="D695" s="16" t="s">
        <v>298</v>
      </c>
      <c r="E695" s="16" t="s">
        <v>696</v>
      </c>
      <c r="F695" s="16">
        <v>5</v>
      </c>
      <c r="G695" s="30" t="s">
        <v>2082</v>
      </c>
      <c r="H695" s="16">
        <v>0</v>
      </c>
      <c r="I695" s="16" t="s">
        <v>47</v>
      </c>
      <c r="J695" s="16">
        <v>171.83</v>
      </c>
      <c r="K695" s="16">
        <v>894</v>
      </c>
      <c r="L695" s="16">
        <v>950</v>
      </c>
      <c r="M695" s="8">
        <v>0</v>
      </c>
      <c r="N695" s="21">
        <v>45229</v>
      </c>
      <c r="O695" s="7">
        <f t="shared" si="40"/>
        <v>30</v>
      </c>
      <c r="P695" s="22">
        <f t="shared" si="41"/>
        <v>2</v>
      </c>
      <c r="Q695" s="22">
        <f t="shared" si="42"/>
        <v>31</v>
      </c>
      <c r="R695" s="16">
        <v>0</v>
      </c>
      <c r="S695" s="29">
        <v>4.8120000000000003</v>
      </c>
      <c r="T695" s="29">
        <v>-75.706999999999994</v>
      </c>
      <c r="U695" s="22">
        <v>0</v>
      </c>
      <c r="V695" s="22">
        <v>0</v>
      </c>
      <c r="W695" s="25">
        <v>0</v>
      </c>
      <c r="X695" s="24">
        <v>0</v>
      </c>
      <c r="Y695" s="24">
        <v>0</v>
      </c>
      <c r="Z695" s="24">
        <v>0</v>
      </c>
      <c r="AA695" s="24">
        <v>0</v>
      </c>
      <c r="AB695" s="24">
        <v>0</v>
      </c>
      <c r="AC695" s="24">
        <v>0</v>
      </c>
      <c r="AD695" s="24">
        <v>0</v>
      </c>
      <c r="AE695" s="24">
        <v>0</v>
      </c>
      <c r="AF695" s="24">
        <v>0</v>
      </c>
      <c r="AG695" s="16">
        <v>0</v>
      </c>
      <c r="AH695" s="16" t="s">
        <v>64</v>
      </c>
      <c r="AI695" s="16" t="s">
        <v>1972</v>
      </c>
      <c r="AJ695" s="16" t="s">
        <v>1972</v>
      </c>
      <c r="AK695" s="16" t="s">
        <v>1972</v>
      </c>
      <c r="AL695" s="25" t="s">
        <v>1973</v>
      </c>
      <c r="AM695" s="43">
        <f t="shared" si="43"/>
        <v>0</v>
      </c>
      <c r="AN695" s="16" t="s">
        <v>64</v>
      </c>
      <c r="AO695" s="16" t="s">
        <v>64</v>
      </c>
    </row>
    <row r="696" spans="1:41" s="15" customFormat="1" ht="14.5" x14ac:dyDescent="0.35">
      <c r="A696" s="27" t="s">
        <v>2083</v>
      </c>
      <c r="B696" s="16" t="s">
        <v>1970</v>
      </c>
      <c r="C696" s="16" t="s">
        <v>43</v>
      </c>
      <c r="D696" s="16" t="s">
        <v>44</v>
      </c>
      <c r="E696" s="16"/>
      <c r="F696" s="16">
        <v>0</v>
      </c>
      <c r="G696" s="30" t="s">
        <v>2084</v>
      </c>
      <c r="H696" s="16">
        <v>0</v>
      </c>
      <c r="I696" s="16" t="s">
        <v>1972</v>
      </c>
      <c r="J696" s="16">
        <v>100</v>
      </c>
      <c r="K696" s="16">
        <v>0</v>
      </c>
      <c r="L696" s="16">
        <v>0</v>
      </c>
      <c r="M696" s="8">
        <v>0</v>
      </c>
      <c r="N696" s="21">
        <v>42636</v>
      </c>
      <c r="O696" s="7">
        <f t="shared" si="40"/>
        <v>23</v>
      </c>
      <c r="P696" s="22">
        <f t="shared" si="41"/>
        <v>8</v>
      </c>
      <c r="Q696" s="22">
        <f t="shared" si="42"/>
        <v>30</v>
      </c>
      <c r="R696" s="16">
        <v>0</v>
      </c>
      <c r="S696" s="29">
        <v>4.6840000000000002</v>
      </c>
      <c r="T696" s="29">
        <v>-74.046999999999997</v>
      </c>
      <c r="U696" s="22">
        <v>0</v>
      </c>
      <c r="V696" s="22">
        <v>0</v>
      </c>
      <c r="W696" s="25">
        <v>0</v>
      </c>
      <c r="X696" s="24">
        <v>0</v>
      </c>
      <c r="Y696" s="24">
        <v>0</v>
      </c>
      <c r="Z696" s="24">
        <v>0</v>
      </c>
      <c r="AA696" s="24">
        <v>0</v>
      </c>
      <c r="AB696" s="24">
        <v>0</v>
      </c>
      <c r="AC696" s="24">
        <v>0</v>
      </c>
      <c r="AD696" s="24">
        <v>0</v>
      </c>
      <c r="AE696" s="24">
        <v>0</v>
      </c>
      <c r="AF696" s="24">
        <v>0</v>
      </c>
      <c r="AG696" s="16">
        <v>0</v>
      </c>
      <c r="AH696" s="16" t="s">
        <v>64</v>
      </c>
      <c r="AI696" s="16" t="s">
        <v>1972</v>
      </c>
      <c r="AJ696" s="16" t="s">
        <v>1972</v>
      </c>
      <c r="AK696" s="16" t="s">
        <v>1972</v>
      </c>
      <c r="AL696" s="25" t="s">
        <v>1973</v>
      </c>
      <c r="AM696" s="43">
        <f t="shared" si="43"/>
        <v>0</v>
      </c>
      <c r="AN696" s="16" t="s">
        <v>64</v>
      </c>
      <c r="AO696" s="16" t="s">
        <v>64</v>
      </c>
    </row>
    <row r="697" spans="1:41" s="15" customFormat="1" ht="14.5" x14ac:dyDescent="0.35">
      <c r="A697" s="27" t="s">
        <v>2085</v>
      </c>
      <c r="B697" s="16" t="s">
        <v>1970</v>
      </c>
      <c r="C697" s="16" t="s">
        <v>43</v>
      </c>
      <c r="D697" s="16" t="s">
        <v>44</v>
      </c>
      <c r="E697" s="16"/>
      <c r="F697" s="16">
        <v>0</v>
      </c>
      <c r="G697" s="30" t="s">
        <v>2086</v>
      </c>
      <c r="H697" s="16">
        <v>0</v>
      </c>
      <c r="I697" s="16" t="s">
        <v>1972</v>
      </c>
      <c r="J697" s="16">
        <v>100</v>
      </c>
      <c r="K697" s="16">
        <v>0</v>
      </c>
      <c r="L697" s="16">
        <v>0</v>
      </c>
      <c r="M697" s="8">
        <v>0</v>
      </c>
      <c r="N697" s="21">
        <v>43875</v>
      </c>
      <c r="O697" s="7">
        <f t="shared" si="40"/>
        <v>14</v>
      </c>
      <c r="P697" s="22">
        <f t="shared" si="41"/>
        <v>16</v>
      </c>
      <c r="Q697" s="22">
        <f t="shared" si="42"/>
        <v>29</v>
      </c>
      <c r="R697" s="16">
        <v>0</v>
      </c>
      <c r="S697" s="29">
        <v>4.6459999999999999</v>
      </c>
      <c r="T697" s="29">
        <v>-74.102999999999994</v>
      </c>
      <c r="U697" s="22">
        <v>0</v>
      </c>
      <c r="V697" s="22">
        <v>0</v>
      </c>
      <c r="W697" s="25">
        <v>0</v>
      </c>
      <c r="X697" s="24">
        <v>0</v>
      </c>
      <c r="Y697" s="24">
        <v>0</v>
      </c>
      <c r="Z697" s="24">
        <v>0</v>
      </c>
      <c r="AA697" s="24">
        <v>0</v>
      </c>
      <c r="AB697" s="24">
        <v>0</v>
      </c>
      <c r="AC697" s="24">
        <v>0</v>
      </c>
      <c r="AD697" s="24">
        <v>0</v>
      </c>
      <c r="AE697" s="24">
        <v>0</v>
      </c>
      <c r="AF697" s="24">
        <v>0</v>
      </c>
      <c r="AG697" s="16">
        <v>0</v>
      </c>
      <c r="AH697" s="16" t="s">
        <v>64</v>
      </c>
      <c r="AI697" s="16" t="s">
        <v>1972</v>
      </c>
      <c r="AJ697" s="16" t="s">
        <v>50</v>
      </c>
      <c r="AK697" s="16" t="s">
        <v>1994</v>
      </c>
      <c r="AL697" s="25">
        <v>232000</v>
      </c>
      <c r="AM697" s="43">
        <f t="shared" si="43"/>
        <v>0</v>
      </c>
      <c r="AN697" s="16" t="s">
        <v>64</v>
      </c>
      <c r="AO697" s="16" t="s">
        <v>64</v>
      </c>
    </row>
    <row r="698" spans="1:41" s="15" customFormat="1" ht="14.5" x14ac:dyDescent="0.35">
      <c r="A698" s="27" t="s">
        <v>2087</v>
      </c>
      <c r="B698" s="16" t="s">
        <v>1970</v>
      </c>
      <c r="C698" s="16" t="s">
        <v>43</v>
      </c>
      <c r="D698" s="16" t="s">
        <v>44</v>
      </c>
      <c r="E698" s="16" t="s">
        <v>45</v>
      </c>
      <c r="F698" s="16">
        <v>5</v>
      </c>
      <c r="G698" s="30" t="s">
        <v>2088</v>
      </c>
      <c r="H698" s="16" t="s">
        <v>2089</v>
      </c>
      <c r="I698" s="16" t="s">
        <v>47</v>
      </c>
      <c r="J698" s="16">
        <v>96.54</v>
      </c>
      <c r="K698" s="16">
        <v>0</v>
      </c>
      <c r="L698" s="16">
        <v>0</v>
      </c>
      <c r="M698" s="8">
        <v>0</v>
      </c>
      <c r="N698" s="21">
        <v>45595</v>
      </c>
      <c r="O698" s="7">
        <f t="shared" si="40"/>
        <v>30</v>
      </c>
      <c r="P698" s="22">
        <f t="shared" si="41"/>
        <v>2</v>
      </c>
      <c r="Q698" s="22">
        <f t="shared" si="42"/>
        <v>31</v>
      </c>
      <c r="R698" s="16">
        <v>0</v>
      </c>
      <c r="S698" s="29">
        <v>4.7300000000000004</v>
      </c>
      <c r="T698" s="29">
        <v>-74.05</v>
      </c>
      <c r="U698" s="22">
        <v>0</v>
      </c>
      <c r="V698" s="22">
        <v>0</v>
      </c>
      <c r="W698" s="25">
        <v>0</v>
      </c>
      <c r="X698" s="24">
        <v>0</v>
      </c>
      <c r="Y698" s="24">
        <v>0</v>
      </c>
      <c r="Z698" s="24">
        <v>0</v>
      </c>
      <c r="AA698" s="24">
        <v>0</v>
      </c>
      <c r="AB698" s="24">
        <v>0</v>
      </c>
      <c r="AC698" s="24">
        <v>0</v>
      </c>
      <c r="AD698" s="24">
        <v>0</v>
      </c>
      <c r="AE698" s="24">
        <v>0</v>
      </c>
      <c r="AF698" s="24">
        <v>0</v>
      </c>
      <c r="AG698" s="16">
        <v>0</v>
      </c>
      <c r="AH698" s="16" t="s">
        <v>48</v>
      </c>
      <c r="AI698" s="16" t="s">
        <v>1972</v>
      </c>
      <c r="AJ698" s="16" t="s">
        <v>50</v>
      </c>
      <c r="AK698" s="16" t="s">
        <v>51</v>
      </c>
      <c r="AL698" s="25">
        <v>232000</v>
      </c>
      <c r="AM698" s="43">
        <f t="shared" si="43"/>
        <v>0</v>
      </c>
      <c r="AN698" s="16" t="s">
        <v>64</v>
      </c>
      <c r="AO698" s="16" t="s">
        <v>64</v>
      </c>
    </row>
    <row r="699" spans="1:41" s="15" customFormat="1" ht="14.5" x14ac:dyDescent="0.35">
      <c r="A699" s="27" t="s">
        <v>2090</v>
      </c>
      <c r="B699" s="16" t="s">
        <v>105</v>
      </c>
      <c r="C699" s="16" t="s">
        <v>106</v>
      </c>
      <c r="D699" s="16" t="s">
        <v>107</v>
      </c>
      <c r="E699" s="16"/>
      <c r="F699" s="16">
        <v>3</v>
      </c>
      <c r="G699" s="30" t="s">
        <v>2091</v>
      </c>
      <c r="H699" s="16">
        <v>0</v>
      </c>
      <c r="I699" s="16" t="s">
        <v>47</v>
      </c>
      <c r="J699" s="16">
        <v>150.74</v>
      </c>
      <c r="K699" s="16">
        <v>0</v>
      </c>
      <c r="L699" s="16">
        <v>0</v>
      </c>
      <c r="M699" s="8">
        <v>0</v>
      </c>
      <c r="N699" s="21">
        <v>45472</v>
      </c>
      <c r="O699" s="7">
        <f t="shared" si="40"/>
        <v>29</v>
      </c>
      <c r="P699" s="22">
        <f t="shared" si="41"/>
        <v>2</v>
      </c>
      <c r="Q699" s="22">
        <f t="shared" si="42"/>
        <v>30</v>
      </c>
      <c r="R699" s="16">
        <v>0</v>
      </c>
      <c r="S699" s="29">
        <v>4.8070000000000004</v>
      </c>
      <c r="T699" s="29">
        <v>-75.736999999999995</v>
      </c>
      <c r="U699" s="22">
        <v>0</v>
      </c>
      <c r="V699" s="22">
        <v>0</v>
      </c>
      <c r="W699" s="25">
        <v>0</v>
      </c>
      <c r="X699" s="24">
        <v>0</v>
      </c>
      <c r="Y699" s="24">
        <v>0</v>
      </c>
      <c r="Z699" s="24">
        <v>0</v>
      </c>
      <c r="AA699" s="24">
        <v>0</v>
      </c>
      <c r="AB699" s="24">
        <v>0</v>
      </c>
      <c r="AC699" s="24">
        <v>0</v>
      </c>
      <c r="AD699" s="24">
        <v>0</v>
      </c>
      <c r="AE699" s="24">
        <v>0</v>
      </c>
      <c r="AF699" s="24">
        <v>0</v>
      </c>
      <c r="AG699" s="16">
        <v>0</v>
      </c>
      <c r="AH699" s="16" t="s">
        <v>58</v>
      </c>
      <c r="AI699" s="16" t="s">
        <v>1972</v>
      </c>
      <c r="AJ699" s="16" t="s">
        <v>124</v>
      </c>
      <c r="AK699" s="16" t="s">
        <v>1994</v>
      </c>
      <c r="AL699" s="25">
        <v>204160</v>
      </c>
      <c r="AM699" s="43">
        <f t="shared" si="43"/>
        <v>0</v>
      </c>
      <c r="AN699" s="16" t="s">
        <v>64</v>
      </c>
      <c r="AO699" s="16" t="s">
        <v>64</v>
      </c>
    </row>
    <row r="700" spans="1:41" s="15" customFormat="1" ht="14.5" x14ac:dyDescent="0.35">
      <c r="A700" s="27" t="s">
        <v>2092</v>
      </c>
      <c r="B700" s="16" t="s">
        <v>105</v>
      </c>
      <c r="C700" s="16" t="s">
        <v>157</v>
      </c>
      <c r="D700" s="16" t="s">
        <v>1319</v>
      </c>
      <c r="E700" s="16"/>
      <c r="F700" s="16">
        <v>4</v>
      </c>
      <c r="G700" s="30" t="s">
        <v>2093</v>
      </c>
      <c r="H700" s="16" t="s">
        <v>2094</v>
      </c>
      <c r="I700" s="16" t="s">
        <v>47</v>
      </c>
      <c r="J700" s="16">
        <v>95.45</v>
      </c>
      <c r="K700" s="16">
        <v>1092</v>
      </c>
      <c r="L700" s="16">
        <v>1454</v>
      </c>
      <c r="M700" s="8">
        <v>0</v>
      </c>
      <c r="N700" s="21">
        <v>45649</v>
      </c>
      <c r="O700" s="7">
        <f t="shared" si="40"/>
        <v>23</v>
      </c>
      <c r="P700" s="22">
        <f t="shared" si="41"/>
        <v>9</v>
      </c>
      <c r="Q700" s="22">
        <f t="shared" si="42"/>
        <v>31</v>
      </c>
      <c r="R700" s="16">
        <v>0</v>
      </c>
      <c r="S700" s="29">
        <v>6.3380000000000001</v>
      </c>
      <c r="T700" s="29">
        <v>-75.545000000000002</v>
      </c>
      <c r="U700" s="22">
        <v>0</v>
      </c>
      <c r="V700" s="22">
        <v>0</v>
      </c>
      <c r="W700" s="25">
        <v>0</v>
      </c>
      <c r="X700" s="24">
        <v>0</v>
      </c>
      <c r="Y700" s="24">
        <v>0</v>
      </c>
      <c r="Z700" s="24">
        <v>0</v>
      </c>
      <c r="AA700" s="24">
        <v>0</v>
      </c>
      <c r="AB700" s="24">
        <v>0</v>
      </c>
      <c r="AC700" s="24">
        <v>0</v>
      </c>
      <c r="AD700" s="24">
        <v>0</v>
      </c>
      <c r="AE700" s="24">
        <v>0</v>
      </c>
      <c r="AF700" s="24">
        <v>0</v>
      </c>
      <c r="AG700" s="16">
        <v>0</v>
      </c>
      <c r="AH700" s="16" t="s">
        <v>64</v>
      </c>
      <c r="AI700" s="16" t="s">
        <v>1972</v>
      </c>
      <c r="AJ700" s="16" t="s">
        <v>1972</v>
      </c>
      <c r="AK700" s="16" t="s">
        <v>1972</v>
      </c>
      <c r="AL700" s="25" t="s">
        <v>1973</v>
      </c>
      <c r="AM700" s="43">
        <f t="shared" si="43"/>
        <v>0</v>
      </c>
      <c r="AN700" s="16" t="s">
        <v>64</v>
      </c>
      <c r="AO700" s="16" t="s">
        <v>64</v>
      </c>
    </row>
    <row r="701" spans="1:41" s="15" customFormat="1" ht="14.5" x14ac:dyDescent="0.35">
      <c r="A701" s="27" t="s">
        <v>2095</v>
      </c>
      <c r="B701" s="16" t="s">
        <v>1970</v>
      </c>
      <c r="C701" s="16" t="s">
        <v>43</v>
      </c>
      <c r="D701" s="16" t="s">
        <v>44</v>
      </c>
      <c r="E701" s="16"/>
      <c r="F701" s="16">
        <v>0</v>
      </c>
      <c r="G701" s="30" t="s">
        <v>2096</v>
      </c>
      <c r="H701" s="16">
        <v>0</v>
      </c>
      <c r="I701" s="16" t="s">
        <v>1972</v>
      </c>
      <c r="J701" s="16">
        <v>100</v>
      </c>
      <c r="K701" s="16">
        <v>0</v>
      </c>
      <c r="L701" s="16">
        <v>0</v>
      </c>
      <c r="M701" s="8">
        <v>0</v>
      </c>
      <c r="N701" s="21">
        <v>43703</v>
      </c>
      <c r="O701" s="7">
        <f t="shared" si="40"/>
        <v>26</v>
      </c>
      <c r="P701" s="22">
        <f t="shared" si="41"/>
        <v>6</v>
      </c>
      <c r="Q701" s="22">
        <f t="shared" si="42"/>
        <v>31</v>
      </c>
      <c r="R701" s="16">
        <v>0</v>
      </c>
      <c r="S701" s="29">
        <v>4.6269999999999998</v>
      </c>
      <c r="T701" s="29">
        <v>-74.081000000000003</v>
      </c>
      <c r="U701" s="22">
        <v>0</v>
      </c>
      <c r="V701" s="22">
        <v>0</v>
      </c>
      <c r="W701" s="25">
        <v>0</v>
      </c>
      <c r="X701" s="24">
        <v>0</v>
      </c>
      <c r="Y701" s="24">
        <v>0</v>
      </c>
      <c r="Z701" s="24">
        <v>0</v>
      </c>
      <c r="AA701" s="24">
        <v>0</v>
      </c>
      <c r="AB701" s="24">
        <v>0</v>
      </c>
      <c r="AC701" s="24">
        <v>0</v>
      </c>
      <c r="AD701" s="24">
        <v>0</v>
      </c>
      <c r="AE701" s="24">
        <v>0</v>
      </c>
      <c r="AF701" s="24">
        <v>0</v>
      </c>
      <c r="AG701" s="16">
        <v>0</v>
      </c>
      <c r="AH701" s="16" t="s">
        <v>64</v>
      </c>
      <c r="AI701" s="16" t="s">
        <v>1972</v>
      </c>
      <c r="AJ701" s="16" t="s">
        <v>124</v>
      </c>
      <c r="AK701" s="16" t="s">
        <v>1972</v>
      </c>
      <c r="AL701" s="25">
        <v>204160</v>
      </c>
      <c r="AM701" s="43">
        <f t="shared" si="43"/>
        <v>0</v>
      </c>
      <c r="AN701" s="16" t="s">
        <v>64</v>
      </c>
      <c r="AO701" s="16" t="s">
        <v>64</v>
      </c>
    </row>
    <row r="702" spans="1:41" s="15" customFormat="1" ht="14.5" x14ac:dyDescent="0.35">
      <c r="A702" s="27" t="s">
        <v>2097</v>
      </c>
      <c r="B702" s="16" t="s">
        <v>105</v>
      </c>
      <c r="C702" s="16" t="s">
        <v>106</v>
      </c>
      <c r="D702" s="16" t="s">
        <v>298</v>
      </c>
      <c r="E702" s="16"/>
      <c r="F702" s="16">
        <v>0</v>
      </c>
      <c r="G702" s="30" t="s">
        <v>2098</v>
      </c>
      <c r="H702" s="16">
        <v>0</v>
      </c>
      <c r="I702" s="16" t="s">
        <v>47</v>
      </c>
      <c r="J702" s="16">
        <v>100</v>
      </c>
      <c r="K702" s="16">
        <v>0</v>
      </c>
      <c r="L702" s="16">
        <v>0</v>
      </c>
      <c r="M702" s="8">
        <v>0</v>
      </c>
      <c r="N702" s="21">
        <v>45099</v>
      </c>
      <c r="O702" s="7">
        <f t="shared" si="40"/>
        <v>22</v>
      </c>
      <c r="P702" s="22">
        <f t="shared" si="41"/>
        <v>9</v>
      </c>
      <c r="Q702" s="22">
        <f t="shared" si="42"/>
        <v>30</v>
      </c>
      <c r="R702" s="16">
        <v>0</v>
      </c>
      <c r="S702" s="29">
        <v>4.8109999999999999</v>
      </c>
      <c r="T702" s="29">
        <v>-75.7</v>
      </c>
      <c r="U702" s="22">
        <v>0</v>
      </c>
      <c r="V702" s="22">
        <v>0</v>
      </c>
      <c r="W702" s="25">
        <v>0</v>
      </c>
      <c r="X702" s="24">
        <v>0</v>
      </c>
      <c r="Y702" s="24">
        <v>0</v>
      </c>
      <c r="Z702" s="24">
        <v>0</v>
      </c>
      <c r="AA702" s="24">
        <v>0</v>
      </c>
      <c r="AB702" s="24">
        <v>0</v>
      </c>
      <c r="AC702" s="24">
        <v>0</v>
      </c>
      <c r="AD702" s="24">
        <v>0</v>
      </c>
      <c r="AE702" s="24">
        <v>0</v>
      </c>
      <c r="AF702" s="24">
        <v>0</v>
      </c>
      <c r="AG702" s="16">
        <v>0</v>
      </c>
      <c r="AH702" s="16" t="s">
        <v>136</v>
      </c>
      <c r="AI702" s="16" t="s">
        <v>1972</v>
      </c>
      <c r="AJ702" s="16" t="s">
        <v>76</v>
      </c>
      <c r="AK702" s="16" t="s">
        <v>51</v>
      </c>
      <c r="AL702" s="25">
        <v>241405</v>
      </c>
      <c r="AM702" s="43">
        <f t="shared" si="43"/>
        <v>0</v>
      </c>
      <c r="AN702" s="16" t="s">
        <v>64</v>
      </c>
      <c r="AO702" s="16" t="s">
        <v>64</v>
      </c>
    </row>
    <row r="703" spans="1:41" s="15" customFormat="1" ht="14.5" x14ac:dyDescent="0.35">
      <c r="A703" s="27" t="s">
        <v>2099</v>
      </c>
      <c r="B703" s="16" t="s">
        <v>1970</v>
      </c>
      <c r="C703" s="16" t="s">
        <v>43</v>
      </c>
      <c r="D703" s="16" t="s">
        <v>44</v>
      </c>
      <c r="E703" s="16" t="s">
        <v>524</v>
      </c>
      <c r="F703" s="16">
        <v>3</v>
      </c>
      <c r="G703" s="30" t="s">
        <v>2100</v>
      </c>
      <c r="H703" s="16">
        <v>0</v>
      </c>
      <c r="I703" s="16" t="s">
        <v>47</v>
      </c>
      <c r="J703" s="16">
        <v>88.46</v>
      </c>
      <c r="K703" s="16">
        <v>0</v>
      </c>
      <c r="L703" s="16">
        <v>0</v>
      </c>
      <c r="M703" s="8">
        <v>0</v>
      </c>
      <c r="N703" s="21">
        <v>45227</v>
      </c>
      <c r="O703" s="7">
        <f t="shared" si="40"/>
        <v>28</v>
      </c>
      <c r="P703" s="22">
        <f t="shared" si="41"/>
        <v>4</v>
      </c>
      <c r="Q703" s="22">
        <f t="shared" si="42"/>
        <v>31</v>
      </c>
      <c r="R703" s="16">
        <v>0</v>
      </c>
      <c r="S703" s="29">
        <v>4.609</v>
      </c>
      <c r="T703" s="29">
        <v>-74.111999999999995</v>
      </c>
      <c r="U703" s="22">
        <v>0</v>
      </c>
      <c r="V703" s="22">
        <v>0</v>
      </c>
      <c r="W703" s="25">
        <v>0</v>
      </c>
      <c r="X703" s="24">
        <v>0</v>
      </c>
      <c r="Y703" s="24">
        <v>0</v>
      </c>
      <c r="Z703" s="24">
        <v>0</v>
      </c>
      <c r="AA703" s="24">
        <v>0</v>
      </c>
      <c r="AB703" s="24">
        <v>0</v>
      </c>
      <c r="AC703" s="24">
        <v>0</v>
      </c>
      <c r="AD703" s="24">
        <v>0</v>
      </c>
      <c r="AE703" s="24">
        <v>0</v>
      </c>
      <c r="AF703" s="24">
        <v>0</v>
      </c>
      <c r="AG703" s="16">
        <v>0</v>
      </c>
      <c r="AH703" s="16" t="s">
        <v>48</v>
      </c>
      <c r="AI703" s="16" t="s">
        <v>1972</v>
      </c>
      <c r="AJ703" s="16" t="s">
        <v>50</v>
      </c>
      <c r="AK703" s="16" t="s">
        <v>71</v>
      </c>
      <c r="AL703" s="25">
        <v>232000</v>
      </c>
      <c r="AM703" s="43">
        <f t="shared" si="43"/>
        <v>0</v>
      </c>
      <c r="AN703" s="16" t="s">
        <v>64</v>
      </c>
      <c r="AO703" s="16" t="s">
        <v>64</v>
      </c>
    </row>
    <row r="704" spans="1:41" s="15" customFormat="1" ht="14.5" x14ac:dyDescent="0.35">
      <c r="A704" s="27" t="s">
        <v>2101</v>
      </c>
      <c r="B704" s="16" t="s">
        <v>42</v>
      </c>
      <c r="C704" s="16" t="s">
        <v>126</v>
      </c>
      <c r="D704" s="16" t="s">
        <v>127</v>
      </c>
      <c r="E704" s="16"/>
      <c r="F704" s="16">
        <v>3</v>
      </c>
      <c r="G704" s="30" t="s">
        <v>2102</v>
      </c>
      <c r="H704" s="16" t="s">
        <v>2103</v>
      </c>
      <c r="I704" s="16" t="s">
        <v>47</v>
      </c>
      <c r="J704" s="16">
        <v>128.52000000000001</v>
      </c>
      <c r="K704" s="16">
        <v>0</v>
      </c>
      <c r="L704" s="16">
        <v>0</v>
      </c>
      <c r="M704" s="8">
        <v>0</v>
      </c>
      <c r="N704" s="21">
        <v>45747</v>
      </c>
      <c r="O704" s="7">
        <f t="shared" si="40"/>
        <v>31</v>
      </c>
      <c r="P704" s="22">
        <f t="shared" si="41"/>
        <v>1</v>
      </c>
      <c r="Q704" s="22">
        <f t="shared" si="42"/>
        <v>31</v>
      </c>
      <c r="R704" s="16">
        <v>0</v>
      </c>
      <c r="S704" s="29">
        <v>5.524</v>
      </c>
      <c r="T704" s="29">
        <v>-73.367000000000004</v>
      </c>
      <c r="U704" s="22">
        <v>0</v>
      </c>
      <c r="V704" s="22">
        <v>0</v>
      </c>
      <c r="W704" s="25">
        <v>0</v>
      </c>
      <c r="X704" s="24">
        <v>0</v>
      </c>
      <c r="Y704" s="24">
        <v>0</v>
      </c>
      <c r="Z704" s="24">
        <v>0</v>
      </c>
      <c r="AA704" s="24">
        <v>0</v>
      </c>
      <c r="AB704" s="24">
        <v>0</v>
      </c>
      <c r="AC704" s="24">
        <v>0</v>
      </c>
      <c r="AD704" s="24">
        <v>0</v>
      </c>
      <c r="AE704" s="24">
        <v>0</v>
      </c>
      <c r="AF704" s="24">
        <v>0</v>
      </c>
      <c r="AG704" s="16">
        <v>0</v>
      </c>
      <c r="AH704" s="16" t="s">
        <v>64</v>
      </c>
      <c r="AI704" s="16" t="s">
        <v>1972</v>
      </c>
      <c r="AJ704" s="16" t="s">
        <v>1972</v>
      </c>
      <c r="AK704" s="16" t="s">
        <v>1972</v>
      </c>
      <c r="AL704" s="25" t="s">
        <v>1973</v>
      </c>
      <c r="AM704" s="43">
        <f t="shared" si="43"/>
        <v>0</v>
      </c>
      <c r="AN704" s="16" t="s">
        <v>64</v>
      </c>
      <c r="AO704" s="16" t="s">
        <v>64</v>
      </c>
    </row>
    <row r="705" spans="1:41" s="15" customFormat="1" ht="14.5" x14ac:dyDescent="0.35">
      <c r="A705" s="27" t="s">
        <v>2104</v>
      </c>
      <c r="B705" s="16" t="s">
        <v>1970</v>
      </c>
      <c r="C705" s="16" t="s">
        <v>43</v>
      </c>
      <c r="D705" s="16" t="s">
        <v>44</v>
      </c>
      <c r="E705" s="16"/>
      <c r="F705" s="16">
        <v>0</v>
      </c>
      <c r="G705" s="30" t="s">
        <v>2105</v>
      </c>
      <c r="H705" s="16">
        <v>0</v>
      </c>
      <c r="I705" s="16" t="s">
        <v>1972</v>
      </c>
      <c r="J705" s="16">
        <v>100</v>
      </c>
      <c r="K705" s="16">
        <v>0</v>
      </c>
      <c r="L705" s="16">
        <v>0</v>
      </c>
      <c r="M705" s="8">
        <v>0</v>
      </c>
      <c r="N705" s="21">
        <v>43356</v>
      </c>
      <c r="O705" s="7">
        <f t="shared" si="40"/>
        <v>13</v>
      </c>
      <c r="P705" s="22">
        <f t="shared" si="41"/>
        <v>18</v>
      </c>
      <c r="Q705" s="22">
        <f t="shared" si="42"/>
        <v>30</v>
      </c>
      <c r="R705" s="16">
        <v>0</v>
      </c>
      <c r="S705" s="29">
        <v>4.601</v>
      </c>
      <c r="T705" s="29">
        <v>-74.075000000000003</v>
      </c>
      <c r="U705" s="22">
        <v>0</v>
      </c>
      <c r="V705" s="22">
        <v>0</v>
      </c>
      <c r="W705" s="25">
        <v>0</v>
      </c>
      <c r="X705" s="24">
        <v>0</v>
      </c>
      <c r="Y705" s="24">
        <v>0</v>
      </c>
      <c r="Z705" s="24">
        <v>0</v>
      </c>
      <c r="AA705" s="24">
        <v>0</v>
      </c>
      <c r="AB705" s="24">
        <v>0</v>
      </c>
      <c r="AC705" s="24">
        <v>0</v>
      </c>
      <c r="AD705" s="24">
        <v>0</v>
      </c>
      <c r="AE705" s="24">
        <v>0</v>
      </c>
      <c r="AF705" s="24">
        <v>0</v>
      </c>
      <c r="AG705" s="16">
        <v>0</v>
      </c>
      <c r="AH705" s="16" t="s">
        <v>64</v>
      </c>
      <c r="AI705" s="16" t="s">
        <v>1972</v>
      </c>
      <c r="AJ705" s="16" t="s">
        <v>76</v>
      </c>
      <c r="AK705" s="16" t="s">
        <v>1972</v>
      </c>
      <c r="AL705" s="25">
        <v>241405</v>
      </c>
      <c r="AM705" s="43">
        <f t="shared" si="43"/>
        <v>0</v>
      </c>
      <c r="AN705" s="16" t="s">
        <v>64</v>
      </c>
      <c r="AO705" s="16" t="s">
        <v>64</v>
      </c>
    </row>
    <row r="706" spans="1:41" s="15" customFormat="1" ht="14.5" x14ac:dyDescent="0.35">
      <c r="A706" s="27" t="s">
        <v>2106</v>
      </c>
      <c r="B706" s="16" t="s">
        <v>42</v>
      </c>
      <c r="C706" s="16" t="s">
        <v>93</v>
      </c>
      <c r="D706" s="16" t="s">
        <v>744</v>
      </c>
      <c r="E706" s="16"/>
      <c r="F706" s="16">
        <v>0</v>
      </c>
      <c r="G706" s="30" t="s">
        <v>2107</v>
      </c>
      <c r="H706" s="16">
        <v>0</v>
      </c>
      <c r="I706" s="16" t="s">
        <v>102</v>
      </c>
      <c r="J706" s="16">
        <v>100</v>
      </c>
      <c r="K706" s="16">
        <v>0</v>
      </c>
      <c r="L706" s="16">
        <v>0</v>
      </c>
      <c r="M706" s="8">
        <v>0</v>
      </c>
      <c r="N706" s="21">
        <v>45230</v>
      </c>
      <c r="O706" s="7">
        <f t="shared" ref="O706:O769" si="44">DAY(N706)</f>
        <v>31</v>
      </c>
      <c r="P706" s="22">
        <f t="shared" ref="P706:P769" si="45">Q706-O706+1</f>
        <v>1</v>
      </c>
      <c r="Q706" s="22">
        <f t="shared" ref="Q706:Q769" si="46">DAY(EOMONTH(N706,0))</f>
        <v>31</v>
      </c>
      <c r="R706" s="16">
        <v>0</v>
      </c>
      <c r="S706" s="29">
        <v>5.0270000000000001</v>
      </c>
      <c r="T706" s="29">
        <v>-73.983000000000004</v>
      </c>
      <c r="U706" s="22">
        <v>0</v>
      </c>
      <c r="V706" s="22">
        <v>0</v>
      </c>
      <c r="W706" s="25">
        <v>0</v>
      </c>
      <c r="X706" s="24">
        <v>0</v>
      </c>
      <c r="Y706" s="24">
        <v>0</v>
      </c>
      <c r="Z706" s="24">
        <v>0</v>
      </c>
      <c r="AA706" s="24">
        <v>0</v>
      </c>
      <c r="AB706" s="24">
        <v>0</v>
      </c>
      <c r="AC706" s="24">
        <v>0</v>
      </c>
      <c r="AD706" s="24">
        <v>0</v>
      </c>
      <c r="AE706" s="24">
        <v>0</v>
      </c>
      <c r="AF706" s="24">
        <v>0</v>
      </c>
      <c r="AG706" s="16">
        <v>0</v>
      </c>
      <c r="AH706" s="16" t="s">
        <v>136</v>
      </c>
      <c r="AI706" s="16" t="s">
        <v>1972</v>
      </c>
      <c r="AJ706" s="16" t="s">
        <v>76</v>
      </c>
      <c r="AK706" s="16" t="s">
        <v>1994</v>
      </c>
      <c r="AL706" s="25">
        <v>241405</v>
      </c>
      <c r="AM706" s="43">
        <f t="shared" ref="AM706:AM769" si="47">AE706/J706</f>
        <v>0</v>
      </c>
      <c r="AN706" s="16" t="s">
        <v>64</v>
      </c>
      <c r="AO706" s="16" t="s">
        <v>64</v>
      </c>
    </row>
    <row r="707" spans="1:41" s="15" customFormat="1" ht="14.5" x14ac:dyDescent="0.35">
      <c r="A707" s="27" t="s">
        <v>2108</v>
      </c>
      <c r="B707" s="16" t="s">
        <v>1970</v>
      </c>
      <c r="C707" s="16" t="s">
        <v>43</v>
      </c>
      <c r="D707" s="16" t="s">
        <v>44</v>
      </c>
      <c r="E707" s="16" t="s">
        <v>1050</v>
      </c>
      <c r="F707" s="16">
        <v>4</v>
      </c>
      <c r="G707" s="30" t="s">
        <v>2109</v>
      </c>
      <c r="H707" s="16">
        <v>0</v>
      </c>
      <c r="I707" s="16" t="s">
        <v>102</v>
      </c>
      <c r="J707" s="16">
        <v>107.1</v>
      </c>
      <c r="K707" s="16">
        <v>0</v>
      </c>
      <c r="L707" s="16">
        <v>0</v>
      </c>
      <c r="M707" s="8">
        <v>0</v>
      </c>
      <c r="N707" s="21">
        <v>45609</v>
      </c>
      <c r="O707" s="7">
        <f t="shared" si="44"/>
        <v>13</v>
      </c>
      <c r="P707" s="22">
        <f t="shared" si="45"/>
        <v>18</v>
      </c>
      <c r="Q707" s="22">
        <f t="shared" si="46"/>
        <v>30</v>
      </c>
      <c r="R707" s="16">
        <v>0</v>
      </c>
      <c r="S707" s="29">
        <v>4.6559999999999997</v>
      </c>
      <c r="T707" s="29">
        <v>-74.126999999999995</v>
      </c>
      <c r="U707" s="22">
        <v>0</v>
      </c>
      <c r="V707" s="22">
        <v>0</v>
      </c>
      <c r="W707" s="25">
        <v>0</v>
      </c>
      <c r="X707" s="24">
        <v>0</v>
      </c>
      <c r="Y707" s="24">
        <v>0</v>
      </c>
      <c r="Z707" s="24">
        <v>0</v>
      </c>
      <c r="AA707" s="24">
        <v>0</v>
      </c>
      <c r="AB707" s="24">
        <v>0</v>
      </c>
      <c r="AC707" s="24">
        <v>0</v>
      </c>
      <c r="AD707" s="24">
        <v>0</v>
      </c>
      <c r="AE707" s="24">
        <v>0</v>
      </c>
      <c r="AF707" s="24">
        <v>0</v>
      </c>
      <c r="AG707" s="16">
        <v>0</v>
      </c>
      <c r="AH707" s="16" t="s">
        <v>64</v>
      </c>
      <c r="AI707" s="16" t="s">
        <v>1972</v>
      </c>
      <c r="AJ707" s="16" t="s">
        <v>50</v>
      </c>
      <c r="AK707" s="16" t="s">
        <v>1972</v>
      </c>
      <c r="AL707" s="25">
        <v>232000</v>
      </c>
      <c r="AM707" s="43">
        <f t="shared" si="47"/>
        <v>0</v>
      </c>
      <c r="AN707" s="16" t="s">
        <v>64</v>
      </c>
      <c r="AO707" s="16" t="s">
        <v>64</v>
      </c>
    </row>
    <row r="708" spans="1:41" s="15" customFormat="1" ht="14.5" x14ac:dyDescent="0.35">
      <c r="A708" s="27" t="s">
        <v>2110</v>
      </c>
      <c r="B708" s="16" t="s">
        <v>55</v>
      </c>
      <c r="C708" s="16" t="s">
        <v>93</v>
      </c>
      <c r="D708" s="16" t="s">
        <v>854</v>
      </c>
      <c r="E708" s="16"/>
      <c r="F708" s="16">
        <v>0</v>
      </c>
      <c r="G708" s="30" t="s">
        <v>2111</v>
      </c>
      <c r="H708" s="16">
        <v>0</v>
      </c>
      <c r="I708" s="16" t="s">
        <v>47</v>
      </c>
      <c r="J708" s="16">
        <v>100</v>
      </c>
      <c r="K708" s="16">
        <v>0</v>
      </c>
      <c r="L708" s="16">
        <v>0</v>
      </c>
      <c r="M708" s="8">
        <v>0</v>
      </c>
      <c r="N708" s="21">
        <v>45126</v>
      </c>
      <c r="O708" s="7">
        <f t="shared" si="44"/>
        <v>19</v>
      </c>
      <c r="P708" s="22">
        <f t="shared" si="45"/>
        <v>13</v>
      </c>
      <c r="Q708" s="22">
        <f t="shared" si="46"/>
        <v>31</v>
      </c>
      <c r="R708" s="16">
        <v>0</v>
      </c>
      <c r="S708" s="29">
        <v>4.7089999999999996</v>
      </c>
      <c r="T708" s="29">
        <v>-74.209000000000003</v>
      </c>
      <c r="U708" s="22">
        <v>0</v>
      </c>
      <c r="V708" s="22">
        <v>0</v>
      </c>
      <c r="W708" s="25">
        <v>0</v>
      </c>
      <c r="X708" s="24">
        <v>0</v>
      </c>
      <c r="Y708" s="24">
        <v>0</v>
      </c>
      <c r="Z708" s="24">
        <v>0</v>
      </c>
      <c r="AA708" s="24">
        <v>0</v>
      </c>
      <c r="AB708" s="24">
        <v>0</v>
      </c>
      <c r="AC708" s="24">
        <v>0</v>
      </c>
      <c r="AD708" s="24">
        <v>0</v>
      </c>
      <c r="AE708" s="24">
        <v>0</v>
      </c>
      <c r="AF708" s="24">
        <v>0</v>
      </c>
      <c r="AG708" s="16">
        <v>0</v>
      </c>
      <c r="AH708" s="16" t="s">
        <v>64</v>
      </c>
      <c r="AI708" s="16" t="s">
        <v>1972</v>
      </c>
      <c r="AJ708" s="16" t="s">
        <v>76</v>
      </c>
      <c r="AK708" s="16" t="s">
        <v>1972</v>
      </c>
      <c r="AL708" s="25">
        <v>241405</v>
      </c>
      <c r="AM708" s="43">
        <f t="shared" si="47"/>
        <v>0</v>
      </c>
      <c r="AN708" s="16" t="s">
        <v>64</v>
      </c>
      <c r="AO708" s="16" t="s">
        <v>64</v>
      </c>
    </row>
    <row r="709" spans="1:41" s="15" customFormat="1" ht="14.5" x14ac:dyDescent="0.35">
      <c r="A709" s="27" t="s">
        <v>2112</v>
      </c>
      <c r="B709" s="16" t="s">
        <v>119</v>
      </c>
      <c r="C709" s="16" t="s">
        <v>120</v>
      </c>
      <c r="D709" s="16" t="s">
        <v>121</v>
      </c>
      <c r="E709" s="16"/>
      <c r="F709" s="16">
        <v>0</v>
      </c>
      <c r="G709" s="30" t="s">
        <v>2113</v>
      </c>
      <c r="H709" s="16">
        <v>0</v>
      </c>
      <c r="I709" s="16" t="s">
        <v>47</v>
      </c>
      <c r="J709" s="16">
        <v>100</v>
      </c>
      <c r="K709" s="16">
        <v>0</v>
      </c>
      <c r="L709" s="16">
        <v>0</v>
      </c>
      <c r="M709" s="8">
        <v>0</v>
      </c>
      <c r="N709" s="21">
        <v>45136</v>
      </c>
      <c r="O709" s="7">
        <f t="shared" si="44"/>
        <v>29</v>
      </c>
      <c r="P709" s="22">
        <f t="shared" si="45"/>
        <v>3</v>
      </c>
      <c r="Q709" s="22">
        <f t="shared" si="46"/>
        <v>31</v>
      </c>
      <c r="R709" s="16">
        <v>0</v>
      </c>
      <c r="S709" s="29">
        <v>7.1150000000000002</v>
      </c>
      <c r="T709" s="29">
        <v>-73.134</v>
      </c>
      <c r="U709" s="22">
        <v>0</v>
      </c>
      <c r="V709" s="22">
        <v>0</v>
      </c>
      <c r="W709" s="25">
        <v>0</v>
      </c>
      <c r="X709" s="24">
        <v>0</v>
      </c>
      <c r="Y709" s="24">
        <v>0</v>
      </c>
      <c r="Z709" s="24">
        <v>0</v>
      </c>
      <c r="AA709" s="24">
        <v>0</v>
      </c>
      <c r="AB709" s="24">
        <v>0</v>
      </c>
      <c r="AC709" s="24">
        <v>0</v>
      </c>
      <c r="AD709" s="24">
        <v>0</v>
      </c>
      <c r="AE709" s="24">
        <v>0</v>
      </c>
      <c r="AF709" s="24">
        <v>0</v>
      </c>
      <c r="AG709" s="16">
        <v>0</v>
      </c>
      <c r="AH709" s="16" t="s">
        <v>64</v>
      </c>
      <c r="AI709" s="16" t="s">
        <v>1972</v>
      </c>
      <c r="AJ709" s="16" t="s">
        <v>50</v>
      </c>
      <c r="AK709" s="16" t="s">
        <v>71</v>
      </c>
      <c r="AL709" s="25">
        <v>232000</v>
      </c>
      <c r="AM709" s="43">
        <f t="shared" si="47"/>
        <v>0</v>
      </c>
      <c r="AN709" s="16" t="s">
        <v>64</v>
      </c>
      <c r="AO709" s="16" t="s">
        <v>64</v>
      </c>
    </row>
    <row r="710" spans="1:41" s="15" customFormat="1" ht="14.5" x14ac:dyDescent="0.35">
      <c r="A710" s="27" t="s">
        <v>2114</v>
      </c>
      <c r="B710" s="16" t="s">
        <v>105</v>
      </c>
      <c r="C710" s="16" t="s">
        <v>112</v>
      </c>
      <c r="D710" s="16" t="s">
        <v>113</v>
      </c>
      <c r="E710" s="16" t="s">
        <v>735</v>
      </c>
      <c r="F710" s="16">
        <v>5</v>
      </c>
      <c r="G710" s="30" t="s">
        <v>2115</v>
      </c>
      <c r="H710" s="16" t="s">
        <v>2116</v>
      </c>
      <c r="I710" s="16" t="s">
        <v>102</v>
      </c>
      <c r="J710" s="16">
        <v>127.08</v>
      </c>
      <c r="K710" s="16">
        <v>0</v>
      </c>
      <c r="L710" s="16">
        <v>0</v>
      </c>
      <c r="M710" s="8">
        <v>0</v>
      </c>
      <c r="N710" s="21">
        <v>45743</v>
      </c>
      <c r="O710" s="7">
        <f t="shared" si="44"/>
        <v>27</v>
      </c>
      <c r="P710" s="22">
        <f t="shared" si="45"/>
        <v>5</v>
      </c>
      <c r="Q710" s="22">
        <f t="shared" si="46"/>
        <v>31</v>
      </c>
      <c r="R710" s="16">
        <v>0</v>
      </c>
      <c r="S710" s="29">
        <v>3.3940000000000001</v>
      </c>
      <c r="T710" s="29">
        <v>-76.540999999999997</v>
      </c>
      <c r="U710" s="22">
        <v>0</v>
      </c>
      <c r="V710" s="22">
        <v>0</v>
      </c>
      <c r="W710" s="25">
        <v>0</v>
      </c>
      <c r="X710" s="24">
        <v>0</v>
      </c>
      <c r="Y710" s="24">
        <v>0</v>
      </c>
      <c r="Z710" s="24">
        <v>0</v>
      </c>
      <c r="AA710" s="24">
        <v>0</v>
      </c>
      <c r="AB710" s="24">
        <v>0</v>
      </c>
      <c r="AC710" s="24">
        <v>0</v>
      </c>
      <c r="AD710" s="24">
        <v>0</v>
      </c>
      <c r="AE710" s="24">
        <v>0</v>
      </c>
      <c r="AF710" s="24">
        <v>0</v>
      </c>
      <c r="AG710" s="16">
        <v>0</v>
      </c>
      <c r="AH710" s="16" t="s">
        <v>64</v>
      </c>
      <c r="AI710" s="16" t="s">
        <v>1972</v>
      </c>
      <c r="AJ710" s="16" t="s">
        <v>76</v>
      </c>
      <c r="AK710" s="16" t="s">
        <v>1972</v>
      </c>
      <c r="AL710" s="25">
        <v>241405</v>
      </c>
      <c r="AM710" s="43">
        <f t="shared" si="47"/>
        <v>0</v>
      </c>
      <c r="AN710" s="16" t="s">
        <v>64</v>
      </c>
      <c r="AO710" s="16" t="s">
        <v>64</v>
      </c>
    </row>
    <row r="711" spans="1:41" s="15" customFormat="1" ht="14.5" x14ac:dyDescent="0.35">
      <c r="A711" s="27" t="s">
        <v>2117</v>
      </c>
      <c r="B711" s="16" t="s">
        <v>119</v>
      </c>
      <c r="C711" s="16" t="s">
        <v>120</v>
      </c>
      <c r="D711" s="16" t="s">
        <v>121</v>
      </c>
      <c r="E711" s="16"/>
      <c r="F711" s="16">
        <v>0</v>
      </c>
      <c r="G711" s="30" t="s">
        <v>2118</v>
      </c>
      <c r="H711" s="16">
        <v>0</v>
      </c>
      <c r="I711" s="16" t="s">
        <v>47</v>
      </c>
      <c r="J711" s="16">
        <v>100</v>
      </c>
      <c r="K711" s="16">
        <v>0</v>
      </c>
      <c r="L711" s="16">
        <v>0</v>
      </c>
      <c r="M711" s="8">
        <v>0</v>
      </c>
      <c r="N711" s="21">
        <v>45045</v>
      </c>
      <c r="O711" s="7">
        <f t="shared" si="44"/>
        <v>29</v>
      </c>
      <c r="P711" s="22">
        <f t="shared" si="45"/>
        <v>2</v>
      </c>
      <c r="Q711" s="22">
        <f t="shared" si="46"/>
        <v>30</v>
      </c>
      <c r="R711" s="16">
        <v>0</v>
      </c>
      <c r="S711" s="29">
        <v>7.1139999999999999</v>
      </c>
      <c r="T711" s="29">
        <v>-73.13</v>
      </c>
      <c r="U711" s="22">
        <v>0</v>
      </c>
      <c r="V711" s="22">
        <v>0</v>
      </c>
      <c r="W711" s="25">
        <v>0</v>
      </c>
      <c r="X711" s="24">
        <v>0</v>
      </c>
      <c r="Y711" s="24">
        <v>0</v>
      </c>
      <c r="Z711" s="24">
        <v>0</v>
      </c>
      <c r="AA711" s="24">
        <v>0</v>
      </c>
      <c r="AB711" s="24">
        <v>0</v>
      </c>
      <c r="AC711" s="24">
        <v>0</v>
      </c>
      <c r="AD711" s="24">
        <v>0</v>
      </c>
      <c r="AE711" s="24">
        <v>0</v>
      </c>
      <c r="AF711" s="24">
        <v>0</v>
      </c>
      <c r="AG711" s="16">
        <v>0</v>
      </c>
      <c r="AH711" s="16" t="s">
        <v>64</v>
      </c>
      <c r="AI711" s="16" t="s">
        <v>1972</v>
      </c>
      <c r="AJ711" s="16" t="s">
        <v>50</v>
      </c>
      <c r="AK711" s="16" t="s">
        <v>1972</v>
      </c>
      <c r="AL711" s="25">
        <v>232000</v>
      </c>
      <c r="AM711" s="43">
        <f t="shared" si="47"/>
        <v>0</v>
      </c>
      <c r="AN711" s="16" t="s">
        <v>64</v>
      </c>
      <c r="AO711" s="16" t="s">
        <v>64</v>
      </c>
    </row>
    <row r="712" spans="1:41" s="15" customFormat="1" ht="14.5" x14ac:dyDescent="0.35">
      <c r="A712" s="27" t="s">
        <v>2119</v>
      </c>
      <c r="B712" s="16" t="s">
        <v>55</v>
      </c>
      <c r="C712" s="16" t="s">
        <v>93</v>
      </c>
      <c r="D712" s="16" t="s">
        <v>553</v>
      </c>
      <c r="E712" s="16"/>
      <c r="F712" s="16">
        <v>0</v>
      </c>
      <c r="G712" s="30" t="s">
        <v>2120</v>
      </c>
      <c r="H712" s="16">
        <v>0</v>
      </c>
      <c r="I712" s="16" t="s">
        <v>47</v>
      </c>
      <c r="J712" s="16">
        <v>100</v>
      </c>
      <c r="K712" s="16">
        <v>0</v>
      </c>
      <c r="L712" s="16">
        <v>0</v>
      </c>
      <c r="M712" s="8">
        <v>0</v>
      </c>
      <c r="N712" s="21">
        <v>45342</v>
      </c>
      <c r="O712" s="7">
        <f t="shared" si="44"/>
        <v>20</v>
      </c>
      <c r="P712" s="22">
        <f t="shared" si="45"/>
        <v>10</v>
      </c>
      <c r="Q712" s="22">
        <f t="shared" si="46"/>
        <v>29</v>
      </c>
      <c r="R712" s="16">
        <v>0</v>
      </c>
      <c r="S712" s="29">
        <v>4.327</v>
      </c>
      <c r="T712" s="29">
        <v>-74.409000000000006</v>
      </c>
      <c r="U712" s="22">
        <v>0</v>
      </c>
      <c r="V712" s="22">
        <v>0</v>
      </c>
      <c r="W712" s="25">
        <v>0</v>
      </c>
      <c r="X712" s="24">
        <v>0</v>
      </c>
      <c r="Y712" s="24">
        <v>0</v>
      </c>
      <c r="Z712" s="24">
        <v>0</v>
      </c>
      <c r="AA712" s="24">
        <v>0</v>
      </c>
      <c r="AB712" s="24">
        <v>0</v>
      </c>
      <c r="AC712" s="24">
        <v>0</v>
      </c>
      <c r="AD712" s="24">
        <v>0</v>
      </c>
      <c r="AE712" s="24">
        <v>0</v>
      </c>
      <c r="AF712" s="24">
        <v>0</v>
      </c>
      <c r="AG712" s="16">
        <v>0</v>
      </c>
      <c r="AH712" s="16" t="s">
        <v>58</v>
      </c>
      <c r="AI712" s="16" t="s">
        <v>1972</v>
      </c>
      <c r="AJ712" s="16" t="s">
        <v>50</v>
      </c>
      <c r="AK712" s="16" t="s">
        <v>51</v>
      </c>
      <c r="AL712" s="25">
        <v>232000</v>
      </c>
      <c r="AM712" s="43">
        <f t="shared" si="47"/>
        <v>0</v>
      </c>
      <c r="AN712" s="16" t="s">
        <v>64</v>
      </c>
      <c r="AO712" s="16" t="s">
        <v>64</v>
      </c>
    </row>
    <row r="713" spans="1:41" s="15" customFormat="1" ht="14.5" x14ac:dyDescent="0.35">
      <c r="A713" s="27" t="s">
        <v>2121</v>
      </c>
      <c r="B713" s="16" t="s">
        <v>55</v>
      </c>
      <c r="C713" s="16" t="s">
        <v>93</v>
      </c>
      <c r="D713" s="16" t="s">
        <v>854</v>
      </c>
      <c r="E713" s="16"/>
      <c r="F713" s="16">
        <v>3</v>
      </c>
      <c r="G713" s="30" t="s">
        <v>2122</v>
      </c>
      <c r="H713" s="16">
        <v>0</v>
      </c>
      <c r="I713" s="16" t="s">
        <v>718</v>
      </c>
      <c r="J713" s="16">
        <v>122.22</v>
      </c>
      <c r="K713" s="16">
        <v>0</v>
      </c>
      <c r="L713" s="16">
        <v>0</v>
      </c>
      <c r="M713" s="8">
        <v>0</v>
      </c>
      <c r="N713" s="21">
        <v>45289</v>
      </c>
      <c r="O713" s="7">
        <f t="shared" si="44"/>
        <v>29</v>
      </c>
      <c r="P713" s="22">
        <f t="shared" si="45"/>
        <v>3</v>
      </c>
      <c r="Q713" s="22">
        <f t="shared" si="46"/>
        <v>31</v>
      </c>
      <c r="R713" s="16">
        <v>0</v>
      </c>
      <c r="S713" s="29">
        <v>4.7110000000000003</v>
      </c>
      <c r="T713" s="29">
        <v>-74.212999999999994</v>
      </c>
      <c r="U713" s="22">
        <v>0</v>
      </c>
      <c r="V713" s="22">
        <v>0</v>
      </c>
      <c r="W713" s="25">
        <v>0</v>
      </c>
      <c r="X713" s="24">
        <v>0</v>
      </c>
      <c r="Y713" s="24">
        <v>0</v>
      </c>
      <c r="Z713" s="24">
        <v>0</v>
      </c>
      <c r="AA713" s="24">
        <v>0</v>
      </c>
      <c r="AB713" s="24">
        <v>0</v>
      </c>
      <c r="AC713" s="24">
        <v>0</v>
      </c>
      <c r="AD713" s="24">
        <v>0</v>
      </c>
      <c r="AE713" s="24">
        <v>0</v>
      </c>
      <c r="AF713" s="24">
        <v>0</v>
      </c>
      <c r="AG713" s="16">
        <v>0</v>
      </c>
      <c r="AH713" s="16" t="s">
        <v>64</v>
      </c>
      <c r="AI713" s="16" t="s">
        <v>1972</v>
      </c>
      <c r="AJ713" s="16" t="s">
        <v>1972</v>
      </c>
      <c r="AK713" s="16" t="s">
        <v>1972</v>
      </c>
      <c r="AL713" s="25" t="s">
        <v>1973</v>
      </c>
      <c r="AM713" s="43">
        <f t="shared" si="47"/>
        <v>0</v>
      </c>
      <c r="AN713" s="16" t="s">
        <v>64</v>
      </c>
      <c r="AO713" s="16" t="s">
        <v>64</v>
      </c>
    </row>
    <row r="714" spans="1:41" s="15" customFormat="1" ht="14.5" x14ac:dyDescent="0.35">
      <c r="A714" s="27" t="s">
        <v>2123</v>
      </c>
      <c r="B714" s="16" t="s">
        <v>119</v>
      </c>
      <c r="C714" s="16" t="s">
        <v>120</v>
      </c>
      <c r="D714" s="16" t="s">
        <v>147</v>
      </c>
      <c r="E714" s="16"/>
      <c r="F714" s="16">
        <v>0</v>
      </c>
      <c r="G714" s="30" t="s">
        <v>2124</v>
      </c>
      <c r="H714" s="16">
        <v>0</v>
      </c>
      <c r="I714" s="16" t="s">
        <v>1972</v>
      </c>
      <c r="J714" s="16">
        <v>100</v>
      </c>
      <c r="K714" s="16">
        <v>0</v>
      </c>
      <c r="L714" s="16">
        <v>0</v>
      </c>
      <c r="M714" s="8">
        <v>0</v>
      </c>
      <c r="N714" s="21">
        <v>45058</v>
      </c>
      <c r="O714" s="7">
        <f t="shared" si="44"/>
        <v>12</v>
      </c>
      <c r="P714" s="22">
        <f t="shared" si="45"/>
        <v>20</v>
      </c>
      <c r="Q714" s="22">
        <f t="shared" si="46"/>
        <v>31</v>
      </c>
      <c r="R714" s="16">
        <v>0</v>
      </c>
      <c r="S714" s="29">
        <v>7.0609999999999999</v>
      </c>
      <c r="T714" s="29">
        <v>-73.093999999999994</v>
      </c>
      <c r="U714" s="22">
        <v>0</v>
      </c>
      <c r="V714" s="22">
        <v>0</v>
      </c>
      <c r="W714" s="25">
        <v>0</v>
      </c>
      <c r="X714" s="24">
        <v>0</v>
      </c>
      <c r="Y714" s="24">
        <v>0</v>
      </c>
      <c r="Z714" s="24">
        <v>0</v>
      </c>
      <c r="AA714" s="24">
        <v>0</v>
      </c>
      <c r="AB714" s="24">
        <v>0</v>
      </c>
      <c r="AC714" s="24">
        <v>0</v>
      </c>
      <c r="AD714" s="24">
        <v>0</v>
      </c>
      <c r="AE714" s="24">
        <v>0</v>
      </c>
      <c r="AF714" s="24">
        <v>0</v>
      </c>
      <c r="AG714" s="16">
        <v>0</v>
      </c>
      <c r="AH714" s="16" t="s">
        <v>64</v>
      </c>
      <c r="AI714" s="16" t="s">
        <v>1972</v>
      </c>
      <c r="AJ714" s="16" t="s">
        <v>50</v>
      </c>
      <c r="AK714" s="16" t="s">
        <v>1972</v>
      </c>
      <c r="AL714" s="25">
        <v>232000</v>
      </c>
      <c r="AM714" s="43">
        <f t="shared" si="47"/>
        <v>0</v>
      </c>
      <c r="AN714" s="16" t="s">
        <v>64</v>
      </c>
      <c r="AO714" s="16" t="s">
        <v>64</v>
      </c>
    </row>
    <row r="715" spans="1:41" s="15" customFormat="1" ht="14.5" x14ac:dyDescent="0.35">
      <c r="A715" s="27" t="s">
        <v>2125</v>
      </c>
      <c r="B715" s="16" t="s">
        <v>105</v>
      </c>
      <c r="C715" s="16" t="s">
        <v>170</v>
      </c>
      <c r="D715" s="16" t="s">
        <v>171</v>
      </c>
      <c r="E715" s="16" t="s">
        <v>2126</v>
      </c>
      <c r="F715" s="16">
        <v>5</v>
      </c>
      <c r="G715" s="30" t="s">
        <v>2127</v>
      </c>
      <c r="H715" s="16" t="s">
        <v>2128</v>
      </c>
      <c r="I715" s="16" t="s">
        <v>47</v>
      </c>
      <c r="J715" s="16">
        <v>112.51</v>
      </c>
      <c r="K715" s="16">
        <v>1500</v>
      </c>
      <c r="L715" s="16">
        <v>440</v>
      </c>
      <c r="M715" s="8">
        <v>56</v>
      </c>
      <c r="N715" s="21">
        <v>45504</v>
      </c>
      <c r="O715" s="7">
        <f t="shared" si="44"/>
        <v>31</v>
      </c>
      <c r="P715" s="22">
        <f t="shared" si="45"/>
        <v>1</v>
      </c>
      <c r="Q715" s="22">
        <f t="shared" si="46"/>
        <v>31</v>
      </c>
      <c r="R715" s="16">
        <v>26</v>
      </c>
      <c r="S715">
        <v>5.0740999999999996</v>
      </c>
      <c r="T715">
        <v>-75.526600000000002</v>
      </c>
      <c r="U715" s="22">
        <v>6041</v>
      </c>
      <c r="V715" s="22">
        <v>15259.333329999999</v>
      </c>
      <c r="W715" s="25">
        <v>13823</v>
      </c>
      <c r="X715" s="24">
        <v>13159</v>
      </c>
      <c r="Y715" s="24">
        <v>83505</v>
      </c>
      <c r="Z715" s="24">
        <v>200804</v>
      </c>
      <c r="AA715" s="24">
        <v>-177678</v>
      </c>
      <c r="AB715" s="24">
        <v>-8242</v>
      </c>
      <c r="AC715" s="24">
        <v>-78054</v>
      </c>
      <c r="AD715" s="24">
        <v>60809</v>
      </c>
      <c r="AE715" s="24">
        <v>11609</v>
      </c>
      <c r="AF715" s="24">
        <v>11358</v>
      </c>
      <c r="AG715" s="17">
        <v>0</v>
      </c>
      <c r="AH715" s="16" t="s">
        <v>136</v>
      </c>
      <c r="AI715" s="16" t="s">
        <v>1972</v>
      </c>
      <c r="AJ715" s="16" t="s">
        <v>76</v>
      </c>
      <c r="AK715" s="16" t="s">
        <v>1994</v>
      </c>
      <c r="AL715" s="25">
        <v>241405</v>
      </c>
      <c r="AM715" s="43">
        <f t="shared" si="47"/>
        <v>103.18193938316594</v>
      </c>
      <c r="AN715" s="16" t="s">
        <v>374</v>
      </c>
      <c r="AO715" s="16" t="s">
        <v>98</v>
      </c>
    </row>
    <row r="716" spans="1:41" s="15" customFormat="1" ht="14.5" x14ac:dyDescent="0.35">
      <c r="A716" s="27" t="s">
        <v>2129</v>
      </c>
      <c r="B716" s="16" t="s">
        <v>55</v>
      </c>
      <c r="C716" s="16" t="s">
        <v>93</v>
      </c>
      <c r="D716" s="16" t="s">
        <v>94</v>
      </c>
      <c r="E716" s="16"/>
      <c r="F716" s="16">
        <v>0</v>
      </c>
      <c r="G716" s="30" t="s">
        <v>2130</v>
      </c>
      <c r="H716" s="16">
        <v>0</v>
      </c>
      <c r="I716" s="16" t="s">
        <v>47</v>
      </c>
      <c r="J716" s="16">
        <v>100</v>
      </c>
      <c r="K716" s="16">
        <v>0</v>
      </c>
      <c r="L716" s="16">
        <v>0</v>
      </c>
      <c r="M716" s="8">
        <v>0</v>
      </c>
      <c r="N716" s="21">
        <v>45168</v>
      </c>
      <c r="O716" s="7">
        <f t="shared" si="44"/>
        <v>30</v>
      </c>
      <c r="P716" s="22">
        <f t="shared" si="45"/>
        <v>2</v>
      </c>
      <c r="Q716" s="22">
        <f t="shared" si="46"/>
        <v>31</v>
      </c>
      <c r="R716" s="16">
        <v>0</v>
      </c>
      <c r="S716" s="29">
        <v>4.3010000000000002</v>
      </c>
      <c r="T716" s="29">
        <v>-74.813000000000002</v>
      </c>
      <c r="U716" s="22">
        <v>0</v>
      </c>
      <c r="V716" s="22">
        <v>0</v>
      </c>
      <c r="W716" s="25">
        <v>0</v>
      </c>
      <c r="X716" s="24">
        <v>0</v>
      </c>
      <c r="Y716" s="24">
        <v>0</v>
      </c>
      <c r="Z716" s="24">
        <v>0</v>
      </c>
      <c r="AA716" s="24">
        <v>0</v>
      </c>
      <c r="AB716" s="24">
        <v>0</v>
      </c>
      <c r="AC716" s="24">
        <v>0</v>
      </c>
      <c r="AD716" s="24">
        <v>0</v>
      </c>
      <c r="AE716" s="24">
        <v>0</v>
      </c>
      <c r="AF716" s="24">
        <v>0</v>
      </c>
      <c r="AG716" s="16">
        <v>0</v>
      </c>
      <c r="AH716" s="16" t="s">
        <v>64</v>
      </c>
      <c r="AI716" s="16" t="s">
        <v>1972</v>
      </c>
      <c r="AJ716" s="16" t="s">
        <v>50</v>
      </c>
      <c r="AK716" s="16" t="s">
        <v>1972</v>
      </c>
      <c r="AL716" s="25">
        <v>232000</v>
      </c>
      <c r="AM716" s="43">
        <f t="shared" si="47"/>
        <v>0</v>
      </c>
      <c r="AN716" s="16" t="s">
        <v>64</v>
      </c>
      <c r="AO716" s="16" t="s">
        <v>64</v>
      </c>
    </row>
    <row r="717" spans="1:41" s="15" customFormat="1" ht="14.5" x14ac:dyDescent="0.35">
      <c r="A717" s="27" t="s">
        <v>2131</v>
      </c>
      <c r="B717" s="16" t="s">
        <v>42</v>
      </c>
      <c r="C717" s="16" t="s">
        <v>93</v>
      </c>
      <c r="D717" s="16" t="s">
        <v>2132</v>
      </c>
      <c r="E717" s="16"/>
      <c r="F717" s="16">
        <v>0</v>
      </c>
      <c r="G717" s="30" t="s">
        <v>2133</v>
      </c>
      <c r="H717" s="16">
        <v>0</v>
      </c>
      <c r="I717" s="16" t="s">
        <v>47</v>
      </c>
      <c r="J717" s="16">
        <v>100</v>
      </c>
      <c r="K717" s="16">
        <v>0</v>
      </c>
      <c r="L717" s="16">
        <v>0</v>
      </c>
      <c r="M717" s="8">
        <v>0</v>
      </c>
      <c r="N717" s="21">
        <v>45107</v>
      </c>
      <c r="O717" s="7">
        <f t="shared" si="44"/>
        <v>30</v>
      </c>
      <c r="P717" s="22">
        <f t="shared" si="45"/>
        <v>1</v>
      </c>
      <c r="Q717" s="22">
        <f t="shared" si="46"/>
        <v>30</v>
      </c>
      <c r="R717" s="16">
        <v>0</v>
      </c>
      <c r="S717" s="29">
        <v>4.8230000000000004</v>
      </c>
      <c r="T717" s="29">
        <v>-73.936000000000007</v>
      </c>
      <c r="U717" s="22">
        <v>0</v>
      </c>
      <c r="V717" s="22">
        <v>0</v>
      </c>
      <c r="W717" s="25">
        <v>0</v>
      </c>
      <c r="X717" s="24">
        <v>0</v>
      </c>
      <c r="Y717" s="24">
        <v>0</v>
      </c>
      <c r="Z717" s="24">
        <v>0</v>
      </c>
      <c r="AA717" s="24">
        <v>0</v>
      </c>
      <c r="AB717" s="24">
        <v>0</v>
      </c>
      <c r="AC717" s="24">
        <v>0</v>
      </c>
      <c r="AD717" s="24">
        <v>0</v>
      </c>
      <c r="AE717" s="24">
        <v>0</v>
      </c>
      <c r="AF717" s="24">
        <v>0</v>
      </c>
      <c r="AG717" s="16">
        <v>0</v>
      </c>
      <c r="AH717" s="16" t="s">
        <v>64</v>
      </c>
      <c r="AI717" s="16" t="s">
        <v>1972</v>
      </c>
      <c r="AJ717" s="16" t="s">
        <v>124</v>
      </c>
      <c r="AK717" s="16" t="s">
        <v>1994</v>
      </c>
      <c r="AL717" s="25">
        <v>204160</v>
      </c>
      <c r="AM717" s="43">
        <f t="shared" si="47"/>
        <v>0</v>
      </c>
      <c r="AN717" s="16" t="s">
        <v>64</v>
      </c>
      <c r="AO717" s="16" t="s">
        <v>64</v>
      </c>
    </row>
    <row r="718" spans="1:41" s="15" customFormat="1" ht="14.5" x14ac:dyDescent="0.35">
      <c r="A718" s="27" t="s">
        <v>2134</v>
      </c>
      <c r="B718" s="16" t="s">
        <v>183</v>
      </c>
      <c r="C718" s="16" t="s">
        <v>184</v>
      </c>
      <c r="D718" s="16" t="s">
        <v>836</v>
      </c>
      <c r="E718" s="16"/>
      <c r="F718" s="16">
        <v>4</v>
      </c>
      <c r="G718" s="30" t="s">
        <v>2135</v>
      </c>
      <c r="H718" s="16" t="s">
        <v>2136</v>
      </c>
      <c r="I718" s="16" t="s">
        <v>102</v>
      </c>
      <c r="J718" s="16">
        <v>116.53</v>
      </c>
      <c r="K718" s="16">
        <v>0</v>
      </c>
      <c r="L718" s="16">
        <v>0</v>
      </c>
      <c r="M718" s="8">
        <v>0</v>
      </c>
      <c r="N718" s="21">
        <v>45560</v>
      </c>
      <c r="O718" s="7">
        <f t="shared" si="44"/>
        <v>25</v>
      </c>
      <c r="P718" s="22">
        <f t="shared" si="45"/>
        <v>6</v>
      </c>
      <c r="Q718" s="22">
        <f t="shared" si="46"/>
        <v>30</v>
      </c>
      <c r="R718" s="16">
        <v>0</v>
      </c>
      <c r="S718" s="29">
        <v>11.019</v>
      </c>
      <c r="T718" s="29">
        <v>-74.864999999999995</v>
      </c>
      <c r="U718" s="22">
        <v>0</v>
      </c>
      <c r="V718" s="22">
        <v>0</v>
      </c>
      <c r="W718" s="25">
        <v>0</v>
      </c>
      <c r="X718" s="24">
        <v>0</v>
      </c>
      <c r="Y718" s="24">
        <v>0</v>
      </c>
      <c r="Z718" s="24">
        <v>0</v>
      </c>
      <c r="AA718" s="24">
        <v>0</v>
      </c>
      <c r="AB718" s="24">
        <v>0</v>
      </c>
      <c r="AC718" s="24">
        <v>0</v>
      </c>
      <c r="AD718" s="24">
        <v>0</v>
      </c>
      <c r="AE718" s="24">
        <v>0</v>
      </c>
      <c r="AF718" s="24">
        <v>0</v>
      </c>
      <c r="AG718" s="16">
        <v>0</v>
      </c>
      <c r="AH718" s="16" t="s">
        <v>64</v>
      </c>
      <c r="AI718" s="16" t="s">
        <v>1972</v>
      </c>
      <c r="AJ718" s="16" t="s">
        <v>50</v>
      </c>
      <c r="AK718" s="16" t="s">
        <v>1972</v>
      </c>
      <c r="AL718" s="25">
        <v>232000</v>
      </c>
      <c r="AM718" s="43">
        <f t="shared" si="47"/>
        <v>0</v>
      </c>
      <c r="AN718" s="16" t="s">
        <v>64</v>
      </c>
      <c r="AO718" s="16" t="s">
        <v>64</v>
      </c>
    </row>
    <row r="719" spans="1:41" s="15" customFormat="1" ht="14.5" x14ac:dyDescent="0.35">
      <c r="A719" s="27" t="s">
        <v>2137</v>
      </c>
      <c r="B719" s="16" t="s">
        <v>119</v>
      </c>
      <c r="C719" s="16" t="s">
        <v>120</v>
      </c>
      <c r="D719" s="16" t="s">
        <v>738</v>
      </c>
      <c r="E719" s="16"/>
      <c r="F719" s="16">
        <v>0</v>
      </c>
      <c r="G719" s="30" t="s">
        <v>2138</v>
      </c>
      <c r="H719" s="16">
        <v>0</v>
      </c>
      <c r="I719" s="16" t="s">
        <v>47</v>
      </c>
      <c r="J719" s="16">
        <v>100</v>
      </c>
      <c r="K719" s="16">
        <v>0</v>
      </c>
      <c r="L719" s="16">
        <v>0</v>
      </c>
      <c r="M719" s="8">
        <v>0</v>
      </c>
      <c r="N719" s="21">
        <v>44852</v>
      </c>
      <c r="O719" s="7">
        <f t="shared" si="44"/>
        <v>18</v>
      </c>
      <c r="P719" s="22">
        <f t="shared" si="45"/>
        <v>14</v>
      </c>
      <c r="Q719" s="22">
        <f t="shared" si="46"/>
        <v>31</v>
      </c>
      <c r="R719" s="16">
        <v>0</v>
      </c>
      <c r="S719" s="29">
        <v>7.0650000000000004</v>
      </c>
      <c r="T719" s="29">
        <v>-73.168000000000006</v>
      </c>
      <c r="U719" s="22">
        <v>0</v>
      </c>
      <c r="V719" s="22">
        <v>0</v>
      </c>
      <c r="W719" s="25">
        <v>0</v>
      </c>
      <c r="X719" s="24">
        <v>0</v>
      </c>
      <c r="Y719" s="24">
        <v>0</v>
      </c>
      <c r="Z719" s="24">
        <v>0</v>
      </c>
      <c r="AA719" s="24">
        <v>0</v>
      </c>
      <c r="AB719" s="24">
        <v>0</v>
      </c>
      <c r="AC719" s="24">
        <v>0</v>
      </c>
      <c r="AD719" s="24">
        <v>0</v>
      </c>
      <c r="AE719" s="24">
        <v>0</v>
      </c>
      <c r="AF719" s="24">
        <v>0</v>
      </c>
      <c r="AG719" s="16">
        <v>0</v>
      </c>
      <c r="AH719" s="16" t="s">
        <v>64</v>
      </c>
      <c r="AI719" s="16" t="s">
        <v>1972</v>
      </c>
      <c r="AJ719" s="16" t="s">
        <v>50</v>
      </c>
      <c r="AK719" s="16" t="s">
        <v>51</v>
      </c>
      <c r="AL719" s="25">
        <v>232000</v>
      </c>
      <c r="AM719" s="43">
        <f t="shared" si="47"/>
        <v>0</v>
      </c>
      <c r="AN719" s="16" t="s">
        <v>64</v>
      </c>
      <c r="AO719" s="16" t="s">
        <v>64</v>
      </c>
    </row>
    <row r="720" spans="1:41" s="15" customFormat="1" ht="14.5" x14ac:dyDescent="0.35">
      <c r="A720" s="27" t="s">
        <v>2139</v>
      </c>
      <c r="B720" s="16" t="s">
        <v>183</v>
      </c>
      <c r="C720" s="16" t="s">
        <v>184</v>
      </c>
      <c r="D720" s="16" t="s">
        <v>185</v>
      </c>
      <c r="E720" s="16" t="s">
        <v>347</v>
      </c>
      <c r="F720" s="16">
        <v>4</v>
      </c>
      <c r="G720" s="30" t="s">
        <v>2140</v>
      </c>
      <c r="H720" s="16">
        <v>0</v>
      </c>
      <c r="I720" s="16" t="s">
        <v>47</v>
      </c>
      <c r="J720" s="16">
        <v>85.61</v>
      </c>
      <c r="K720" s="16">
        <v>0</v>
      </c>
      <c r="L720" s="16">
        <v>0</v>
      </c>
      <c r="M720" s="8">
        <v>0</v>
      </c>
      <c r="N720" s="21">
        <v>45412</v>
      </c>
      <c r="O720" s="7">
        <f t="shared" si="44"/>
        <v>30</v>
      </c>
      <c r="P720" s="22">
        <f t="shared" si="45"/>
        <v>1</v>
      </c>
      <c r="Q720" s="22">
        <f t="shared" si="46"/>
        <v>30</v>
      </c>
      <c r="R720" s="16">
        <v>0</v>
      </c>
      <c r="S720" s="29">
        <v>11.012</v>
      </c>
      <c r="T720" s="29">
        <v>-74.828000000000003</v>
      </c>
      <c r="U720" s="22">
        <v>0</v>
      </c>
      <c r="V720" s="22">
        <v>0</v>
      </c>
      <c r="W720" s="25">
        <v>0</v>
      </c>
      <c r="X720" s="24">
        <v>0</v>
      </c>
      <c r="Y720" s="24">
        <v>0</v>
      </c>
      <c r="Z720" s="24">
        <v>0</v>
      </c>
      <c r="AA720" s="24">
        <v>0</v>
      </c>
      <c r="AB720" s="24">
        <v>0</v>
      </c>
      <c r="AC720" s="24">
        <v>0</v>
      </c>
      <c r="AD720" s="24">
        <v>0</v>
      </c>
      <c r="AE720" s="24">
        <v>0</v>
      </c>
      <c r="AF720" s="24">
        <v>0</v>
      </c>
      <c r="AG720" s="16">
        <v>0</v>
      </c>
      <c r="AH720" s="16" t="s">
        <v>64</v>
      </c>
      <c r="AI720" s="16" t="s">
        <v>1972</v>
      </c>
      <c r="AJ720" s="16" t="s">
        <v>50</v>
      </c>
      <c r="AK720" s="16" t="s">
        <v>1994</v>
      </c>
      <c r="AL720" s="25">
        <v>232000</v>
      </c>
      <c r="AM720" s="43">
        <f t="shared" si="47"/>
        <v>0</v>
      </c>
      <c r="AN720" s="16" t="s">
        <v>64</v>
      </c>
      <c r="AO720" s="16" t="s">
        <v>64</v>
      </c>
    </row>
    <row r="721" spans="1:41" s="15" customFormat="1" ht="14.5" x14ac:dyDescent="0.35">
      <c r="A721" s="27" t="s">
        <v>2141</v>
      </c>
      <c r="B721" s="16" t="s">
        <v>105</v>
      </c>
      <c r="C721" s="16" t="s">
        <v>157</v>
      </c>
      <c r="D721" s="16" t="s">
        <v>158</v>
      </c>
      <c r="E721" s="16" t="s">
        <v>818</v>
      </c>
      <c r="F721" s="16">
        <v>5</v>
      </c>
      <c r="G721" s="30" t="s">
        <v>2142</v>
      </c>
      <c r="H721" s="16" t="s">
        <v>2143</v>
      </c>
      <c r="I721" s="16" t="s">
        <v>47</v>
      </c>
      <c r="J721" s="16">
        <v>141.78</v>
      </c>
      <c r="K721" s="16">
        <v>0</v>
      </c>
      <c r="L721" s="16">
        <v>0</v>
      </c>
      <c r="M721" s="8">
        <v>0</v>
      </c>
      <c r="N721" s="21">
        <v>45595</v>
      </c>
      <c r="O721" s="7">
        <f t="shared" si="44"/>
        <v>30</v>
      </c>
      <c r="P721" s="22">
        <f t="shared" si="45"/>
        <v>2</v>
      </c>
      <c r="Q721" s="22">
        <f t="shared" si="46"/>
        <v>31</v>
      </c>
      <c r="R721" s="16">
        <v>0</v>
      </c>
      <c r="S721" s="29">
        <v>6.2169999999999996</v>
      </c>
      <c r="T721" s="29">
        <v>-75.599000000000004</v>
      </c>
      <c r="U721" s="22">
        <v>0</v>
      </c>
      <c r="V721" s="22">
        <v>0</v>
      </c>
      <c r="W721" s="25">
        <v>0</v>
      </c>
      <c r="X721" s="24">
        <v>0</v>
      </c>
      <c r="Y721" s="24">
        <v>0</v>
      </c>
      <c r="Z721" s="24">
        <v>0</v>
      </c>
      <c r="AA721" s="24">
        <v>0</v>
      </c>
      <c r="AB721" s="24">
        <v>0</v>
      </c>
      <c r="AC721" s="24">
        <v>0</v>
      </c>
      <c r="AD721" s="24">
        <v>0</v>
      </c>
      <c r="AE721" s="24">
        <v>0</v>
      </c>
      <c r="AF721" s="24">
        <v>0</v>
      </c>
      <c r="AG721" s="16">
        <v>0</v>
      </c>
      <c r="AH721" s="16" t="s">
        <v>64</v>
      </c>
      <c r="AI721" s="16" t="s">
        <v>1972</v>
      </c>
      <c r="AJ721" s="16" t="s">
        <v>1972</v>
      </c>
      <c r="AK721" s="16" t="s">
        <v>1972</v>
      </c>
      <c r="AL721" s="25" t="s">
        <v>1973</v>
      </c>
      <c r="AM721" s="43">
        <f t="shared" si="47"/>
        <v>0</v>
      </c>
      <c r="AN721" s="16" t="s">
        <v>64</v>
      </c>
      <c r="AO721" s="16" t="s">
        <v>64</v>
      </c>
    </row>
    <row r="722" spans="1:41" s="15" customFormat="1" ht="14.5" x14ac:dyDescent="0.35">
      <c r="A722" s="27" t="s">
        <v>2144</v>
      </c>
      <c r="B722" s="16" t="s">
        <v>1970</v>
      </c>
      <c r="C722" s="16" t="s">
        <v>43</v>
      </c>
      <c r="D722" s="16" t="s">
        <v>44</v>
      </c>
      <c r="E722" s="16"/>
      <c r="F722" s="16">
        <v>0</v>
      </c>
      <c r="G722" s="30" t="s">
        <v>2145</v>
      </c>
      <c r="H722" s="16">
        <v>0</v>
      </c>
      <c r="I722" s="16" t="s">
        <v>1972</v>
      </c>
      <c r="J722" s="16">
        <v>100</v>
      </c>
      <c r="K722" s="16">
        <v>0</v>
      </c>
      <c r="L722" s="16">
        <v>0</v>
      </c>
      <c r="M722" s="8">
        <v>0</v>
      </c>
      <c r="N722" s="21">
        <v>43672</v>
      </c>
      <c r="O722" s="7">
        <f t="shared" si="44"/>
        <v>26</v>
      </c>
      <c r="P722" s="22">
        <f t="shared" si="45"/>
        <v>6</v>
      </c>
      <c r="Q722" s="22">
        <f t="shared" si="46"/>
        <v>31</v>
      </c>
      <c r="R722" s="16">
        <v>0</v>
      </c>
      <c r="S722" s="29">
        <v>4.6790000000000003</v>
      </c>
      <c r="T722" s="29">
        <v>-74.114999999999995</v>
      </c>
      <c r="U722" s="22">
        <v>0</v>
      </c>
      <c r="V722" s="22">
        <v>0</v>
      </c>
      <c r="W722" s="25">
        <v>0</v>
      </c>
      <c r="X722" s="24">
        <v>0</v>
      </c>
      <c r="Y722" s="24">
        <v>0</v>
      </c>
      <c r="Z722" s="24">
        <v>0</v>
      </c>
      <c r="AA722" s="24">
        <v>0</v>
      </c>
      <c r="AB722" s="24">
        <v>0</v>
      </c>
      <c r="AC722" s="24">
        <v>0</v>
      </c>
      <c r="AD722" s="24">
        <v>0</v>
      </c>
      <c r="AE722" s="24">
        <v>0</v>
      </c>
      <c r="AF722" s="24">
        <v>0</v>
      </c>
      <c r="AG722" s="16">
        <v>0</v>
      </c>
      <c r="AH722" s="16" t="s">
        <v>64</v>
      </c>
      <c r="AI722" s="16" t="s">
        <v>1972</v>
      </c>
      <c r="AJ722" s="16" t="s">
        <v>50</v>
      </c>
      <c r="AK722" s="16" t="s">
        <v>1972</v>
      </c>
      <c r="AL722" s="25">
        <v>232000</v>
      </c>
      <c r="AM722" s="43">
        <f t="shared" si="47"/>
        <v>0</v>
      </c>
      <c r="AN722" s="16" t="s">
        <v>64</v>
      </c>
      <c r="AO722" s="16" t="s">
        <v>64</v>
      </c>
    </row>
    <row r="723" spans="1:41" s="15" customFormat="1" ht="14.5" x14ac:dyDescent="0.35">
      <c r="A723" s="27" t="s">
        <v>2146</v>
      </c>
      <c r="B723" s="16" t="s">
        <v>119</v>
      </c>
      <c r="C723" s="16" t="s">
        <v>120</v>
      </c>
      <c r="D723" s="16" t="s">
        <v>147</v>
      </c>
      <c r="E723" s="16"/>
      <c r="F723" s="16">
        <v>0</v>
      </c>
      <c r="G723" s="30" t="s">
        <v>2147</v>
      </c>
      <c r="H723" s="16">
        <v>0</v>
      </c>
      <c r="I723" s="16" t="s">
        <v>102</v>
      </c>
      <c r="J723" s="16">
        <v>100</v>
      </c>
      <c r="K723" s="16">
        <v>0</v>
      </c>
      <c r="L723" s="16">
        <v>0</v>
      </c>
      <c r="M723" s="8">
        <v>0</v>
      </c>
      <c r="N723" s="21">
        <v>45169</v>
      </c>
      <c r="O723" s="7">
        <f t="shared" si="44"/>
        <v>31</v>
      </c>
      <c r="P723" s="22">
        <f t="shared" si="45"/>
        <v>1</v>
      </c>
      <c r="Q723" s="22">
        <f t="shared" si="46"/>
        <v>31</v>
      </c>
      <c r="R723" s="16">
        <v>0</v>
      </c>
      <c r="S723" s="29">
        <v>6.9080000000000004</v>
      </c>
      <c r="T723" s="29">
        <v>-73.034999999999997</v>
      </c>
      <c r="U723" s="22">
        <v>0</v>
      </c>
      <c r="V723" s="22">
        <v>0</v>
      </c>
      <c r="W723" s="25">
        <v>0</v>
      </c>
      <c r="X723" s="24">
        <v>0</v>
      </c>
      <c r="Y723" s="24">
        <v>0</v>
      </c>
      <c r="Z723" s="24">
        <v>0</v>
      </c>
      <c r="AA723" s="24">
        <v>0</v>
      </c>
      <c r="AB723" s="24">
        <v>0</v>
      </c>
      <c r="AC723" s="24">
        <v>0</v>
      </c>
      <c r="AD723" s="24">
        <v>0</v>
      </c>
      <c r="AE723" s="24">
        <v>0</v>
      </c>
      <c r="AF723" s="24">
        <v>0</v>
      </c>
      <c r="AG723" s="16">
        <v>0</v>
      </c>
      <c r="AH723" s="16" t="s">
        <v>64</v>
      </c>
      <c r="AI723" s="16" t="s">
        <v>1972</v>
      </c>
      <c r="AJ723" s="16" t="s">
        <v>50</v>
      </c>
      <c r="AK723" s="16" t="s">
        <v>51</v>
      </c>
      <c r="AL723" s="25">
        <v>232000</v>
      </c>
      <c r="AM723" s="43">
        <f t="shared" si="47"/>
        <v>0</v>
      </c>
      <c r="AN723" s="16" t="s">
        <v>64</v>
      </c>
      <c r="AO723" s="16" t="s">
        <v>64</v>
      </c>
    </row>
    <row r="724" spans="1:41" s="15" customFormat="1" ht="15" customHeight="1" x14ac:dyDescent="0.35">
      <c r="A724" s="27" t="s">
        <v>2148</v>
      </c>
      <c r="B724" s="16" t="s">
        <v>1970</v>
      </c>
      <c r="C724" s="16" t="s">
        <v>43</v>
      </c>
      <c r="D724" s="16" t="s">
        <v>44</v>
      </c>
      <c r="E724" s="16" t="s">
        <v>344</v>
      </c>
      <c r="F724" s="16">
        <v>3</v>
      </c>
      <c r="G724" s="30" t="s">
        <v>2149</v>
      </c>
      <c r="H724" s="16">
        <v>0</v>
      </c>
      <c r="I724" s="16" t="s">
        <v>47</v>
      </c>
      <c r="J724" s="16">
        <v>105.33</v>
      </c>
      <c r="K724" s="16">
        <v>0</v>
      </c>
      <c r="L724" s="16">
        <v>0</v>
      </c>
      <c r="M724" s="8">
        <v>0</v>
      </c>
      <c r="N724" s="21">
        <v>45126</v>
      </c>
      <c r="O724" s="7">
        <f t="shared" si="44"/>
        <v>19</v>
      </c>
      <c r="P724" s="22">
        <f t="shared" si="45"/>
        <v>13</v>
      </c>
      <c r="Q724" s="22">
        <f t="shared" si="46"/>
        <v>31</v>
      </c>
      <c r="R724" s="16">
        <v>0</v>
      </c>
      <c r="S724" s="29">
        <v>4.6970000000000001</v>
      </c>
      <c r="T724" s="29">
        <v>-74.091999999999999</v>
      </c>
      <c r="U724" s="22">
        <v>0</v>
      </c>
      <c r="V724" s="22">
        <v>0</v>
      </c>
      <c r="W724" s="25">
        <v>0</v>
      </c>
      <c r="X724" s="24">
        <v>0</v>
      </c>
      <c r="Y724" s="24">
        <v>0</v>
      </c>
      <c r="Z724" s="24">
        <v>0</v>
      </c>
      <c r="AA724" s="24">
        <v>0</v>
      </c>
      <c r="AB724" s="24">
        <v>0</v>
      </c>
      <c r="AC724" s="24">
        <v>0</v>
      </c>
      <c r="AD724" s="24">
        <v>0</v>
      </c>
      <c r="AE724" s="24">
        <v>0</v>
      </c>
      <c r="AF724" s="24">
        <v>0</v>
      </c>
      <c r="AG724" s="16">
        <v>0</v>
      </c>
      <c r="AH724" s="16" t="s">
        <v>64</v>
      </c>
      <c r="AI724" s="16" t="s">
        <v>1972</v>
      </c>
      <c r="AJ724" s="16" t="s">
        <v>76</v>
      </c>
      <c r="AK724" s="16" t="s">
        <v>1972</v>
      </c>
      <c r="AL724" s="25">
        <v>241405</v>
      </c>
      <c r="AM724" s="43">
        <f t="shared" si="47"/>
        <v>0</v>
      </c>
      <c r="AN724" s="16" t="s">
        <v>64</v>
      </c>
      <c r="AO724" s="16" t="s">
        <v>64</v>
      </c>
    </row>
    <row r="725" spans="1:41" s="15" customFormat="1" ht="15" customHeight="1" x14ac:dyDescent="0.35">
      <c r="A725" s="27" t="s">
        <v>2150</v>
      </c>
      <c r="B725" s="16" t="s">
        <v>119</v>
      </c>
      <c r="C725" s="16" t="s">
        <v>120</v>
      </c>
      <c r="D725" s="16" t="s">
        <v>121</v>
      </c>
      <c r="E725" s="16"/>
      <c r="F725" s="16">
        <v>0</v>
      </c>
      <c r="G725" s="30" t="s">
        <v>2151</v>
      </c>
      <c r="H725" s="16">
        <v>0</v>
      </c>
      <c r="I725" s="16" t="s">
        <v>47</v>
      </c>
      <c r="J725" s="16">
        <v>100</v>
      </c>
      <c r="K725" s="16">
        <v>0</v>
      </c>
      <c r="L725" s="16">
        <v>0</v>
      </c>
      <c r="M725" s="8">
        <v>0</v>
      </c>
      <c r="N725" s="21">
        <v>45168</v>
      </c>
      <c r="O725" s="7">
        <f t="shared" si="44"/>
        <v>30</v>
      </c>
      <c r="P725" s="22">
        <f t="shared" si="45"/>
        <v>2</v>
      </c>
      <c r="Q725" s="22">
        <f t="shared" si="46"/>
        <v>31</v>
      </c>
      <c r="R725" s="16">
        <v>0</v>
      </c>
      <c r="S725" s="29">
        <v>7.1289999999999996</v>
      </c>
      <c r="T725" s="29">
        <v>-73.108000000000004</v>
      </c>
      <c r="U725" s="22">
        <v>0</v>
      </c>
      <c r="V725" s="22">
        <v>0</v>
      </c>
      <c r="W725" s="25">
        <v>0</v>
      </c>
      <c r="X725" s="24">
        <v>0</v>
      </c>
      <c r="Y725" s="24">
        <v>0</v>
      </c>
      <c r="Z725" s="24">
        <v>0</v>
      </c>
      <c r="AA725" s="24">
        <v>0</v>
      </c>
      <c r="AB725" s="24">
        <v>0</v>
      </c>
      <c r="AC725" s="24">
        <v>0</v>
      </c>
      <c r="AD725" s="24">
        <v>0</v>
      </c>
      <c r="AE725" s="24">
        <v>0</v>
      </c>
      <c r="AF725" s="24">
        <v>0</v>
      </c>
      <c r="AG725" s="16">
        <v>0</v>
      </c>
      <c r="AH725" s="16" t="s">
        <v>136</v>
      </c>
      <c r="AI725" s="16" t="s">
        <v>1972</v>
      </c>
      <c r="AJ725" s="16" t="s">
        <v>76</v>
      </c>
      <c r="AK725" s="16" t="s">
        <v>1994</v>
      </c>
      <c r="AL725" s="25">
        <v>241405</v>
      </c>
      <c r="AM725" s="43">
        <f t="shared" si="47"/>
        <v>0</v>
      </c>
      <c r="AN725" s="16" t="s">
        <v>64</v>
      </c>
      <c r="AO725" s="16" t="s">
        <v>64</v>
      </c>
    </row>
    <row r="726" spans="1:41" s="15" customFormat="1" ht="15" customHeight="1" x14ac:dyDescent="0.35">
      <c r="A726" s="27" t="s">
        <v>2152</v>
      </c>
      <c r="B726" s="16" t="s">
        <v>1970</v>
      </c>
      <c r="C726" s="16" t="s">
        <v>43</v>
      </c>
      <c r="D726" s="16" t="s">
        <v>44</v>
      </c>
      <c r="E726" s="16" t="s">
        <v>524</v>
      </c>
      <c r="F726" s="16">
        <v>3</v>
      </c>
      <c r="G726" s="30" t="s">
        <v>2153</v>
      </c>
      <c r="H726" s="16" t="s">
        <v>2154</v>
      </c>
      <c r="I726" s="16" t="s">
        <v>47</v>
      </c>
      <c r="J726" s="16">
        <v>100.09</v>
      </c>
      <c r="K726" s="16">
        <v>0</v>
      </c>
      <c r="L726" s="16">
        <v>0</v>
      </c>
      <c r="M726" s="8">
        <v>0</v>
      </c>
      <c r="N726" s="21">
        <v>45643</v>
      </c>
      <c r="O726" s="7">
        <f t="shared" si="44"/>
        <v>17</v>
      </c>
      <c r="P726" s="22">
        <f t="shared" si="45"/>
        <v>15</v>
      </c>
      <c r="Q726" s="22">
        <f t="shared" si="46"/>
        <v>31</v>
      </c>
      <c r="R726" s="16">
        <v>0</v>
      </c>
      <c r="S726" s="29">
        <v>4.6120000000000001</v>
      </c>
      <c r="T726" s="29">
        <v>-74.114000000000004</v>
      </c>
      <c r="U726" s="22">
        <v>0</v>
      </c>
      <c r="V726" s="22">
        <v>0</v>
      </c>
      <c r="W726" s="25">
        <v>0</v>
      </c>
      <c r="X726" s="24">
        <v>0</v>
      </c>
      <c r="Y726" s="24">
        <v>0</v>
      </c>
      <c r="Z726" s="24">
        <v>0</v>
      </c>
      <c r="AA726" s="24">
        <v>0</v>
      </c>
      <c r="AB726" s="24">
        <v>0</v>
      </c>
      <c r="AC726" s="24">
        <v>0</v>
      </c>
      <c r="AD726" s="24">
        <v>0</v>
      </c>
      <c r="AE726" s="24">
        <v>0</v>
      </c>
      <c r="AF726" s="24">
        <v>0</v>
      </c>
      <c r="AG726" s="16">
        <v>0</v>
      </c>
      <c r="AH726" s="16" t="s">
        <v>136</v>
      </c>
      <c r="AI726" s="16" t="s">
        <v>1972</v>
      </c>
      <c r="AJ726" s="16" t="s">
        <v>50</v>
      </c>
      <c r="AK726" s="16" t="s">
        <v>1994</v>
      </c>
      <c r="AL726" s="25">
        <v>232000</v>
      </c>
      <c r="AM726" s="43">
        <f t="shared" si="47"/>
        <v>0</v>
      </c>
      <c r="AN726" s="16" t="s">
        <v>64</v>
      </c>
      <c r="AO726" s="16" t="s">
        <v>64</v>
      </c>
    </row>
    <row r="727" spans="1:41" s="15" customFormat="1" ht="15" customHeight="1" x14ac:dyDescent="0.35">
      <c r="A727" s="27" t="s">
        <v>2155</v>
      </c>
      <c r="B727" s="16" t="s">
        <v>105</v>
      </c>
      <c r="C727" s="16" t="s">
        <v>170</v>
      </c>
      <c r="D727" s="16" t="s">
        <v>171</v>
      </c>
      <c r="E727" s="16"/>
      <c r="F727" s="16">
        <v>5</v>
      </c>
      <c r="G727" s="30" t="s">
        <v>2156</v>
      </c>
      <c r="H727" s="16" t="s">
        <v>2157</v>
      </c>
      <c r="I727" s="16" t="s">
        <v>102</v>
      </c>
      <c r="J727" s="16">
        <v>361.99</v>
      </c>
      <c r="K727" s="16">
        <v>0</v>
      </c>
      <c r="L727" s="16">
        <v>0</v>
      </c>
      <c r="M727" s="8">
        <v>0</v>
      </c>
      <c r="N727" s="21">
        <v>45560</v>
      </c>
      <c r="O727" s="7">
        <f t="shared" si="44"/>
        <v>25</v>
      </c>
      <c r="P727" s="22">
        <f t="shared" si="45"/>
        <v>6</v>
      </c>
      <c r="Q727" s="22">
        <f t="shared" si="46"/>
        <v>30</v>
      </c>
      <c r="R727" s="16">
        <v>0</v>
      </c>
      <c r="S727" s="29">
        <v>5.0570000000000004</v>
      </c>
      <c r="T727" s="29">
        <v>-75.483000000000004</v>
      </c>
      <c r="U727" s="22">
        <v>0</v>
      </c>
      <c r="V727" s="22">
        <v>0</v>
      </c>
      <c r="W727" s="25">
        <v>0</v>
      </c>
      <c r="X727" s="24">
        <v>0</v>
      </c>
      <c r="Y727" s="24">
        <v>0</v>
      </c>
      <c r="Z727" s="24">
        <v>0</v>
      </c>
      <c r="AA727" s="24">
        <v>0</v>
      </c>
      <c r="AB727" s="24">
        <v>0</v>
      </c>
      <c r="AC727" s="24">
        <v>0</v>
      </c>
      <c r="AD727" s="24">
        <v>0</v>
      </c>
      <c r="AE727" s="24">
        <v>0</v>
      </c>
      <c r="AF727" s="24">
        <v>0</v>
      </c>
      <c r="AG727" s="16">
        <v>0</v>
      </c>
      <c r="AH727" s="16" t="s">
        <v>64</v>
      </c>
      <c r="AI727" s="16" t="s">
        <v>1972</v>
      </c>
      <c r="AJ727" s="16" t="s">
        <v>1972</v>
      </c>
      <c r="AK727" s="16" t="s">
        <v>1972</v>
      </c>
      <c r="AL727" s="25" t="s">
        <v>1973</v>
      </c>
      <c r="AM727" s="43">
        <f t="shared" si="47"/>
        <v>0</v>
      </c>
      <c r="AN727" s="16" t="s">
        <v>64</v>
      </c>
      <c r="AO727" s="16" t="s">
        <v>64</v>
      </c>
    </row>
    <row r="728" spans="1:41" s="15" customFormat="1" ht="15" customHeight="1" x14ac:dyDescent="0.35">
      <c r="A728" s="27" t="s">
        <v>2158</v>
      </c>
      <c r="B728" s="16" t="s">
        <v>1970</v>
      </c>
      <c r="C728" s="16" t="s">
        <v>43</v>
      </c>
      <c r="D728" s="16" t="s">
        <v>44</v>
      </c>
      <c r="E728" s="16"/>
      <c r="F728" s="16">
        <v>0</v>
      </c>
      <c r="G728" s="30" t="s">
        <v>2159</v>
      </c>
      <c r="H728" s="16">
        <v>0</v>
      </c>
      <c r="I728" s="16" t="s">
        <v>1972</v>
      </c>
      <c r="J728" s="16">
        <v>100</v>
      </c>
      <c r="K728" s="16">
        <v>0</v>
      </c>
      <c r="L728" s="16">
        <v>0</v>
      </c>
      <c r="M728" s="8">
        <v>0</v>
      </c>
      <c r="N728" s="21">
        <v>39936</v>
      </c>
      <c r="O728" s="7">
        <f t="shared" si="44"/>
        <v>3</v>
      </c>
      <c r="P728" s="22">
        <f t="shared" si="45"/>
        <v>29</v>
      </c>
      <c r="Q728" s="22">
        <f t="shared" si="46"/>
        <v>31</v>
      </c>
      <c r="R728" s="16">
        <v>0</v>
      </c>
      <c r="S728" s="29">
        <v>4.6909999999999998</v>
      </c>
      <c r="T728" s="29">
        <v>-74.052000000000007</v>
      </c>
      <c r="U728" s="22">
        <v>0</v>
      </c>
      <c r="V728" s="22">
        <v>0</v>
      </c>
      <c r="W728" s="25">
        <v>0</v>
      </c>
      <c r="X728" s="24">
        <v>0</v>
      </c>
      <c r="Y728" s="24">
        <v>0</v>
      </c>
      <c r="Z728" s="24">
        <v>0</v>
      </c>
      <c r="AA728" s="24">
        <v>0</v>
      </c>
      <c r="AB728" s="24">
        <v>0</v>
      </c>
      <c r="AC728" s="24">
        <v>0</v>
      </c>
      <c r="AD728" s="24">
        <v>0</v>
      </c>
      <c r="AE728" s="24">
        <v>0</v>
      </c>
      <c r="AF728" s="24">
        <v>0</v>
      </c>
      <c r="AG728" s="16">
        <v>0</v>
      </c>
      <c r="AH728" s="16" t="s">
        <v>58</v>
      </c>
      <c r="AI728" s="16" t="s">
        <v>1972</v>
      </c>
      <c r="AJ728" s="16" t="s">
        <v>50</v>
      </c>
      <c r="AK728" s="16" t="s">
        <v>51</v>
      </c>
      <c r="AL728" s="25">
        <v>232000</v>
      </c>
      <c r="AM728" s="43">
        <f t="shared" si="47"/>
        <v>0</v>
      </c>
      <c r="AN728" s="16" t="s">
        <v>64</v>
      </c>
      <c r="AO728" s="16" t="s">
        <v>64</v>
      </c>
    </row>
    <row r="729" spans="1:41" s="15" customFormat="1" ht="15" customHeight="1" x14ac:dyDescent="0.35">
      <c r="A729" s="27" t="s">
        <v>2160</v>
      </c>
      <c r="B729" s="16" t="s">
        <v>105</v>
      </c>
      <c r="C729" s="16" t="s">
        <v>112</v>
      </c>
      <c r="D729" s="16" t="s">
        <v>113</v>
      </c>
      <c r="E729" s="16" t="s">
        <v>268</v>
      </c>
      <c r="F729" s="16">
        <v>5</v>
      </c>
      <c r="G729" s="30" t="s">
        <v>2161</v>
      </c>
      <c r="H729" s="16">
        <v>0</v>
      </c>
      <c r="I729" s="16" t="s">
        <v>47</v>
      </c>
      <c r="J729" s="16">
        <v>118.93</v>
      </c>
      <c r="K729" s="16">
        <v>1546</v>
      </c>
      <c r="L729" s="16">
        <v>545</v>
      </c>
      <c r="M729" s="8">
        <v>0</v>
      </c>
      <c r="N729" s="21">
        <v>45315</v>
      </c>
      <c r="O729" s="7">
        <f t="shared" si="44"/>
        <v>24</v>
      </c>
      <c r="P729" s="22">
        <f t="shared" si="45"/>
        <v>8</v>
      </c>
      <c r="Q729" s="22">
        <f t="shared" si="46"/>
        <v>31</v>
      </c>
      <c r="R729" s="16">
        <v>0</v>
      </c>
      <c r="S729" s="29">
        <v>3.47</v>
      </c>
      <c r="T729" s="29">
        <v>-76.519000000000005</v>
      </c>
      <c r="U729" s="22">
        <v>0</v>
      </c>
      <c r="V729" s="22">
        <v>0</v>
      </c>
      <c r="W729" s="25">
        <v>0</v>
      </c>
      <c r="X729" s="24">
        <v>0</v>
      </c>
      <c r="Y729" s="24">
        <v>0</v>
      </c>
      <c r="Z729" s="24">
        <v>0</v>
      </c>
      <c r="AA729" s="24">
        <v>0</v>
      </c>
      <c r="AB729" s="24">
        <v>0</v>
      </c>
      <c r="AC729" s="24">
        <v>0</v>
      </c>
      <c r="AD729" s="24">
        <v>0</v>
      </c>
      <c r="AE729" s="24">
        <v>0</v>
      </c>
      <c r="AF729" s="24">
        <v>0</v>
      </c>
      <c r="AG729" s="16">
        <v>0</v>
      </c>
      <c r="AH729" s="16" t="s">
        <v>64</v>
      </c>
      <c r="AI729" s="16" t="s">
        <v>1972</v>
      </c>
      <c r="AJ729" s="16" t="s">
        <v>124</v>
      </c>
      <c r="AK729" s="16" t="s">
        <v>51</v>
      </c>
      <c r="AL729" s="25">
        <v>204160</v>
      </c>
      <c r="AM729" s="43">
        <f t="shared" si="47"/>
        <v>0</v>
      </c>
      <c r="AN729" s="16" t="s">
        <v>64</v>
      </c>
      <c r="AO729" s="16" t="s">
        <v>64</v>
      </c>
    </row>
    <row r="730" spans="1:41" s="15" customFormat="1" ht="15" customHeight="1" x14ac:dyDescent="0.35">
      <c r="A730" s="27" t="s">
        <v>2162</v>
      </c>
      <c r="B730" s="16" t="s">
        <v>105</v>
      </c>
      <c r="C730" s="16" t="s">
        <v>112</v>
      </c>
      <c r="D730" s="16" t="s">
        <v>113</v>
      </c>
      <c r="E730" s="16" t="s">
        <v>268</v>
      </c>
      <c r="F730" s="16">
        <v>4</v>
      </c>
      <c r="G730" s="30" t="s">
        <v>2163</v>
      </c>
      <c r="H730" s="16">
        <v>0</v>
      </c>
      <c r="I730" s="16" t="s">
        <v>47</v>
      </c>
      <c r="J730" s="16">
        <v>103.49</v>
      </c>
      <c r="K730" s="16">
        <v>0</v>
      </c>
      <c r="L730" s="16">
        <v>0</v>
      </c>
      <c r="M730" s="8">
        <v>0</v>
      </c>
      <c r="N730" s="21">
        <v>45198</v>
      </c>
      <c r="O730" s="7">
        <f t="shared" si="44"/>
        <v>29</v>
      </c>
      <c r="P730" s="22">
        <f t="shared" si="45"/>
        <v>2</v>
      </c>
      <c r="Q730" s="22">
        <f t="shared" si="46"/>
        <v>30</v>
      </c>
      <c r="R730" s="16">
        <v>0</v>
      </c>
      <c r="S730" s="29">
        <v>3.4689999999999999</v>
      </c>
      <c r="T730" s="29">
        <v>-76.528999999999996</v>
      </c>
      <c r="U730" s="22">
        <v>0</v>
      </c>
      <c r="V730" s="22">
        <v>0</v>
      </c>
      <c r="W730" s="25">
        <v>0</v>
      </c>
      <c r="X730" s="24">
        <v>0</v>
      </c>
      <c r="Y730" s="24">
        <v>0</v>
      </c>
      <c r="Z730" s="24">
        <v>0</v>
      </c>
      <c r="AA730" s="24">
        <v>0</v>
      </c>
      <c r="AB730" s="24">
        <v>0</v>
      </c>
      <c r="AC730" s="24">
        <v>0</v>
      </c>
      <c r="AD730" s="24">
        <v>0</v>
      </c>
      <c r="AE730" s="24">
        <v>0</v>
      </c>
      <c r="AF730" s="24">
        <v>0</v>
      </c>
      <c r="AG730" s="16">
        <v>0</v>
      </c>
      <c r="AH730" s="16" t="s">
        <v>64</v>
      </c>
      <c r="AI730" s="16" t="s">
        <v>1972</v>
      </c>
      <c r="AJ730" s="16" t="s">
        <v>50</v>
      </c>
      <c r="AK730" s="16" t="s">
        <v>1994</v>
      </c>
      <c r="AL730" s="25">
        <v>232000</v>
      </c>
      <c r="AM730" s="43">
        <f t="shared" si="47"/>
        <v>0</v>
      </c>
      <c r="AN730" s="16" t="s">
        <v>64</v>
      </c>
      <c r="AO730" s="16" t="s">
        <v>64</v>
      </c>
    </row>
    <row r="731" spans="1:41" s="15" customFormat="1" ht="15" customHeight="1" x14ac:dyDescent="0.35">
      <c r="A731" s="27" t="s">
        <v>2164</v>
      </c>
      <c r="B731" s="16" t="s">
        <v>105</v>
      </c>
      <c r="C731" s="16" t="s">
        <v>112</v>
      </c>
      <c r="D731" s="16" t="s">
        <v>113</v>
      </c>
      <c r="E731" s="16" t="s">
        <v>268</v>
      </c>
      <c r="F731" s="16">
        <v>4</v>
      </c>
      <c r="G731" s="30" t="s">
        <v>2165</v>
      </c>
      <c r="H731" s="16" t="s">
        <v>2166</v>
      </c>
      <c r="I731" s="16" t="s">
        <v>47</v>
      </c>
      <c r="J731" s="16">
        <v>126.85</v>
      </c>
      <c r="K731" s="16">
        <v>0</v>
      </c>
      <c r="L731" s="16">
        <v>0</v>
      </c>
      <c r="M731" s="8">
        <v>0</v>
      </c>
      <c r="N731" s="21">
        <v>45560</v>
      </c>
      <c r="O731" s="7">
        <f t="shared" si="44"/>
        <v>25</v>
      </c>
      <c r="P731" s="22">
        <f t="shared" si="45"/>
        <v>6</v>
      </c>
      <c r="Q731" s="22">
        <f t="shared" si="46"/>
        <v>30</v>
      </c>
      <c r="R731" s="16">
        <v>0</v>
      </c>
      <c r="S731" s="29">
        <v>3.4889999999999999</v>
      </c>
      <c r="T731" s="29">
        <v>-76.510999999999996</v>
      </c>
      <c r="U731" s="22">
        <v>0</v>
      </c>
      <c r="V731" s="22">
        <v>0</v>
      </c>
      <c r="W731" s="25">
        <v>0</v>
      </c>
      <c r="X731" s="24">
        <v>0</v>
      </c>
      <c r="Y731" s="24">
        <v>0</v>
      </c>
      <c r="Z731" s="24">
        <v>0</v>
      </c>
      <c r="AA731" s="24">
        <v>0</v>
      </c>
      <c r="AB731" s="24">
        <v>0</v>
      </c>
      <c r="AC731" s="24">
        <v>0</v>
      </c>
      <c r="AD731" s="24">
        <v>0</v>
      </c>
      <c r="AE731" s="24">
        <v>0</v>
      </c>
      <c r="AF731" s="24">
        <v>0</v>
      </c>
      <c r="AG731" s="16">
        <v>0</v>
      </c>
      <c r="AH731" s="16" t="s">
        <v>64</v>
      </c>
      <c r="AI731" s="16" t="s">
        <v>1972</v>
      </c>
      <c r="AJ731" s="16" t="s">
        <v>50</v>
      </c>
      <c r="AK731" s="16" t="s">
        <v>1994</v>
      </c>
      <c r="AL731" s="25">
        <v>232000</v>
      </c>
      <c r="AM731" s="43">
        <f t="shared" si="47"/>
        <v>0</v>
      </c>
      <c r="AN731" s="16" t="s">
        <v>64</v>
      </c>
      <c r="AO731" s="16" t="s">
        <v>64</v>
      </c>
    </row>
    <row r="732" spans="1:41" s="15" customFormat="1" ht="15" customHeight="1" x14ac:dyDescent="0.35">
      <c r="A732" s="27" t="s">
        <v>2167</v>
      </c>
      <c r="B732" s="16" t="s">
        <v>1970</v>
      </c>
      <c r="C732" s="16" t="s">
        <v>43</v>
      </c>
      <c r="D732" s="16" t="s">
        <v>44</v>
      </c>
      <c r="E732" s="16" t="s">
        <v>1931</v>
      </c>
      <c r="F732" s="16">
        <v>3</v>
      </c>
      <c r="G732" s="30" t="s">
        <v>2168</v>
      </c>
      <c r="H732" s="16">
        <v>0</v>
      </c>
      <c r="I732" s="16" t="s">
        <v>47</v>
      </c>
      <c r="J732" s="16">
        <v>101.74</v>
      </c>
      <c r="K732" s="16">
        <v>0</v>
      </c>
      <c r="L732" s="16">
        <v>0</v>
      </c>
      <c r="M732" s="8">
        <v>0</v>
      </c>
      <c r="N732" s="21">
        <v>45531</v>
      </c>
      <c r="O732" s="7">
        <f t="shared" si="44"/>
        <v>27</v>
      </c>
      <c r="P732" s="22">
        <f t="shared" si="45"/>
        <v>5</v>
      </c>
      <c r="Q732" s="22">
        <f t="shared" si="46"/>
        <v>31</v>
      </c>
      <c r="R732" s="16">
        <v>0</v>
      </c>
      <c r="S732" s="29">
        <v>4.5999999999999996</v>
      </c>
      <c r="T732" s="29">
        <v>-74.167000000000002</v>
      </c>
      <c r="U732" s="22">
        <v>0</v>
      </c>
      <c r="V732" s="22">
        <v>0</v>
      </c>
      <c r="W732" s="25">
        <v>0</v>
      </c>
      <c r="X732" s="24">
        <v>0</v>
      </c>
      <c r="Y732" s="24">
        <v>0</v>
      </c>
      <c r="Z732" s="24">
        <v>0</v>
      </c>
      <c r="AA732" s="24">
        <v>0</v>
      </c>
      <c r="AB732" s="24">
        <v>0</v>
      </c>
      <c r="AC732" s="24">
        <v>0</v>
      </c>
      <c r="AD732" s="24">
        <v>0</v>
      </c>
      <c r="AE732" s="24">
        <v>0</v>
      </c>
      <c r="AF732" s="24">
        <v>0</v>
      </c>
      <c r="AG732" s="16">
        <v>0</v>
      </c>
      <c r="AH732" s="16" t="s">
        <v>82</v>
      </c>
      <c r="AI732" s="16" t="s">
        <v>1972</v>
      </c>
      <c r="AJ732" s="16" t="s">
        <v>124</v>
      </c>
      <c r="AK732" s="16" t="s">
        <v>1994</v>
      </c>
      <c r="AL732" s="25">
        <v>204160</v>
      </c>
      <c r="AM732" s="43">
        <f t="shared" si="47"/>
        <v>0</v>
      </c>
      <c r="AN732" s="16" t="s">
        <v>64</v>
      </c>
      <c r="AO732" s="16" t="s">
        <v>64</v>
      </c>
    </row>
    <row r="733" spans="1:41" s="15" customFormat="1" ht="15" customHeight="1" x14ac:dyDescent="0.35">
      <c r="A733" s="27" t="s">
        <v>2169</v>
      </c>
      <c r="B733" s="16" t="s">
        <v>105</v>
      </c>
      <c r="C733" s="16" t="s">
        <v>157</v>
      </c>
      <c r="D733" s="16" t="s">
        <v>158</v>
      </c>
      <c r="E733" s="16" t="s">
        <v>159</v>
      </c>
      <c r="F733" s="16">
        <v>4</v>
      </c>
      <c r="G733" s="30" t="s">
        <v>2170</v>
      </c>
      <c r="H733" s="16" t="s">
        <v>2171</v>
      </c>
      <c r="I733" s="16" t="s">
        <v>47</v>
      </c>
      <c r="J733" s="16">
        <v>98.78</v>
      </c>
      <c r="K733" s="16">
        <v>519</v>
      </c>
      <c r="L733" s="16">
        <v>4738</v>
      </c>
      <c r="M733" s="8">
        <v>0</v>
      </c>
      <c r="N733" s="21">
        <v>45520</v>
      </c>
      <c r="O733" s="7">
        <f t="shared" si="44"/>
        <v>16</v>
      </c>
      <c r="P733" s="22">
        <f t="shared" si="45"/>
        <v>16</v>
      </c>
      <c r="Q733" s="22">
        <f t="shared" si="46"/>
        <v>31</v>
      </c>
      <c r="R733" s="16">
        <v>0</v>
      </c>
      <c r="S733" s="29">
        <v>6.2510000000000003</v>
      </c>
      <c r="T733" s="29">
        <v>-75.563999999999993</v>
      </c>
      <c r="U733" s="22">
        <v>0</v>
      </c>
      <c r="V733" s="22">
        <v>0</v>
      </c>
      <c r="W733" s="25">
        <v>0</v>
      </c>
      <c r="X733" s="24">
        <v>0</v>
      </c>
      <c r="Y733" s="24">
        <v>0</v>
      </c>
      <c r="Z733" s="24">
        <v>0</v>
      </c>
      <c r="AA733" s="24">
        <v>0</v>
      </c>
      <c r="AB733" s="24">
        <v>0</v>
      </c>
      <c r="AC733" s="24">
        <v>0</v>
      </c>
      <c r="AD733" s="24">
        <v>0</v>
      </c>
      <c r="AE733" s="24">
        <v>0</v>
      </c>
      <c r="AF733" s="24">
        <v>0</v>
      </c>
      <c r="AG733" s="16">
        <v>0</v>
      </c>
      <c r="AH733" s="16" t="s">
        <v>64</v>
      </c>
      <c r="AI733" s="16" t="s">
        <v>1972</v>
      </c>
      <c r="AJ733" s="16" t="s">
        <v>1972</v>
      </c>
      <c r="AK733" s="16" t="s">
        <v>1972</v>
      </c>
      <c r="AL733" s="25" t="s">
        <v>1973</v>
      </c>
      <c r="AM733" s="43">
        <f t="shared" si="47"/>
        <v>0</v>
      </c>
      <c r="AN733" s="16" t="s">
        <v>64</v>
      </c>
      <c r="AO733" s="16" t="s">
        <v>64</v>
      </c>
    </row>
    <row r="734" spans="1:41" s="15" customFormat="1" ht="15" customHeight="1" x14ac:dyDescent="0.35">
      <c r="A734" s="27" t="s">
        <v>2172</v>
      </c>
      <c r="B734" s="16" t="s">
        <v>105</v>
      </c>
      <c r="C734" s="16" t="s">
        <v>106</v>
      </c>
      <c r="D734" s="16" t="s">
        <v>298</v>
      </c>
      <c r="E734" s="16"/>
      <c r="F734" s="16">
        <v>0</v>
      </c>
      <c r="G734" s="30" t="s">
        <v>2173</v>
      </c>
      <c r="H734" s="16">
        <v>0</v>
      </c>
      <c r="I734" s="16" t="s">
        <v>1972</v>
      </c>
      <c r="J734" s="16">
        <v>100</v>
      </c>
      <c r="K734" s="16">
        <v>0</v>
      </c>
      <c r="L734" s="16">
        <v>0</v>
      </c>
      <c r="M734" s="8">
        <v>0</v>
      </c>
      <c r="N734" s="21">
        <v>44820</v>
      </c>
      <c r="O734" s="7">
        <f t="shared" si="44"/>
        <v>16</v>
      </c>
      <c r="P734" s="22">
        <f t="shared" si="45"/>
        <v>15</v>
      </c>
      <c r="Q734" s="22">
        <f t="shared" si="46"/>
        <v>30</v>
      </c>
      <c r="R734" s="16">
        <v>0</v>
      </c>
      <c r="S734" s="29">
        <v>4.8159999999999998</v>
      </c>
      <c r="T734" s="29">
        <v>-75.713999999999999</v>
      </c>
      <c r="U734" s="22">
        <v>0</v>
      </c>
      <c r="V734" s="22">
        <v>0</v>
      </c>
      <c r="W734" s="25">
        <v>0</v>
      </c>
      <c r="X734" s="24">
        <v>0</v>
      </c>
      <c r="Y734" s="24">
        <v>0</v>
      </c>
      <c r="Z734" s="24">
        <v>0</v>
      </c>
      <c r="AA734" s="24">
        <v>0</v>
      </c>
      <c r="AB734" s="24">
        <v>0</v>
      </c>
      <c r="AC734" s="24">
        <v>0</v>
      </c>
      <c r="AD734" s="24">
        <v>0</v>
      </c>
      <c r="AE734" s="24">
        <v>0</v>
      </c>
      <c r="AF734" s="24">
        <v>0</v>
      </c>
      <c r="AG734" s="16">
        <v>0</v>
      </c>
      <c r="AH734" s="16" t="s">
        <v>64</v>
      </c>
      <c r="AI734" s="16" t="s">
        <v>1972</v>
      </c>
      <c r="AJ734" s="16" t="s">
        <v>50</v>
      </c>
      <c r="AK734" s="16" t="s">
        <v>51</v>
      </c>
      <c r="AL734" s="25">
        <v>232000</v>
      </c>
      <c r="AM734" s="43">
        <f t="shared" si="47"/>
        <v>0</v>
      </c>
      <c r="AN734" s="16" t="s">
        <v>64</v>
      </c>
      <c r="AO734" s="16" t="s">
        <v>64</v>
      </c>
    </row>
    <row r="735" spans="1:41" s="15" customFormat="1" ht="15" customHeight="1" x14ac:dyDescent="0.35">
      <c r="A735" s="27" t="s">
        <v>2174</v>
      </c>
      <c r="B735" s="16" t="s">
        <v>105</v>
      </c>
      <c r="C735" s="16" t="s">
        <v>2017</v>
      </c>
      <c r="D735" s="16" t="s">
        <v>178</v>
      </c>
      <c r="E735" s="16"/>
      <c r="F735" s="16">
        <v>5</v>
      </c>
      <c r="G735" s="30" t="s">
        <v>2175</v>
      </c>
      <c r="H735" s="16">
        <v>0</v>
      </c>
      <c r="I735" s="16" t="s">
        <v>47</v>
      </c>
      <c r="J735" s="16">
        <v>117.37</v>
      </c>
      <c r="K735" s="16">
        <v>0</v>
      </c>
      <c r="L735" s="16">
        <v>0</v>
      </c>
      <c r="M735" s="8">
        <v>0</v>
      </c>
      <c r="N735" s="21">
        <v>45282</v>
      </c>
      <c r="O735" s="7">
        <f t="shared" si="44"/>
        <v>22</v>
      </c>
      <c r="P735" s="22">
        <f t="shared" si="45"/>
        <v>10</v>
      </c>
      <c r="Q735" s="22">
        <f t="shared" si="46"/>
        <v>31</v>
      </c>
      <c r="R735" s="16">
        <v>0</v>
      </c>
      <c r="S735" s="29">
        <v>4.5469999999999997</v>
      </c>
      <c r="T735" s="29">
        <v>-75.662000000000006</v>
      </c>
      <c r="U735" s="22">
        <v>0</v>
      </c>
      <c r="V735" s="22">
        <v>0</v>
      </c>
      <c r="W735" s="25">
        <v>0</v>
      </c>
      <c r="X735" s="24">
        <v>0</v>
      </c>
      <c r="Y735" s="24">
        <v>0</v>
      </c>
      <c r="Z735" s="24">
        <v>0</v>
      </c>
      <c r="AA735" s="24">
        <v>0</v>
      </c>
      <c r="AB735" s="24">
        <v>0</v>
      </c>
      <c r="AC735" s="24">
        <v>0</v>
      </c>
      <c r="AD735" s="24">
        <v>0</v>
      </c>
      <c r="AE735" s="24">
        <v>0</v>
      </c>
      <c r="AF735" s="24">
        <v>0</v>
      </c>
      <c r="AG735" s="16">
        <v>0</v>
      </c>
      <c r="AH735" s="16" t="s">
        <v>64</v>
      </c>
      <c r="AI735" s="16" t="s">
        <v>1972</v>
      </c>
      <c r="AJ735" s="16" t="s">
        <v>1972</v>
      </c>
      <c r="AK735" s="16" t="s">
        <v>1972</v>
      </c>
      <c r="AL735" s="25" t="s">
        <v>1973</v>
      </c>
      <c r="AM735" s="43">
        <f t="shared" si="47"/>
        <v>0</v>
      </c>
      <c r="AN735" s="16" t="s">
        <v>64</v>
      </c>
      <c r="AO735" s="16" t="s">
        <v>64</v>
      </c>
    </row>
    <row r="736" spans="1:41" s="15" customFormat="1" ht="15" customHeight="1" x14ac:dyDescent="0.35">
      <c r="A736" s="27" t="s">
        <v>2176</v>
      </c>
      <c r="B736" s="16" t="s">
        <v>119</v>
      </c>
      <c r="C736" s="16" t="s">
        <v>120</v>
      </c>
      <c r="D736" s="16" t="s">
        <v>121</v>
      </c>
      <c r="E736" s="16"/>
      <c r="F736" s="16">
        <v>0</v>
      </c>
      <c r="G736" s="30" t="s">
        <v>2177</v>
      </c>
      <c r="H736" s="16">
        <v>0</v>
      </c>
      <c r="I736" s="16" t="s">
        <v>1972</v>
      </c>
      <c r="J736" s="16">
        <v>100</v>
      </c>
      <c r="K736" s="16">
        <v>0</v>
      </c>
      <c r="L736" s="16">
        <v>0</v>
      </c>
      <c r="M736" s="8">
        <v>0</v>
      </c>
      <c r="N736" s="21">
        <v>45565</v>
      </c>
      <c r="O736" s="7">
        <f t="shared" si="44"/>
        <v>30</v>
      </c>
      <c r="P736" s="22">
        <f t="shared" si="45"/>
        <v>1</v>
      </c>
      <c r="Q736" s="22">
        <f t="shared" si="46"/>
        <v>30</v>
      </c>
      <c r="R736" s="16">
        <v>0</v>
      </c>
      <c r="S736" s="29">
        <v>7.1210000000000004</v>
      </c>
      <c r="T736" s="29">
        <v>-73.117999999999995</v>
      </c>
      <c r="U736" s="22">
        <v>0</v>
      </c>
      <c r="V736" s="22">
        <v>0</v>
      </c>
      <c r="W736" s="25">
        <v>0</v>
      </c>
      <c r="X736" s="24">
        <v>0</v>
      </c>
      <c r="Y736" s="24">
        <v>0</v>
      </c>
      <c r="Z736" s="24">
        <v>0</v>
      </c>
      <c r="AA736" s="24">
        <v>0</v>
      </c>
      <c r="AB736" s="24">
        <v>0</v>
      </c>
      <c r="AC736" s="24">
        <v>0</v>
      </c>
      <c r="AD736" s="24">
        <v>0</v>
      </c>
      <c r="AE736" s="24">
        <v>0</v>
      </c>
      <c r="AF736" s="24">
        <v>0</v>
      </c>
      <c r="AG736" s="16">
        <v>0</v>
      </c>
      <c r="AH736" s="16" t="s">
        <v>58</v>
      </c>
      <c r="AI736" s="16" t="s">
        <v>1972</v>
      </c>
      <c r="AJ736" s="16" t="s">
        <v>50</v>
      </c>
      <c r="AK736" s="16" t="s">
        <v>71</v>
      </c>
      <c r="AL736" s="25">
        <v>232000</v>
      </c>
      <c r="AM736" s="43">
        <f t="shared" si="47"/>
        <v>0</v>
      </c>
      <c r="AN736" s="16" t="s">
        <v>64</v>
      </c>
      <c r="AO736" s="16" t="s">
        <v>64</v>
      </c>
    </row>
    <row r="737" spans="1:41" s="15" customFormat="1" ht="15" customHeight="1" x14ac:dyDescent="0.35">
      <c r="A737" s="27" t="s">
        <v>2178</v>
      </c>
      <c r="B737" s="16" t="s">
        <v>1970</v>
      </c>
      <c r="C737" s="16" t="s">
        <v>43</v>
      </c>
      <c r="D737" s="16" t="s">
        <v>44</v>
      </c>
      <c r="E737" s="16" t="s">
        <v>705</v>
      </c>
      <c r="F737" s="16">
        <v>3</v>
      </c>
      <c r="G737" s="30" t="s">
        <v>2179</v>
      </c>
      <c r="H737" s="16" t="s">
        <v>2180</v>
      </c>
      <c r="I737" s="16" t="s">
        <v>47</v>
      </c>
      <c r="J737" s="16">
        <v>130.05000000000001</v>
      </c>
      <c r="K737" s="16">
        <v>0</v>
      </c>
      <c r="L737" s="16">
        <v>0</v>
      </c>
      <c r="M737" s="8">
        <v>0</v>
      </c>
      <c r="N737" s="21">
        <v>45770</v>
      </c>
      <c r="O737" s="7">
        <f t="shared" si="44"/>
        <v>23</v>
      </c>
      <c r="P737" s="22">
        <f t="shared" si="45"/>
        <v>8</v>
      </c>
      <c r="Q737" s="22">
        <f t="shared" si="46"/>
        <v>30</v>
      </c>
      <c r="R737" s="16">
        <v>0</v>
      </c>
      <c r="S737" s="29">
        <v>4.702</v>
      </c>
      <c r="T737" s="29">
        <v>-74.116</v>
      </c>
      <c r="U737" s="22">
        <v>0</v>
      </c>
      <c r="V737" s="22">
        <v>0</v>
      </c>
      <c r="W737" s="25">
        <v>0</v>
      </c>
      <c r="X737" s="24">
        <v>0</v>
      </c>
      <c r="Y737" s="24">
        <v>0</v>
      </c>
      <c r="Z737" s="24">
        <v>0</v>
      </c>
      <c r="AA737" s="24">
        <v>0</v>
      </c>
      <c r="AB737" s="24">
        <v>0</v>
      </c>
      <c r="AC737" s="24">
        <v>0</v>
      </c>
      <c r="AD737" s="24">
        <v>0</v>
      </c>
      <c r="AE737" s="24">
        <v>0</v>
      </c>
      <c r="AF737" s="24">
        <v>0</v>
      </c>
      <c r="AG737" s="16">
        <v>0</v>
      </c>
      <c r="AH737" s="16" t="s">
        <v>64</v>
      </c>
      <c r="AI737" s="16" t="s">
        <v>1972</v>
      </c>
      <c r="AJ737" s="16" t="s">
        <v>1972</v>
      </c>
      <c r="AK737" s="16" t="s">
        <v>1972</v>
      </c>
      <c r="AL737" s="25" t="s">
        <v>1973</v>
      </c>
      <c r="AM737" s="43">
        <f t="shared" si="47"/>
        <v>0</v>
      </c>
      <c r="AN737" s="16" t="s">
        <v>64</v>
      </c>
      <c r="AO737" s="16" t="s">
        <v>64</v>
      </c>
    </row>
    <row r="738" spans="1:41" s="15" customFormat="1" ht="15" customHeight="1" x14ac:dyDescent="0.35">
      <c r="A738" s="27" t="s">
        <v>2181</v>
      </c>
      <c r="B738" s="16" t="s">
        <v>105</v>
      </c>
      <c r="C738" s="16" t="s">
        <v>106</v>
      </c>
      <c r="D738" s="16" t="s">
        <v>298</v>
      </c>
      <c r="E738" s="16" t="s">
        <v>619</v>
      </c>
      <c r="F738" s="16">
        <v>3</v>
      </c>
      <c r="G738" s="30" t="s">
        <v>2182</v>
      </c>
      <c r="H738" s="16">
        <v>0</v>
      </c>
      <c r="I738" s="16" t="s">
        <v>102</v>
      </c>
      <c r="J738" s="16">
        <v>123.85</v>
      </c>
      <c r="K738" s="16">
        <v>951</v>
      </c>
      <c r="L738" s="16">
        <v>1567</v>
      </c>
      <c r="M738" s="8">
        <v>52</v>
      </c>
      <c r="N738" s="21">
        <v>44951</v>
      </c>
      <c r="O738" s="7">
        <f t="shared" si="44"/>
        <v>25</v>
      </c>
      <c r="P738" s="22">
        <f t="shared" si="45"/>
        <v>7</v>
      </c>
      <c r="Q738" s="22">
        <f t="shared" si="46"/>
        <v>31</v>
      </c>
      <c r="R738" s="16">
        <v>44</v>
      </c>
      <c r="S738">
        <v>4.8083175879593503</v>
      </c>
      <c r="T738">
        <v>-75.691430332438799</v>
      </c>
      <c r="U738" s="22">
        <v>4178</v>
      </c>
      <c r="V738" s="22">
        <v>11824</v>
      </c>
      <c r="W738" s="25">
        <v>10293</v>
      </c>
      <c r="X738" s="24">
        <v>10661</v>
      </c>
      <c r="Y738" s="24">
        <v>43005</v>
      </c>
      <c r="Z738" s="24">
        <v>126054</v>
      </c>
      <c r="AA738" s="24">
        <v>-217140</v>
      </c>
      <c r="AB738" s="24">
        <v>-31652</v>
      </c>
      <c r="AC738" s="24">
        <v>-131215</v>
      </c>
      <c r="AD738" s="24">
        <v>25991</v>
      </c>
      <c r="AE738" s="24">
        <v>7803</v>
      </c>
      <c r="AF738" s="24">
        <v>7887</v>
      </c>
      <c r="AG738" s="17">
        <v>0</v>
      </c>
      <c r="AH738" s="16" t="s">
        <v>58</v>
      </c>
      <c r="AI738" s="16" t="s">
        <v>1972</v>
      </c>
      <c r="AJ738" s="16" t="s">
        <v>124</v>
      </c>
      <c r="AK738" s="16" t="s">
        <v>51</v>
      </c>
      <c r="AL738" s="25">
        <v>204160</v>
      </c>
      <c r="AM738" s="43">
        <f t="shared" si="47"/>
        <v>63.003633427533309</v>
      </c>
      <c r="AN738" s="16" t="s">
        <v>238</v>
      </c>
      <c r="AO738" s="16" t="s">
        <v>53</v>
      </c>
    </row>
    <row r="739" spans="1:41" s="15" customFormat="1" ht="15" customHeight="1" x14ac:dyDescent="0.35">
      <c r="A739" s="27" t="s">
        <v>2183</v>
      </c>
      <c r="B739" s="16" t="s">
        <v>119</v>
      </c>
      <c r="C739" s="16" t="s">
        <v>120</v>
      </c>
      <c r="D739" s="16" t="s">
        <v>147</v>
      </c>
      <c r="E739" s="16"/>
      <c r="F739" s="16">
        <v>0</v>
      </c>
      <c r="G739" s="30" t="s">
        <v>2184</v>
      </c>
      <c r="H739" s="16">
        <v>0</v>
      </c>
      <c r="I739" s="16" t="s">
        <v>47</v>
      </c>
      <c r="J739" s="16">
        <v>100</v>
      </c>
      <c r="K739" s="16">
        <v>0</v>
      </c>
      <c r="L739" s="16">
        <v>0</v>
      </c>
      <c r="M739" s="8">
        <v>0</v>
      </c>
      <c r="N739" s="21">
        <v>44912</v>
      </c>
      <c r="O739" s="7">
        <f t="shared" si="44"/>
        <v>17</v>
      </c>
      <c r="P739" s="22">
        <f t="shared" si="45"/>
        <v>15</v>
      </c>
      <c r="Q739" s="22">
        <f t="shared" si="46"/>
        <v>31</v>
      </c>
      <c r="R739" s="16">
        <v>0</v>
      </c>
      <c r="S739" s="29">
        <v>4.5860000000000003</v>
      </c>
      <c r="T739" s="29">
        <v>-74.102000000000004</v>
      </c>
      <c r="U739" s="22">
        <v>0</v>
      </c>
      <c r="V739" s="22">
        <v>0</v>
      </c>
      <c r="W739" s="25">
        <v>0</v>
      </c>
      <c r="X739" s="24">
        <v>0</v>
      </c>
      <c r="Y739" s="24">
        <v>0</v>
      </c>
      <c r="Z739" s="24">
        <v>0</v>
      </c>
      <c r="AA739" s="24">
        <v>0</v>
      </c>
      <c r="AB739" s="24">
        <v>0</v>
      </c>
      <c r="AC739" s="24">
        <v>0</v>
      </c>
      <c r="AD739" s="24">
        <v>0</v>
      </c>
      <c r="AE739" s="24">
        <v>0</v>
      </c>
      <c r="AF739" s="24">
        <v>0</v>
      </c>
      <c r="AG739" s="16">
        <v>0</v>
      </c>
      <c r="AH739" s="16" t="s">
        <v>64</v>
      </c>
      <c r="AI739" s="16" t="s">
        <v>1972</v>
      </c>
      <c r="AJ739" s="16" t="s">
        <v>50</v>
      </c>
      <c r="AK739" s="16" t="s">
        <v>1972</v>
      </c>
      <c r="AL739" s="25">
        <v>232000</v>
      </c>
      <c r="AM739" s="43">
        <f t="shared" si="47"/>
        <v>0</v>
      </c>
      <c r="AN739" s="16" t="s">
        <v>64</v>
      </c>
      <c r="AO739" s="16" t="s">
        <v>64</v>
      </c>
    </row>
    <row r="740" spans="1:41" s="15" customFormat="1" ht="15" customHeight="1" x14ac:dyDescent="0.35">
      <c r="A740" s="27" t="s">
        <v>2185</v>
      </c>
      <c r="B740" s="16" t="s">
        <v>42</v>
      </c>
      <c r="C740" s="16" t="s">
        <v>93</v>
      </c>
      <c r="D740" s="16" t="s">
        <v>426</v>
      </c>
      <c r="E740" s="16"/>
      <c r="F740" s="16">
        <v>0</v>
      </c>
      <c r="G740" s="30" t="s">
        <v>2186</v>
      </c>
      <c r="H740" s="16">
        <v>0</v>
      </c>
      <c r="I740" s="16" t="s">
        <v>47</v>
      </c>
      <c r="J740" s="16">
        <v>100</v>
      </c>
      <c r="K740" s="16">
        <v>0</v>
      </c>
      <c r="L740" s="16">
        <v>0</v>
      </c>
      <c r="M740" s="8">
        <v>0</v>
      </c>
      <c r="N740" s="21">
        <v>44813</v>
      </c>
      <c r="O740" s="7">
        <f t="shared" si="44"/>
        <v>9</v>
      </c>
      <c r="P740" s="22">
        <f t="shared" si="45"/>
        <v>22</v>
      </c>
      <c r="Q740" s="22">
        <f t="shared" si="46"/>
        <v>30</v>
      </c>
      <c r="R740" s="16">
        <v>0</v>
      </c>
      <c r="S740" s="29">
        <v>4.91</v>
      </c>
      <c r="T740" s="29">
        <v>-74.028000000000006</v>
      </c>
      <c r="U740" s="22">
        <v>0</v>
      </c>
      <c r="V740" s="22">
        <v>0</v>
      </c>
      <c r="W740" s="25">
        <v>0</v>
      </c>
      <c r="X740" s="24">
        <v>0</v>
      </c>
      <c r="Y740" s="24">
        <v>0</v>
      </c>
      <c r="Z740" s="24">
        <v>0</v>
      </c>
      <c r="AA740" s="24">
        <v>0</v>
      </c>
      <c r="AB740" s="24">
        <v>0</v>
      </c>
      <c r="AC740" s="24">
        <v>0</v>
      </c>
      <c r="AD740" s="24">
        <v>0</v>
      </c>
      <c r="AE740" s="24">
        <v>0</v>
      </c>
      <c r="AF740" s="24">
        <v>0</v>
      </c>
      <c r="AG740" s="16">
        <v>0</v>
      </c>
      <c r="AH740" s="16" t="s">
        <v>64</v>
      </c>
      <c r="AI740" s="16" t="s">
        <v>1972</v>
      </c>
      <c r="AJ740" s="16" t="s">
        <v>50</v>
      </c>
      <c r="AK740" s="16" t="s">
        <v>1994</v>
      </c>
      <c r="AL740" s="25">
        <v>232000</v>
      </c>
      <c r="AM740" s="43">
        <f t="shared" si="47"/>
        <v>0</v>
      </c>
      <c r="AN740" s="16" t="s">
        <v>64</v>
      </c>
      <c r="AO740" s="16" t="s">
        <v>64</v>
      </c>
    </row>
    <row r="741" spans="1:41" s="15" customFormat="1" ht="15" customHeight="1" x14ac:dyDescent="0.35">
      <c r="A741" s="27" t="s">
        <v>2187</v>
      </c>
      <c r="B741" s="16" t="s">
        <v>183</v>
      </c>
      <c r="C741" s="16" t="s">
        <v>184</v>
      </c>
      <c r="D741" s="16" t="s">
        <v>185</v>
      </c>
      <c r="E741" s="16" t="s">
        <v>186</v>
      </c>
      <c r="F741" s="16">
        <v>4</v>
      </c>
      <c r="G741" s="30" t="s">
        <v>2188</v>
      </c>
      <c r="H741" s="16">
        <v>0</v>
      </c>
      <c r="I741" s="16" t="s">
        <v>47</v>
      </c>
      <c r="J741" s="16">
        <v>140.66</v>
      </c>
      <c r="K741" s="16">
        <v>0</v>
      </c>
      <c r="L741" s="16">
        <v>0</v>
      </c>
      <c r="M741" s="8">
        <v>0</v>
      </c>
      <c r="N741" s="21">
        <v>45560</v>
      </c>
      <c r="O741" s="7">
        <f t="shared" si="44"/>
        <v>25</v>
      </c>
      <c r="P741" s="22">
        <f t="shared" si="45"/>
        <v>6</v>
      </c>
      <c r="Q741" s="22">
        <f t="shared" si="46"/>
        <v>30</v>
      </c>
      <c r="R741" s="16">
        <v>0</v>
      </c>
      <c r="S741" s="29">
        <v>10.999000000000001</v>
      </c>
      <c r="T741" s="29">
        <v>-74.811000000000007</v>
      </c>
      <c r="U741" s="22">
        <v>0</v>
      </c>
      <c r="V741" s="22">
        <v>0</v>
      </c>
      <c r="W741" s="25">
        <v>0</v>
      </c>
      <c r="X741" s="24">
        <v>0</v>
      </c>
      <c r="Y741" s="24">
        <v>0</v>
      </c>
      <c r="Z741" s="24">
        <v>0</v>
      </c>
      <c r="AA741" s="24">
        <v>0</v>
      </c>
      <c r="AB741" s="24">
        <v>0</v>
      </c>
      <c r="AC741" s="24">
        <v>0</v>
      </c>
      <c r="AD741" s="24">
        <v>0</v>
      </c>
      <c r="AE741" s="24">
        <v>0</v>
      </c>
      <c r="AF741" s="24">
        <v>0</v>
      </c>
      <c r="AG741" s="16">
        <v>0</v>
      </c>
      <c r="AH741" s="16" t="s">
        <v>64</v>
      </c>
      <c r="AI741" s="16" t="s">
        <v>1972</v>
      </c>
      <c r="AJ741" s="16" t="s">
        <v>50</v>
      </c>
      <c r="AK741" s="16" t="s">
        <v>1972</v>
      </c>
      <c r="AL741" s="25">
        <v>232000</v>
      </c>
      <c r="AM741" s="43">
        <f t="shared" si="47"/>
        <v>0</v>
      </c>
      <c r="AN741" s="16" t="s">
        <v>64</v>
      </c>
      <c r="AO741" s="16" t="s">
        <v>64</v>
      </c>
    </row>
    <row r="742" spans="1:41" s="15" customFormat="1" ht="15" customHeight="1" x14ac:dyDescent="0.35">
      <c r="A742" s="27" t="s">
        <v>2189</v>
      </c>
      <c r="B742" s="16" t="s">
        <v>119</v>
      </c>
      <c r="C742" s="16" t="s">
        <v>120</v>
      </c>
      <c r="D742" s="16" t="s">
        <v>121</v>
      </c>
      <c r="E742" s="16"/>
      <c r="F742" s="16">
        <v>0</v>
      </c>
      <c r="G742" s="30" t="s">
        <v>2190</v>
      </c>
      <c r="H742" s="16">
        <v>0</v>
      </c>
      <c r="I742" s="16" t="s">
        <v>47</v>
      </c>
      <c r="J742" s="16">
        <v>100</v>
      </c>
      <c r="K742" s="16">
        <v>0</v>
      </c>
      <c r="L742" s="16">
        <v>0</v>
      </c>
      <c r="M742" s="8">
        <v>0</v>
      </c>
      <c r="N742" s="21">
        <v>45199</v>
      </c>
      <c r="O742" s="7">
        <f t="shared" si="44"/>
        <v>30</v>
      </c>
      <c r="P742" s="22">
        <f t="shared" si="45"/>
        <v>1</v>
      </c>
      <c r="Q742" s="22">
        <f t="shared" si="46"/>
        <v>30</v>
      </c>
      <c r="R742" s="16">
        <v>0</v>
      </c>
      <c r="S742" s="29">
        <v>7.1280000000000001</v>
      </c>
      <c r="T742" s="29">
        <v>-73.113</v>
      </c>
      <c r="U742" s="22">
        <v>0</v>
      </c>
      <c r="V742" s="22">
        <v>0</v>
      </c>
      <c r="W742" s="25">
        <v>0</v>
      </c>
      <c r="X742" s="24">
        <v>0</v>
      </c>
      <c r="Y742" s="24">
        <v>0</v>
      </c>
      <c r="Z742" s="24">
        <v>0</v>
      </c>
      <c r="AA742" s="24">
        <v>0</v>
      </c>
      <c r="AB742" s="24">
        <v>0</v>
      </c>
      <c r="AC742" s="24">
        <v>0</v>
      </c>
      <c r="AD742" s="24">
        <v>0</v>
      </c>
      <c r="AE742" s="24">
        <v>0</v>
      </c>
      <c r="AF742" s="24">
        <v>0</v>
      </c>
      <c r="AG742" s="16">
        <v>0</v>
      </c>
      <c r="AH742" s="16" t="s">
        <v>64</v>
      </c>
      <c r="AI742" s="16" t="s">
        <v>1972</v>
      </c>
      <c r="AJ742" s="16" t="s">
        <v>1972</v>
      </c>
      <c r="AK742" s="16" t="s">
        <v>1972</v>
      </c>
      <c r="AL742" s="25" t="s">
        <v>1973</v>
      </c>
      <c r="AM742" s="43">
        <f t="shared" si="47"/>
        <v>0</v>
      </c>
      <c r="AN742" s="16" t="s">
        <v>64</v>
      </c>
      <c r="AO742" s="16" t="s">
        <v>64</v>
      </c>
    </row>
    <row r="743" spans="1:41" s="15" customFormat="1" ht="15" customHeight="1" x14ac:dyDescent="0.35">
      <c r="A743" s="27" t="s">
        <v>2191</v>
      </c>
      <c r="B743" s="16" t="s">
        <v>1970</v>
      </c>
      <c r="C743" s="16" t="s">
        <v>43</v>
      </c>
      <c r="D743" s="16" t="s">
        <v>44</v>
      </c>
      <c r="E743" s="16"/>
      <c r="F743" s="16">
        <v>0</v>
      </c>
      <c r="G743" s="30" t="s">
        <v>2192</v>
      </c>
      <c r="H743" s="16">
        <v>0</v>
      </c>
      <c r="I743" s="16" t="s">
        <v>1972</v>
      </c>
      <c r="J743" s="16">
        <v>100</v>
      </c>
      <c r="K743" s="16">
        <v>0</v>
      </c>
      <c r="L743" s="16">
        <v>0</v>
      </c>
      <c r="M743" s="8">
        <v>0</v>
      </c>
      <c r="N743" s="21">
        <v>42062</v>
      </c>
      <c r="O743" s="7">
        <f t="shared" si="44"/>
        <v>27</v>
      </c>
      <c r="P743" s="22">
        <f t="shared" si="45"/>
        <v>2</v>
      </c>
      <c r="Q743" s="22">
        <f t="shared" si="46"/>
        <v>28</v>
      </c>
      <c r="R743" s="16">
        <v>0</v>
      </c>
      <c r="S743" s="29">
        <v>4.5990000000000002</v>
      </c>
      <c r="T743" s="29">
        <v>-74.075999999999993</v>
      </c>
      <c r="U743" s="22">
        <v>0</v>
      </c>
      <c r="V743" s="22">
        <v>0</v>
      </c>
      <c r="W743" s="25">
        <v>0</v>
      </c>
      <c r="X743" s="24">
        <v>0</v>
      </c>
      <c r="Y743" s="24">
        <v>0</v>
      </c>
      <c r="Z743" s="24">
        <v>0</v>
      </c>
      <c r="AA743" s="24">
        <v>0</v>
      </c>
      <c r="AB743" s="24">
        <v>0</v>
      </c>
      <c r="AC743" s="24">
        <v>0</v>
      </c>
      <c r="AD743" s="24">
        <v>0</v>
      </c>
      <c r="AE743" s="24">
        <v>0</v>
      </c>
      <c r="AF743" s="24">
        <v>0</v>
      </c>
      <c r="AG743" s="16">
        <v>0</v>
      </c>
      <c r="AH743" s="16" t="s">
        <v>64</v>
      </c>
      <c r="AI743" s="16" t="s">
        <v>1972</v>
      </c>
      <c r="AJ743" s="16" t="s">
        <v>50</v>
      </c>
      <c r="AK743" s="16" t="s">
        <v>51</v>
      </c>
      <c r="AL743" s="25">
        <v>232000</v>
      </c>
      <c r="AM743" s="43">
        <f t="shared" si="47"/>
        <v>0</v>
      </c>
      <c r="AN743" s="16" t="s">
        <v>64</v>
      </c>
      <c r="AO743" s="16" t="s">
        <v>64</v>
      </c>
    </row>
    <row r="744" spans="1:41" ht="15" customHeight="1" x14ac:dyDescent="0.35">
      <c r="A744" s="27" t="s">
        <v>2193</v>
      </c>
      <c r="B744" s="16" t="s">
        <v>105</v>
      </c>
      <c r="C744" s="16" t="s">
        <v>112</v>
      </c>
      <c r="D744" s="16" t="s">
        <v>113</v>
      </c>
      <c r="E744" s="16" t="s">
        <v>268</v>
      </c>
      <c r="F744" s="16">
        <v>3</v>
      </c>
      <c r="G744" s="30" t="s">
        <v>2194</v>
      </c>
      <c r="H744" s="16">
        <v>0</v>
      </c>
      <c r="I744" s="16" t="s">
        <v>102</v>
      </c>
      <c r="J744" s="16">
        <v>122.9</v>
      </c>
      <c r="K744" s="16">
        <v>0</v>
      </c>
      <c r="L744" s="16">
        <v>0</v>
      </c>
      <c r="M744" s="8">
        <v>0</v>
      </c>
      <c r="N744" s="21">
        <v>45429</v>
      </c>
      <c r="O744" s="7">
        <f t="shared" si="44"/>
        <v>17</v>
      </c>
      <c r="P744" s="22">
        <f t="shared" si="45"/>
        <v>15</v>
      </c>
      <c r="Q744" s="22">
        <f t="shared" si="46"/>
        <v>31</v>
      </c>
      <c r="R744" s="16">
        <v>0</v>
      </c>
      <c r="S744" s="29">
        <v>3.484</v>
      </c>
      <c r="T744" s="29">
        <v>-76.515000000000001</v>
      </c>
      <c r="U744" s="22">
        <v>0</v>
      </c>
      <c r="V744" s="22">
        <v>0</v>
      </c>
      <c r="W744" s="25">
        <v>0</v>
      </c>
      <c r="X744" s="24">
        <v>0</v>
      </c>
      <c r="Y744" s="24">
        <v>0</v>
      </c>
      <c r="Z744" s="24">
        <v>0</v>
      </c>
      <c r="AA744" s="24">
        <v>0</v>
      </c>
      <c r="AB744" s="24">
        <v>0</v>
      </c>
      <c r="AC744" s="24">
        <v>0</v>
      </c>
      <c r="AD744" s="24">
        <v>0</v>
      </c>
      <c r="AE744" s="24">
        <v>0</v>
      </c>
      <c r="AF744" s="24">
        <v>0</v>
      </c>
      <c r="AG744" s="16">
        <v>0</v>
      </c>
      <c r="AH744" s="16" t="s">
        <v>64</v>
      </c>
      <c r="AI744" s="16" t="s">
        <v>1972</v>
      </c>
      <c r="AJ744" s="16" t="s">
        <v>76</v>
      </c>
      <c r="AK744" s="16" t="s">
        <v>1972</v>
      </c>
      <c r="AL744" s="25">
        <v>241405</v>
      </c>
      <c r="AM744" s="43">
        <f t="shared" si="47"/>
        <v>0</v>
      </c>
      <c r="AN744" s="16" t="s">
        <v>64</v>
      </c>
      <c r="AO744" s="16" t="s">
        <v>64</v>
      </c>
    </row>
    <row r="745" spans="1:41" ht="15" customHeight="1" x14ac:dyDescent="0.35">
      <c r="A745" s="27" t="s">
        <v>2195</v>
      </c>
      <c r="B745" s="16" t="s">
        <v>1970</v>
      </c>
      <c r="C745" s="16" t="s">
        <v>43</v>
      </c>
      <c r="D745" s="16" t="s">
        <v>44</v>
      </c>
      <c r="E745" s="16"/>
      <c r="F745" s="16">
        <v>0</v>
      </c>
      <c r="G745" s="30" t="s">
        <v>2196</v>
      </c>
      <c r="H745" s="16">
        <v>0</v>
      </c>
      <c r="I745" s="16" t="s">
        <v>47</v>
      </c>
      <c r="J745" s="16">
        <v>100</v>
      </c>
      <c r="K745" s="16">
        <v>0</v>
      </c>
      <c r="L745" s="16">
        <v>0</v>
      </c>
      <c r="M745" s="8">
        <v>0</v>
      </c>
      <c r="N745" s="21">
        <v>44750</v>
      </c>
      <c r="O745" s="7">
        <f t="shared" si="44"/>
        <v>8</v>
      </c>
      <c r="P745" s="22">
        <f t="shared" si="45"/>
        <v>24</v>
      </c>
      <c r="Q745" s="22">
        <f t="shared" si="46"/>
        <v>31</v>
      </c>
      <c r="R745" s="16">
        <v>0</v>
      </c>
      <c r="S745" s="29">
        <v>4.7149999999999999</v>
      </c>
      <c r="T745" s="29">
        <v>-74.055999999999997</v>
      </c>
      <c r="U745" s="22">
        <v>0</v>
      </c>
      <c r="V745" s="22">
        <v>0</v>
      </c>
      <c r="W745" s="25">
        <v>0</v>
      </c>
      <c r="X745" s="24">
        <v>0</v>
      </c>
      <c r="Y745" s="24">
        <v>0</v>
      </c>
      <c r="Z745" s="24">
        <v>0</v>
      </c>
      <c r="AA745" s="24">
        <v>0</v>
      </c>
      <c r="AB745" s="24">
        <v>0</v>
      </c>
      <c r="AC745" s="24">
        <v>0</v>
      </c>
      <c r="AD745" s="24">
        <v>0</v>
      </c>
      <c r="AE745" s="24">
        <v>0</v>
      </c>
      <c r="AF745" s="24">
        <v>0</v>
      </c>
      <c r="AG745" s="16">
        <v>0</v>
      </c>
      <c r="AH745" s="16" t="s">
        <v>64</v>
      </c>
      <c r="AI745" s="16" t="s">
        <v>1972</v>
      </c>
      <c r="AJ745" s="16" t="s">
        <v>50</v>
      </c>
      <c r="AK745" s="16" t="s">
        <v>1972</v>
      </c>
      <c r="AL745" s="25">
        <v>232000</v>
      </c>
      <c r="AM745" s="43">
        <f t="shared" si="47"/>
        <v>0</v>
      </c>
      <c r="AN745" s="16" t="s">
        <v>64</v>
      </c>
      <c r="AO745" s="16" t="s">
        <v>64</v>
      </c>
    </row>
    <row r="746" spans="1:41" ht="15" customHeight="1" x14ac:dyDescent="0.35">
      <c r="A746" s="27" t="s">
        <v>2197</v>
      </c>
      <c r="B746" s="16" t="s">
        <v>105</v>
      </c>
      <c r="C746" s="16" t="s">
        <v>112</v>
      </c>
      <c r="D746" s="16" t="s">
        <v>113</v>
      </c>
      <c r="E746" s="16"/>
      <c r="F746" s="16">
        <v>0</v>
      </c>
      <c r="G746" s="30" t="s">
        <v>2198</v>
      </c>
      <c r="H746" s="16">
        <v>0</v>
      </c>
      <c r="I746" s="16" t="s">
        <v>47</v>
      </c>
      <c r="J746" s="16">
        <v>100</v>
      </c>
      <c r="K746" s="16">
        <v>0</v>
      </c>
      <c r="L746" s="16">
        <v>0</v>
      </c>
      <c r="M746" s="8">
        <v>0</v>
      </c>
      <c r="N746" s="21">
        <v>45377</v>
      </c>
      <c r="O746" s="7">
        <f t="shared" si="44"/>
        <v>26</v>
      </c>
      <c r="P746" s="22">
        <f t="shared" si="45"/>
        <v>6</v>
      </c>
      <c r="Q746" s="22">
        <f t="shared" si="46"/>
        <v>31</v>
      </c>
      <c r="R746" s="16">
        <v>0</v>
      </c>
      <c r="S746" s="29">
        <v>3.4750000000000001</v>
      </c>
      <c r="T746" s="29">
        <v>-76.52</v>
      </c>
      <c r="U746" s="22">
        <v>0</v>
      </c>
      <c r="V746" s="22">
        <v>0</v>
      </c>
      <c r="W746" s="25">
        <v>0</v>
      </c>
      <c r="X746" s="24">
        <v>0</v>
      </c>
      <c r="Y746" s="24">
        <v>0</v>
      </c>
      <c r="Z746" s="24">
        <v>0</v>
      </c>
      <c r="AA746" s="24">
        <v>0</v>
      </c>
      <c r="AB746" s="24">
        <v>0</v>
      </c>
      <c r="AC746" s="24">
        <v>0</v>
      </c>
      <c r="AD746" s="24">
        <v>0</v>
      </c>
      <c r="AE746" s="24">
        <v>0</v>
      </c>
      <c r="AF746" s="24">
        <v>0</v>
      </c>
      <c r="AG746" s="16">
        <v>0</v>
      </c>
      <c r="AH746" s="16" t="s">
        <v>64</v>
      </c>
      <c r="AI746" s="16" t="s">
        <v>1972</v>
      </c>
      <c r="AJ746" s="16" t="s">
        <v>50</v>
      </c>
      <c r="AK746" s="16" t="s">
        <v>51</v>
      </c>
      <c r="AL746" s="25">
        <v>232000</v>
      </c>
      <c r="AM746" s="43">
        <f t="shared" si="47"/>
        <v>0</v>
      </c>
      <c r="AN746" s="16" t="s">
        <v>64</v>
      </c>
      <c r="AO746" s="16" t="s">
        <v>64</v>
      </c>
    </row>
    <row r="747" spans="1:41" ht="15" customHeight="1" x14ac:dyDescent="0.35">
      <c r="A747" s="27" t="s">
        <v>2199</v>
      </c>
      <c r="B747" s="16" t="s">
        <v>183</v>
      </c>
      <c r="C747" s="16" t="s">
        <v>184</v>
      </c>
      <c r="D747" s="16" t="s">
        <v>185</v>
      </c>
      <c r="E747" s="16" t="s">
        <v>186</v>
      </c>
      <c r="F747" s="16">
        <v>5</v>
      </c>
      <c r="G747" s="30" t="s">
        <v>2200</v>
      </c>
      <c r="H747" s="16">
        <v>0</v>
      </c>
      <c r="I747" s="16" t="s">
        <v>47</v>
      </c>
      <c r="J747" s="16">
        <v>135.75</v>
      </c>
      <c r="K747" s="16">
        <v>0</v>
      </c>
      <c r="L747" s="16">
        <v>0</v>
      </c>
      <c r="M747" s="8">
        <v>0</v>
      </c>
      <c r="N747" s="21">
        <v>45411</v>
      </c>
      <c r="O747" s="7">
        <f t="shared" si="44"/>
        <v>29</v>
      </c>
      <c r="P747" s="22">
        <f t="shared" si="45"/>
        <v>2</v>
      </c>
      <c r="Q747" s="22">
        <f t="shared" si="46"/>
        <v>30</v>
      </c>
      <c r="R747" s="16">
        <v>0</v>
      </c>
      <c r="S747" s="29">
        <v>11.000999999999999</v>
      </c>
      <c r="T747" s="29">
        <v>-74.816999999999993</v>
      </c>
      <c r="U747" s="22">
        <v>0</v>
      </c>
      <c r="V747" s="22">
        <v>0</v>
      </c>
      <c r="W747" s="25">
        <v>0</v>
      </c>
      <c r="X747" s="24">
        <v>0</v>
      </c>
      <c r="Y747" s="24">
        <v>0</v>
      </c>
      <c r="Z747" s="24">
        <v>0</v>
      </c>
      <c r="AA747" s="24">
        <v>0</v>
      </c>
      <c r="AB747" s="24">
        <v>0</v>
      </c>
      <c r="AC747" s="24">
        <v>0</v>
      </c>
      <c r="AD747" s="24">
        <v>0</v>
      </c>
      <c r="AE747" s="24">
        <v>0</v>
      </c>
      <c r="AF747" s="24">
        <v>0</v>
      </c>
      <c r="AG747" s="16">
        <v>0</v>
      </c>
      <c r="AH747" s="16" t="s">
        <v>64</v>
      </c>
      <c r="AI747" s="16" t="s">
        <v>1972</v>
      </c>
      <c r="AJ747" s="16" t="s">
        <v>50</v>
      </c>
      <c r="AK747" s="16" t="s">
        <v>1972</v>
      </c>
      <c r="AL747" s="25">
        <v>232000</v>
      </c>
      <c r="AM747" s="43">
        <f t="shared" si="47"/>
        <v>0</v>
      </c>
      <c r="AN747" s="16" t="s">
        <v>64</v>
      </c>
      <c r="AO747" s="16" t="s">
        <v>64</v>
      </c>
    </row>
    <row r="748" spans="1:41" ht="15" customHeight="1" x14ac:dyDescent="0.35">
      <c r="A748" s="27" t="s">
        <v>2201</v>
      </c>
      <c r="B748" s="16" t="s">
        <v>105</v>
      </c>
      <c r="C748" s="16" t="s">
        <v>2017</v>
      </c>
      <c r="D748" s="16" t="s">
        <v>178</v>
      </c>
      <c r="E748" s="16"/>
      <c r="F748" s="16">
        <v>0</v>
      </c>
      <c r="G748" s="30" t="s">
        <v>2202</v>
      </c>
      <c r="H748" s="16">
        <v>0</v>
      </c>
      <c r="I748" s="16" t="s">
        <v>102</v>
      </c>
      <c r="J748" s="16">
        <v>100</v>
      </c>
      <c r="K748" s="16">
        <v>0</v>
      </c>
      <c r="L748" s="16">
        <v>0</v>
      </c>
      <c r="M748" s="8">
        <v>0</v>
      </c>
      <c r="N748" s="21">
        <v>45429</v>
      </c>
      <c r="O748" s="7">
        <f t="shared" si="44"/>
        <v>17</v>
      </c>
      <c r="P748" s="22">
        <f t="shared" si="45"/>
        <v>15</v>
      </c>
      <c r="Q748" s="22">
        <f t="shared" si="46"/>
        <v>31</v>
      </c>
      <c r="R748" s="16">
        <v>0</v>
      </c>
      <c r="S748" s="29">
        <v>4.5609999999999999</v>
      </c>
      <c r="T748" s="29">
        <v>-75.652000000000001</v>
      </c>
      <c r="U748" s="22">
        <v>0</v>
      </c>
      <c r="V748" s="22">
        <v>0</v>
      </c>
      <c r="W748" s="25">
        <v>0</v>
      </c>
      <c r="X748" s="24">
        <v>0</v>
      </c>
      <c r="Y748" s="24">
        <v>0</v>
      </c>
      <c r="Z748" s="24">
        <v>0</v>
      </c>
      <c r="AA748" s="24">
        <v>0</v>
      </c>
      <c r="AB748" s="24">
        <v>0</v>
      </c>
      <c r="AC748" s="24">
        <v>0</v>
      </c>
      <c r="AD748" s="24">
        <v>0</v>
      </c>
      <c r="AE748" s="24">
        <v>0</v>
      </c>
      <c r="AF748" s="24">
        <v>0</v>
      </c>
      <c r="AG748" s="16">
        <v>0</v>
      </c>
      <c r="AH748" s="16" t="s">
        <v>64</v>
      </c>
      <c r="AI748" s="16" t="s">
        <v>1972</v>
      </c>
      <c r="AJ748" s="16" t="s">
        <v>76</v>
      </c>
      <c r="AK748" s="16" t="s">
        <v>1972</v>
      </c>
      <c r="AL748" s="25">
        <v>241405</v>
      </c>
      <c r="AM748" s="43">
        <f t="shared" si="47"/>
        <v>0</v>
      </c>
      <c r="AN748" s="16" t="s">
        <v>64</v>
      </c>
      <c r="AO748" s="16" t="s">
        <v>64</v>
      </c>
    </row>
    <row r="749" spans="1:41" ht="15" customHeight="1" x14ac:dyDescent="0.35">
      <c r="A749" s="27" t="s">
        <v>2203</v>
      </c>
      <c r="B749" s="16" t="s">
        <v>105</v>
      </c>
      <c r="C749" s="16" t="s">
        <v>2017</v>
      </c>
      <c r="D749" s="16" t="s">
        <v>178</v>
      </c>
      <c r="E749" s="16"/>
      <c r="F749" s="16">
        <v>0</v>
      </c>
      <c r="G749" s="30" t="s">
        <v>2204</v>
      </c>
      <c r="H749" s="16">
        <v>0</v>
      </c>
      <c r="I749" s="16" t="s">
        <v>47</v>
      </c>
      <c r="J749" s="16">
        <v>100</v>
      </c>
      <c r="K749" s="16">
        <v>0</v>
      </c>
      <c r="L749" s="16">
        <v>0</v>
      </c>
      <c r="M749" s="8">
        <v>0</v>
      </c>
      <c r="N749" s="21">
        <v>45136</v>
      </c>
      <c r="O749" s="7">
        <f t="shared" si="44"/>
        <v>29</v>
      </c>
      <c r="P749" s="22">
        <f t="shared" si="45"/>
        <v>3</v>
      </c>
      <c r="Q749" s="22">
        <f t="shared" si="46"/>
        <v>31</v>
      </c>
      <c r="R749" s="16">
        <v>0</v>
      </c>
      <c r="S749" s="29">
        <v>4.5529999999999999</v>
      </c>
      <c r="T749" s="29">
        <v>-75.66</v>
      </c>
      <c r="U749" s="22">
        <v>0</v>
      </c>
      <c r="V749" s="22">
        <v>0</v>
      </c>
      <c r="W749" s="25">
        <v>0</v>
      </c>
      <c r="X749" s="24">
        <v>0</v>
      </c>
      <c r="Y749" s="24">
        <v>0</v>
      </c>
      <c r="Z749" s="24">
        <v>0</v>
      </c>
      <c r="AA749" s="24">
        <v>0</v>
      </c>
      <c r="AB749" s="24">
        <v>0</v>
      </c>
      <c r="AC749" s="24">
        <v>0</v>
      </c>
      <c r="AD749" s="24">
        <v>0</v>
      </c>
      <c r="AE749" s="24">
        <v>0</v>
      </c>
      <c r="AF749" s="24">
        <v>0</v>
      </c>
      <c r="AG749" s="16">
        <v>0</v>
      </c>
      <c r="AH749" s="16" t="s">
        <v>64</v>
      </c>
      <c r="AI749" s="16" t="s">
        <v>1972</v>
      </c>
      <c r="AJ749" s="16" t="s">
        <v>76</v>
      </c>
      <c r="AK749" s="16" t="s">
        <v>1972</v>
      </c>
      <c r="AL749" s="25">
        <v>241405</v>
      </c>
      <c r="AM749" s="43">
        <f t="shared" si="47"/>
        <v>0</v>
      </c>
      <c r="AN749" s="16" t="s">
        <v>64</v>
      </c>
      <c r="AO749" s="16" t="s">
        <v>64</v>
      </c>
    </row>
    <row r="750" spans="1:41" ht="15" customHeight="1" x14ac:dyDescent="0.35">
      <c r="A750" s="27" t="s">
        <v>2205</v>
      </c>
      <c r="B750" s="16" t="s">
        <v>119</v>
      </c>
      <c r="C750" s="16" t="s">
        <v>120</v>
      </c>
      <c r="D750" s="16" t="s">
        <v>121</v>
      </c>
      <c r="E750" s="16"/>
      <c r="F750" s="16">
        <v>0</v>
      </c>
      <c r="G750" s="30" t="s">
        <v>2206</v>
      </c>
      <c r="H750" s="16">
        <v>0</v>
      </c>
      <c r="I750" s="16" t="s">
        <v>47</v>
      </c>
      <c r="J750" s="16">
        <v>100</v>
      </c>
      <c r="K750" s="16">
        <v>0</v>
      </c>
      <c r="L750" s="16">
        <v>0</v>
      </c>
      <c r="M750" s="8">
        <v>0</v>
      </c>
      <c r="N750" s="21">
        <v>45224</v>
      </c>
      <c r="O750" s="7">
        <f t="shared" si="44"/>
        <v>25</v>
      </c>
      <c r="P750" s="22">
        <f t="shared" si="45"/>
        <v>7</v>
      </c>
      <c r="Q750" s="22">
        <f t="shared" si="46"/>
        <v>31</v>
      </c>
      <c r="R750" s="16">
        <v>0</v>
      </c>
      <c r="S750" s="29">
        <v>7.0839999999999996</v>
      </c>
      <c r="T750" s="29">
        <v>-73.116</v>
      </c>
      <c r="U750" s="22">
        <v>0</v>
      </c>
      <c r="V750" s="22">
        <v>0</v>
      </c>
      <c r="W750" s="25">
        <v>0</v>
      </c>
      <c r="X750" s="24">
        <v>0</v>
      </c>
      <c r="Y750" s="24">
        <v>0</v>
      </c>
      <c r="Z750" s="24">
        <v>0</v>
      </c>
      <c r="AA750" s="24">
        <v>0</v>
      </c>
      <c r="AB750" s="24">
        <v>0</v>
      </c>
      <c r="AC750" s="24">
        <v>0</v>
      </c>
      <c r="AD750" s="24">
        <v>0</v>
      </c>
      <c r="AE750" s="24">
        <v>0</v>
      </c>
      <c r="AF750" s="24">
        <v>0</v>
      </c>
      <c r="AG750" s="16">
        <v>0</v>
      </c>
      <c r="AH750" s="16" t="s">
        <v>64</v>
      </c>
      <c r="AI750" s="16" t="s">
        <v>1972</v>
      </c>
      <c r="AJ750" s="16" t="s">
        <v>76</v>
      </c>
      <c r="AK750" s="16" t="s">
        <v>1972</v>
      </c>
      <c r="AL750" s="25">
        <v>241405</v>
      </c>
      <c r="AM750" s="43">
        <f t="shared" si="47"/>
        <v>0</v>
      </c>
      <c r="AN750" s="16" t="s">
        <v>64</v>
      </c>
      <c r="AO750" s="16" t="s">
        <v>64</v>
      </c>
    </row>
    <row r="751" spans="1:41" ht="15" customHeight="1" x14ac:dyDescent="0.35">
      <c r="A751" s="27" t="s">
        <v>2207</v>
      </c>
      <c r="B751" s="16" t="s">
        <v>42</v>
      </c>
      <c r="C751" s="16" t="s">
        <v>93</v>
      </c>
      <c r="D751" s="16" t="s">
        <v>744</v>
      </c>
      <c r="E751" s="16"/>
      <c r="F751" s="16">
        <v>0</v>
      </c>
      <c r="G751" s="30" t="s">
        <v>2208</v>
      </c>
      <c r="H751" s="16">
        <v>0</v>
      </c>
      <c r="I751" s="16" t="s">
        <v>47</v>
      </c>
      <c r="J751" s="16">
        <v>100</v>
      </c>
      <c r="K751" s="16">
        <v>0</v>
      </c>
      <c r="L751" s="16">
        <v>0</v>
      </c>
      <c r="M751" s="8">
        <v>0</v>
      </c>
      <c r="N751" s="21">
        <v>45290</v>
      </c>
      <c r="O751" s="7">
        <f t="shared" si="44"/>
        <v>30</v>
      </c>
      <c r="P751" s="22">
        <f t="shared" si="45"/>
        <v>2</v>
      </c>
      <c r="Q751" s="22">
        <f t="shared" si="46"/>
        <v>31</v>
      </c>
      <c r="R751" s="16">
        <v>0</v>
      </c>
      <c r="S751" s="29">
        <v>5.0179999999999998</v>
      </c>
      <c r="T751" s="29">
        <v>-73.998999999999995</v>
      </c>
      <c r="U751" s="22">
        <v>0</v>
      </c>
      <c r="V751" s="22">
        <v>0</v>
      </c>
      <c r="W751" s="25">
        <v>0</v>
      </c>
      <c r="X751" s="24">
        <v>0</v>
      </c>
      <c r="Y751" s="24">
        <v>0</v>
      </c>
      <c r="Z751" s="24">
        <v>0</v>
      </c>
      <c r="AA751" s="24">
        <v>0</v>
      </c>
      <c r="AB751" s="24">
        <v>0</v>
      </c>
      <c r="AC751" s="24">
        <v>0</v>
      </c>
      <c r="AD751" s="24">
        <v>0</v>
      </c>
      <c r="AE751" s="24">
        <v>0</v>
      </c>
      <c r="AF751" s="24">
        <v>0</v>
      </c>
      <c r="AG751" s="16">
        <v>0</v>
      </c>
      <c r="AH751" s="16" t="s">
        <v>64</v>
      </c>
      <c r="AI751" s="16" t="s">
        <v>1972</v>
      </c>
      <c r="AJ751" s="16" t="s">
        <v>76</v>
      </c>
      <c r="AK751" s="16" t="s">
        <v>1972</v>
      </c>
      <c r="AL751" s="25">
        <v>241405</v>
      </c>
      <c r="AM751" s="43">
        <f t="shared" si="47"/>
        <v>0</v>
      </c>
      <c r="AN751" s="16" t="s">
        <v>64</v>
      </c>
      <c r="AO751" s="16" t="s">
        <v>64</v>
      </c>
    </row>
    <row r="752" spans="1:41" ht="15" customHeight="1" x14ac:dyDescent="0.35">
      <c r="A752" s="27" t="s">
        <v>2209</v>
      </c>
      <c r="B752" s="16" t="s">
        <v>42</v>
      </c>
      <c r="C752" s="16" t="s">
        <v>93</v>
      </c>
      <c r="D752" s="16" t="s">
        <v>744</v>
      </c>
      <c r="E752" s="16"/>
      <c r="F752" s="16">
        <v>0</v>
      </c>
      <c r="G752" s="30" t="s">
        <v>2210</v>
      </c>
      <c r="H752" s="16">
        <v>0</v>
      </c>
      <c r="I752" s="16" t="s">
        <v>47</v>
      </c>
      <c r="J752" s="16">
        <v>100</v>
      </c>
      <c r="K752" s="16">
        <v>0</v>
      </c>
      <c r="L752" s="16">
        <v>0</v>
      </c>
      <c r="M752" s="8">
        <v>0</v>
      </c>
      <c r="N752" s="21">
        <v>45199</v>
      </c>
      <c r="O752" s="7">
        <f t="shared" si="44"/>
        <v>30</v>
      </c>
      <c r="P752" s="22">
        <f t="shared" si="45"/>
        <v>1</v>
      </c>
      <c r="Q752" s="22">
        <f t="shared" si="46"/>
        <v>30</v>
      </c>
      <c r="R752" s="16">
        <v>0</v>
      </c>
      <c r="S752" s="29">
        <v>5.0359999999999996</v>
      </c>
      <c r="T752" s="29">
        <v>-73.994</v>
      </c>
      <c r="U752" s="22">
        <v>0</v>
      </c>
      <c r="V752" s="22">
        <v>0</v>
      </c>
      <c r="W752" s="25">
        <v>0</v>
      </c>
      <c r="X752" s="24">
        <v>0</v>
      </c>
      <c r="Y752" s="24">
        <v>0</v>
      </c>
      <c r="Z752" s="24">
        <v>0</v>
      </c>
      <c r="AA752" s="24">
        <v>0</v>
      </c>
      <c r="AB752" s="24">
        <v>0</v>
      </c>
      <c r="AC752" s="24">
        <v>0</v>
      </c>
      <c r="AD752" s="24">
        <v>0</v>
      </c>
      <c r="AE752" s="24">
        <v>0</v>
      </c>
      <c r="AF752" s="24">
        <v>0</v>
      </c>
      <c r="AG752" s="16">
        <v>0</v>
      </c>
      <c r="AH752" s="16" t="s">
        <v>82</v>
      </c>
      <c r="AI752" s="16" t="s">
        <v>1972</v>
      </c>
      <c r="AJ752" s="16" t="s">
        <v>124</v>
      </c>
      <c r="AK752" s="16" t="s">
        <v>71</v>
      </c>
      <c r="AL752" s="25">
        <v>204160</v>
      </c>
      <c r="AM752" s="43">
        <f t="shared" si="47"/>
        <v>0</v>
      </c>
      <c r="AN752" s="16" t="s">
        <v>64</v>
      </c>
      <c r="AO752" s="16" t="s">
        <v>64</v>
      </c>
    </row>
    <row r="753" spans="1:41" ht="15" customHeight="1" x14ac:dyDescent="0.35">
      <c r="A753" s="27" t="s">
        <v>2211</v>
      </c>
      <c r="B753" s="16" t="s">
        <v>183</v>
      </c>
      <c r="C753" s="16" t="s">
        <v>184</v>
      </c>
      <c r="D753" s="16" t="s">
        <v>185</v>
      </c>
      <c r="E753" s="16" t="s">
        <v>186</v>
      </c>
      <c r="F753" s="16">
        <v>4</v>
      </c>
      <c r="G753" s="30" t="s">
        <v>2212</v>
      </c>
      <c r="H753" s="16" t="s">
        <v>2213</v>
      </c>
      <c r="I753" s="16" t="s">
        <v>47</v>
      </c>
      <c r="J753" s="16">
        <v>176.68</v>
      </c>
      <c r="K753" s="16">
        <v>0</v>
      </c>
      <c r="L753" s="16">
        <v>0</v>
      </c>
      <c r="M753" s="8">
        <v>0</v>
      </c>
      <c r="N753" s="21">
        <v>45685</v>
      </c>
      <c r="O753" s="7">
        <f t="shared" si="44"/>
        <v>28</v>
      </c>
      <c r="P753" s="22">
        <f t="shared" si="45"/>
        <v>4</v>
      </c>
      <c r="Q753" s="22">
        <f t="shared" si="46"/>
        <v>31</v>
      </c>
      <c r="R753" s="16">
        <v>0</v>
      </c>
      <c r="S753" s="29">
        <v>11.006</v>
      </c>
      <c r="T753" s="29">
        <v>-74.802000000000007</v>
      </c>
      <c r="U753" s="22">
        <v>0</v>
      </c>
      <c r="V753" s="22">
        <v>0</v>
      </c>
      <c r="W753" s="25">
        <v>0</v>
      </c>
      <c r="X753" s="24">
        <v>0</v>
      </c>
      <c r="Y753" s="24">
        <v>0</v>
      </c>
      <c r="Z753" s="24">
        <v>0</v>
      </c>
      <c r="AA753" s="24">
        <v>0</v>
      </c>
      <c r="AB753" s="24">
        <v>0</v>
      </c>
      <c r="AC753" s="24">
        <v>0</v>
      </c>
      <c r="AD753" s="24">
        <v>0</v>
      </c>
      <c r="AE753" s="24">
        <v>0</v>
      </c>
      <c r="AF753" s="24">
        <v>0</v>
      </c>
      <c r="AG753" s="16">
        <v>0</v>
      </c>
      <c r="AH753" s="16" t="s">
        <v>64</v>
      </c>
      <c r="AI753" s="16" t="s">
        <v>1972</v>
      </c>
      <c r="AJ753" s="16" t="s">
        <v>76</v>
      </c>
      <c r="AK753" s="16" t="s">
        <v>1972</v>
      </c>
      <c r="AL753" s="25">
        <v>241405</v>
      </c>
      <c r="AM753" s="43">
        <f t="shared" si="47"/>
        <v>0</v>
      </c>
      <c r="AN753" s="16" t="s">
        <v>64</v>
      </c>
      <c r="AO753" s="16" t="s">
        <v>64</v>
      </c>
    </row>
    <row r="754" spans="1:41" ht="15" customHeight="1" x14ac:dyDescent="0.35">
      <c r="A754" s="27" t="s">
        <v>2214</v>
      </c>
      <c r="B754" s="16" t="s">
        <v>1970</v>
      </c>
      <c r="C754" s="16" t="s">
        <v>43</v>
      </c>
      <c r="D754" s="16" t="s">
        <v>44</v>
      </c>
      <c r="E754" s="16"/>
      <c r="F754" s="16">
        <v>0</v>
      </c>
      <c r="G754" s="30" t="s">
        <v>2215</v>
      </c>
      <c r="H754" s="16">
        <v>0</v>
      </c>
      <c r="I754" s="16" t="s">
        <v>47</v>
      </c>
      <c r="J754" s="16">
        <v>100</v>
      </c>
      <c r="K754" s="16">
        <v>0</v>
      </c>
      <c r="L754" s="16">
        <v>0</v>
      </c>
      <c r="M754" s="8">
        <v>0</v>
      </c>
      <c r="N754" s="21">
        <v>44751</v>
      </c>
      <c r="O754" s="7">
        <f t="shared" si="44"/>
        <v>9</v>
      </c>
      <c r="P754" s="22">
        <f t="shared" si="45"/>
        <v>23</v>
      </c>
      <c r="Q754" s="22">
        <f t="shared" si="46"/>
        <v>31</v>
      </c>
      <c r="R754" s="16">
        <v>0</v>
      </c>
      <c r="S754" s="29">
        <v>4.6829999999999998</v>
      </c>
      <c r="T754" s="29">
        <v>-74.097999999999999</v>
      </c>
      <c r="U754" s="22">
        <v>0</v>
      </c>
      <c r="V754" s="22">
        <v>0</v>
      </c>
      <c r="W754" s="25">
        <v>0</v>
      </c>
      <c r="X754" s="24">
        <v>0</v>
      </c>
      <c r="Y754" s="24">
        <v>0</v>
      </c>
      <c r="Z754" s="24">
        <v>0</v>
      </c>
      <c r="AA754" s="24">
        <v>0</v>
      </c>
      <c r="AB754" s="24">
        <v>0</v>
      </c>
      <c r="AC754" s="24">
        <v>0</v>
      </c>
      <c r="AD754" s="24">
        <v>0</v>
      </c>
      <c r="AE754" s="24">
        <v>0</v>
      </c>
      <c r="AF754" s="24">
        <v>0</v>
      </c>
      <c r="AG754" s="16">
        <v>0</v>
      </c>
      <c r="AH754" s="16" t="s">
        <v>64</v>
      </c>
      <c r="AI754" s="16" t="s">
        <v>1972</v>
      </c>
      <c r="AJ754" s="16" t="s">
        <v>124</v>
      </c>
      <c r="AK754" s="16" t="s">
        <v>71</v>
      </c>
      <c r="AL754" s="25">
        <v>204160</v>
      </c>
      <c r="AM754" s="43">
        <f t="shared" si="47"/>
        <v>0</v>
      </c>
      <c r="AN754" s="16" t="s">
        <v>64</v>
      </c>
      <c r="AO754" s="16" t="s">
        <v>64</v>
      </c>
    </row>
    <row r="755" spans="1:41" ht="15" customHeight="1" x14ac:dyDescent="0.35">
      <c r="A755" s="27" t="s">
        <v>2216</v>
      </c>
      <c r="B755" s="16" t="s">
        <v>183</v>
      </c>
      <c r="C755" s="16" t="s">
        <v>184</v>
      </c>
      <c r="D755" s="16" t="s">
        <v>185</v>
      </c>
      <c r="E755" s="16" t="s">
        <v>186</v>
      </c>
      <c r="F755" s="16">
        <v>4</v>
      </c>
      <c r="G755" s="30" t="s">
        <v>2217</v>
      </c>
      <c r="H755" s="16" t="s">
        <v>2218</v>
      </c>
      <c r="I755" s="16" t="s">
        <v>102</v>
      </c>
      <c r="J755" s="16">
        <v>93.72</v>
      </c>
      <c r="K755" s="16">
        <v>0</v>
      </c>
      <c r="L755" s="16">
        <v>0</v>
      </c>
      <c r="M755" s="8">
        <v>0</v>
      </c>
      <c r="N755" s="21">
        <v>45775</v>
      </c>
      <c r="O755" s="7">
        <f t="shared" si="44"/>
        <v>28</v>
      </c>
      <c r="P755" s="22">
        <f t="shared" si="45"/>
        <v>3</v>
      </c>
      <c r="Q755" s="22">
        <f t="shared" si="46"/>
        <v>30</v>
      </c>
      <c r="R755" s="16">
        <v>0</v>
      </c>
      <c r="S755" s="29">
        <v>10.996</v>
      </c>
      <c r="T755" s="29">
        <v>-74.808000000000007</v>
      </c>
      <c r="U755" s="22">
        <v>0</v>
      </c>
      <c r="V755" s="22">
        <v>0</v>
      </c>
      <c r="W755" s="25">
        <v>0</v>
      </c>
      <c r="X755" s="24">
        <v>0</v>
      </c>
      <c r="Y755" s="24">
        <v>0</v>
      </c>
      <c r="Z755" s="24">
        <v>0</v>
      </c>
      <c r="AA755" s="24">
        <v>0</v>
      </c>
      <c r="AB755" s="24">
        <v>0</v>
      </c>
      <c r="AC755" s="24">
        <v>0</v>
      </c>
      <c r="AD755" s="24">
        <v>0</v>
      </c>
      <c r="AE755" s="24">
        <v>0</v>
      </c>
      <c r="AF755" s="24">
        <v>0</v>
      </c>
      <c r="AG755" s="16">
        <v>0</v>
      </c>
      <c r="AH755" s="16" t="s">
        <v>64</v>
      </c>
      <c r="AI755" s="16" t="s">
        <v>1972</v>
      </c>
      <c r="AJ755" s="16" t="s">
        <v>50</v>
      </c>
      <c r="AK755" s="16" t="s">
        <v>51</v>
      </c>
      <c r="AL755" s="25">
        <v>232000</v>
      </c>
      <c r="AM755" s="43">
        <f t="shared" si="47"/>
        <v>0</v>
      </c>
      <c r="AN755" s="16" t="s">
        <v>64</v>
      </c>
      <c r="AO755" s="16" t="s">
        <v>64</v>
      </c>
    </row>
    <row r="756" spans="1:41" ht="15" customHeight="1" x14ac:dyDescent="0.35">
      <c r="A756" s="27" t="s">
        <v>2219</v>
      </c>
      <c r="B756" s="16" t="s">
        <v>42</v>
      </c>
      <c r="C756" s="16" t="s">
        <v>93</v>
      </c>
      <c r="D756" s="16" t="s">
        <v>127</v>
      </c>
      <c r="E756" s="16"/>
      <c r="F756" s="16">
        <v>3</v>
      </c>
      <c r="G756" s="30" t="s">
        <v>2220</v>
      </c>
      <c r="H756" s="16">
        <v>0</v>
      </c>
      <c r="I756" s="16" t="s">
        <v>102</v>
      </c>
      <c r="J756" s="16">
        <v>104.04</v>
      </c>
      <c r="K756" s="16">
        <v>0</v>
      </c>
      <c r="L756" s="16">
        <v>0</v>
      </c>
      <c r="M756" s="8">
        <v>0</v>
      </c>
      <c r="N756" s="21">
        <v>45468</v>
      </c>
      <c r="O756" s="7">
        <f t="shared" si="44"/>
        <v>25</v>
      </c>
      <c r="P756" s="22">
        <f t="shared" si="45"/>
        <v>6</v>
      </c>
      <c r="Q756" s="22">
        <f t="shared" si="46"/>
        <v>30</v>
      </c>
      <c r="R756" s="16">
        <v>0</v>
      </c>
      <c r="S756" s="29">
        <v>5.5439999999999996</v>
      </c>
      <c r="T756" s="29">
        <v>-73.358000000000004</v>
      </c>
      <c r="U756" s="22">
        <v>0</v>
      </c>
      <c r="V756" s="22">
        <v>0</v>
      </c>
      <c r="W756" s="25">
        <v>0</v>
      </c>
      <c r="X756" s="24">
        <v>0</v>
      </c>
      <c r="Y756" s="24">
        <v>0</v>
      </c>
      <c r="Z756" s="24">
        <v>0</v>
      </c>
      <c r="AA756" s="24">
        <v>0</v>
      </c>
      <c r="AB756" s="24">
        <v>0</v>
      </c>
      <c r="AC756" s="24">
        <v>0</v>
      </c>
      <c r="AD756" s="24">
        <v>0</v>
      </c>
      <c r="AE756" s="24">
        <v>0</v>
      </c>
      <c r="AF756" s="24">
        <v>0</v>
      </c>
      <c r="AG756" s="16">
        <v>0</v>
      </c>
      <c r="AH756" s="16" t="s">
        <v>64</v>
      </c>
      <c r="AI756" s="16" t="s">
        <v>1972</v>
      </c>
      <c r="AJ756" s="16" t="s">
        <v>1972</v>
      </c>
      <c r="AK756" s="16" t="s">
        <v>1972</v>
      </c>
      <c r="AL756" s="25" t="s">
        <v>1973</v>
      </c>
      <c r="AM756" s="43">
        <f t="shared" si="47"/>
        <v>0</v>
      </c>
      <c r="AN756" s="16" t="s">
        <v>64</v>
      </c>
      <c r="AO756" s="16" t="s">
        <v>64</v>
      </c>
    </row>
    <row r="757" spans="1:41" ht="15" customHeight="1" x14ac:dyDescent="0.35">
      <c r="A757" s="27" t="s">
        <v>2221</v>
      </c>
      <c r="B757" s="16" t="s">
        <v>1970</v>
      </c>
      <c r="C757" s="16" t="s">
        <v>43</v>
      </c>
      <c r="D757" s="16" t="s">
        <v>44</v>
      </c>
      <c r="E757" s="16"/>
      <c r="F757" s="16">
        <v>0</v>
      </c>
      <c r="G757" s="30" t="s">
        <v>2222</v>
      </c>
      <c r="H757" s="16">
        <v>0</v>
      </c>
      <c r="I757" s="16" t="s">
        <v>1972</v>
      </c>
      <c r="J757" s="16">
        <v>100</v>
      </c>
      <c r="K757" s="16">
        <v>0</v>
      </c>
      <c r="L757" s="16">
        <v>0</v>
      </c>
      <c r="M757" s="8">
        <v>0</v>
      </c>
      <c r="N757" s="21">
        <v>43410</v>
      </c>
      <c r="O757" s="7">
        <f t="shared" si="44"/>
        <v>6</v>
      </c>
      <c r="P757" s="22">
        <f t="shared" si="45"/>
        <v>25</v>
      </c>
      <c r="Q757" s="22">
        <f t="shared" si="46"/>
        <v>30</v>
      </c>
      <c r="R757" s="16">
        <v>0</v>
      </c>
      <c r="S757" s="29">
        <v>4.6820000000000004</v>
      </c>
      <c r="T757" s="29">
        <v>-74.049000000000007</v>
      </c>
      <c r="U757" s="22">
        <v>0</v>
      </c>
      <c r="V757" s="22">
        <v>0</v>
      </c>
      <c r="W757" s="25">
        <v>0</v>
      </c>
      <c r="X757" s="24">
        <v>0</v>
      </c>
      <c r="Y757" s="24">
        <v>0</v>
      </c>
      <c r="Z757" s="24">
        <v>0</v>
      </c>
      <c r="AA757" s="24">
        <v>0</v>
      </c>
      <c r="AB757" s="24">
        <v>0</v>
      </c>
      <c r="AC757" s="24">
        <v>0</v>
      </c>
      <c r="AD757" s="24">
        <v>0</v>
      </c>
      <c r="AE757" s="24">
        <v>0</v>
      </c>
      <c r="AF757" s="24">
        <v>0</v>
      </c>
      <c r="AG757" s="16">
        <v>0</v>
      </c>
      <c r="AH757" s="16" t="s">
        <v>64</v>
      </c>
      <c r="AI757" s="16" t="s">
        <v>1972</v>
      </c>
      <c r="AJ757" s="16" t="s">
        <v>50</v>
      </c>
      <c r="AK757" s="16" t="s">
        <v>1972</v>
      </c>
      <c r="AL757" s="25">
        <v>232000</v>
      </c>
      <c r="AM757" s="43">
        <f t="shared" si="47"/>
        <v>0</v>
      </c>
      <c r="AN757" s="16" t="s">
        <v>64</v>
      </c>
      <c r="AO757" s="16" t="s">
        <v>64</v>
      </c>
    </row>
    <row r="758" spans="1:41" ht="15" customHeight="1" x14ac:dyDescent="0.35">
      <c r="A758" s="27" t="s">
        <v>2223</v>
      </c>
      <c r="B758" s="16" t="s">
        <v>55</v>
      </c>
      <c r="C758" s="16" t="s">
        <v>93</v>
      </c>
      <c r="D758" s="16" t="s">
        <v>854</v>
      </c>
      <c r="E758" s="16"/>
      <c r="F758" s="16">
        <v>0</v>
      </c>
      <c r="G758" s="30" t="s">
        <v>2224</v>
      </c>
      <c r="H758" s="16">
        <v>0</v>
      </c>
      <c r="I758" s="16" t="s">
        <v>47</v>
      </c>
      <c r="J758" s="16">
        <v>100</v>
      </c>
      <c r="K758" s="16">
        <v>0</v>
      </c>
      <c r="L758" s="16">
        <v>0</v>
      </c>
      <c r="M758" s="8">
        <v>0</v>
      </c>
      <c r="N758" s="21">
        <v>45374</v>
      </c>
      <c r="O758" s="7">
        <f t="shared" si="44"/>
        <v>23</v>
      </c>
      <c r="P758" s="22">
        <f t="shared" si="45"/>
        <v>9</v>
      </c>
      <c r="Q758" s="22">
        <f t="shared" si="46"/>
        <v>31</v>
      </c>
      <c r="R758" s="16">
        <v>0</v>
      </c>
      <c r="S758" s="29">
        <v>4.7130000000000001</v>
      </c>
      <c r="T758" s="29">
        <v>-74.215000000000003</v>
      </c>
      <c r="U758" s="22">
        <v>0</v>
      </c>
      <c r="V758" s="22">
        <v>0</v>
      </c>
      <c r="W758" s="25">
        <v>0</v>
      </c>
      <c r="X758" s="24">
        <v>0</v>
      </c>
      <c r="Y758" s="24">
        <v>0</v>
      </c>
      <c r="Z758" s="24">
        <v>0</v>
      </c>
      <c r="AA758" s="24">
        <v>0</v>
      </c>
      <c r="AB758" s="24">
        <v>0</v>
      </c>
      <c r="AC758" s="24">
        <v>0</v>
      </c>
      <c r="AD758" s="24">
        <v>0</v>
      </c>
      <c r="AE758" s="24">
        <v>0</v>
      </c>
      <c r="AF758" s="24">
        <v>0</v>
      </c>
      <c r="AG758" s="16">
        <v>0</v>
      </c>
      <c r="AH758" s="16" t="s">
        <v>64</v>
      </c>
      <c r="AI758" s="16" t="s">
        <v>1972</v>
      </c>
      <c r="AJ758" s="16" t="s">
        <v>50</v>
      </c>
      <c r="AK758" s="16" t="s">
        <v>1972</v>
      </c>
      <c r="AL758" s="25">
        <v>232000</v>
      </c>
      <c r="AM758" s="43">
        <f t="shared" si="47"/>
        <v>0</v>
      </c>
      <c r="AN758" s="16" t="s">
        <v>64</v>
      </c>
      <c r="AO758" s="16" t="s">
        <v>64</v>
      </c>
    </row>
    <row r="759" spans="1:41" ht="15" customHeight="1" x14ac:dyDescent="0.35">
      <c r="A759" s="27" t="s">
        <v>2225</v>
      </c>
      <c r="B759" s="16" t="s">
        <v>119</v>
      </c>
      <c r="C759" s="16" t="s">
        <v>120</v>
      </c>
      <c r="D759" s="16" t="s">
        <v>147</v>
      </c>
      <c r="E759" s="16"/>
      <c r="F759" s="16">
        <v>0</v>
      </c>
      <c r="G759" s="30" t="s">
        <v>2226</v>
      </c>
      <c r="H759" s="16">
        <v>0</v>
      </c>
      <c r="I759" s="16" t="s">
        <v>47</v>
      </c>
      <c r="J759" s="16">
        <v>100</v>
      </c>
      <c r="K759" s="16">
        <v>0</v>
      </c>
      <c r="L759" s="16">
        <v>0</v>
      </c>
      <c r="M759" s="8">
        <v>0</v>
      </c>
      <c r="N759" s="21">
        <v>45034</v>
      </c>
      <c r="O759" s="7">
        <f t="shared" si="44"/>
        <v>18</v>
      </c>
      <c r="P759" s="22">
        <f t="shared" si="45"/>
        <v>13</v>
      </c>
      <c r="Q759" s="22">
        <f t="shared" si="46"/>
        <v>30</v>
      </c>
      <c r="R759" s="16">
        <v>0</v>
      </c>
      <c r="S759" s="29">
        <v>6.9889999999999999</v>
      </c>
      <c r="T759" s="29">
        <v>-73.046999999999997</v>
      </c>
      <c r="U759" s="22">
        <v>0</v>
      </c>
      <c r="V759" s="22">
        <v>0</v>
      </c>
      <c r="W759" s="25">
        <v>0</v>
      </c>
      <c r="X759" s="24">
        <v>0</v>
      </c>
      <c r="Y759" s="24">
        <v>0</v>
      </c>
      <c r="Z759" s="24">
        <v>0</v>
      </c>
      <c r="AA759" s="24">
        <v>0</v>
      </c>
      <c r="AB759" s="24">
        <v>0</v>
      </c>
      <c r="AC759" s="24">
        <v>0</v>
      </c>
      <c r="AD759" s="24">
        <v>0</v>
      </c>
      <c r="AE759" s="24">
        <v>0</v>
      </c>
      <c r="AF759" s="24">
        <v>0</v>
      </c>
      <c r="AG759" s="16">
        <v>0</v>
      </c>
      <c r="AH759" s="16" t="s">
        <v>64</v>
      </c>
      <c r="AI759" s="16" t="s">
        <v>1972</v>
      </c>
      <c r="AJ759" s="16" t="s">
        <v>1972</v>
      </c>
      <c r="AK759" s="16" t="s">
        <v>1972</v>
      </c>
      <c r="AL759" s="25" t="s">
        <v>1973</v>
      </c>
      <c r="AM759" s="43">
        <f t="shared" si="47"/>
        <v>0</v>
      </c>
      <c r="AN759" s="16" t="s">
        <v>64</v>
      </c>
      <c r="AO759" s="16" t="s">
        <v>64</v>
      </c>
    </row>
    <row r="760" spans="1:41" ht="15" customHeight="1" x14ac:dyDescent="0.35">
      <c r="A760" s="27" t="s">
        <v>2227</v>
      </c>
      <c r="B760" s="16" t="s">
        <v>1970</v>
      </c>
      <c r="C760" s="16" t="s">
        <v>43</v>
      </c>
      <c r="D760" s="16" t="s">
        <v>44</v>
      </c>
      <c r="E760" s="16"/>
      <c r="F760" s="16">
        <v>0</v>
      </c>
      <c r="G760" s="30" t="s">
        <v>2228</v>
      </c>
      <c r="H760" s="16">
        <v>0</v>
      </c>
      <c r="I760" s="16" t="s">
        <v>1972</v>
      </c>
      <c r="J760" s="16">
        <v>100</v>
      </c>
      <c r="K760" s="16">
        <v>0</v>
      </c>
      <c r="L760" s="16">
        <v>0</v>
      </c>
      <c r="M760" s="8">
        <v>0</v>
      </c>
      <c r="N760" s="21">
        <v>44628</v>
      </c>
      <c r="O760" s="7">
        <f t="shared" si="44"/>
        <v>8</v>
      </c>
      <c r="P760" s="22">
        <f t="shared" si="45"/>
        <v>24</v>
      </c>
      <c r="Q760" s="22">
        <f t="shared" si="46"/>
        <v>31</v>
      </c>
      <c r="R760" s="16">
        <v>0</v>
      </c>
      <c r="S760" s="29">
        <v>4.6070000000000002</v>
      </c>
      <c r="T760" s="29">
        <v>-74.126999999999995</v>
      </c>
      <c r="U760" s="22">
        <v>0</v>
      </c>
      <c r="V760" s="22">
        <v>0</v>
      </c>
      <c r="W760" s="25">
        <v>0</v>
      </c>
      <c r="X760" s="24">
        <v>0</v>
      </c>
      <c r="Y760" s="24">
        <v>0</v>
      </c>
      <c r="Z760" s="24">
        <v>0</v>
      </c>
      <c r="AA760" s="24">
        <v>0</v>
      </c>
      <c r="AB760" s="24">
        <v>0</v>
      </c>
      <c r="AC760" s="24">
        <v>0</v>
      </c>
      <c r="AD760" s="24">
        <v>0</v>
      </c>
      <c r="AE760" s="24">
        <v>0</v>
      </c>
      <c r="AF760" s="24">
        <v>0</v>
      </c>
      <c r="AG760" s="16">
        <v>0</v>
      </c>
      <c r="AH760" s="16" t="s">
        <v>64</v>
      </c>
      <c r="AI760" s="16" t="s">
        <v>1972</v>
      </c>
      <c r="AJ760" s="16" t="s">
        <v>124</v>
      </c>
      <c r="AK760" s="16" t="s">
        <v>51</v>
      </c>
      <c r="AL760" s="25">
        <v>204160</v>
      </c>
      <c r="AM760" s="43">
        <f t="shared" si="47"/>
        <v>0</v>
      </c>
      <c r="AN760" s="16" t="s">
        <v>64</v>
      </c>
      <c r="AO760" s="16" t="s">
        <v>64</v>
      </c>
    </row>
    <row r="761" spans="1:41" ht="15" customHeight="1" x14ac:dyDescent="0.35">
      <c r="A761" s="27" t="s">
        <v>2229</v>
      </c>
      <c r="B761" s="16" t="s">
        <v>105</v>
      </c>
      <c r="C761" s="16" t="s">
        <v>157</v>
      </c>
      <c r="D761" s="16" t="s">
        <v>158</v>
      </c>
      <c r="E761" s="16" t="s">
        <v>596</v>
      </c>
      <c r="F761" s="16">
        <v>6</v>
      </c>
      <c r="G761" s="30" t="s">
        <v>2230</v>
      </c>
      <c r="H761" s="16">
        <v>0</v>
      </c>
      <c r="I761" s="16" t="s">
        <v>102</v>
      </c>
      <c r="J761" s="16">
        <v>51.79</v>
      </c>
      <c r="K761" s="16">
        <v>0</v>
      </c>
      <c r="L761" s="16">
        <v>0</v>
      </c>
      <c r="M761" s="8">
        <v>0</v>
      </c>
      <c r="N761" s="21">
        <v>45436</v>
      </c>
      <c r="O761" s="7">
        <f t="shared" si="44"/>
        <v>24</v>
      </c>
      <c r="P761" s="22">
        <f t="shared" si="45"/>
        <v>8</v>
      </c>
      <c r="Q761" s="22">
        <f t="shared" si="46"/>
        <v>31</v>
      </c>
      <c r="R761" s="16">
        <v>0</v>
      </c>
      <c r="S761" s="29">
        <v>6.2039999999999997</v>
      </c>
      <c r="T761" s="29">
        <v>-75.570999999999998</v>
      </c>
      <c r="U761" s="22">
        <v>0</v>
      </c>
      <c r="V761" s="22">
        <v>0</v>
      </c>
      <c r="W761" s="25">
        <v>0</v>
      </c>
      <c r="X761" s="24">
        <v>0</v>
      </c>
      <c r="Y761" s="24">
        <v>0</v>
      </c>
      <c r="Z761" s="24">
        <v>0</v>
      </c>
      <c r="AA761" s="24">
        <v>0</v>
      </c>
      <c r="AB761" s="24">
        <v>0</v>
      </c>
      <c r="AC761" s="24">
        <v>0</v>
      </c>
      <c r="AD761" s="24">
        <v>0</v>
      </c>
      <c r="AE761" s="24">
        <v>0</v>
      </c>
      <c r="AF761" s="24">
        <v>0</v>
      </c>
      <c r="AG761" s="16">
        <v>0</v>
      </c>
      <c r="AH761" s="16" t="s">
        <v>64</v>
      </c>
      <c r="AI761" s="16" t="s">
        <v>1972</v>
      </c>
      <c r="AJ761" s="16" t="s">
        <v>76</v>
      </c>
      <c r="AK761" s="16" t="s">
        <v>1972</v>
      </c>
      <c r="AL761" s="25">
        <v>241405</v>
      </c>
      <c r="AM761" s="43">
        <f t="shared" si="47"/>
        <v>0</v>
      </c>
      <c r="AN761" s="16" t="s">
        <v>64</v>
      </c>
      <c r="AO761" s="16" t="s">
        <v>64</v>
      </c>
    </row>
    <row r="762" spans="1:41" ht="15" customHeight="1" x14ac:dyDescent="0.35">
      <c r="A762" s="27" t="s">
        <v>2231</v>
      </c>
      <c r="B762" s="16" t="s">
        <v>119</v>
      </c>
      <c r="C762" s="16" t="s">
        <v>120</v>
      </c>
      <c r="D762" s="16" t="s">
        <v>121</v>
      </c>
      <c r="E762" s="16"/>
      <c r="F762" s="16">
        <v>0</v>
      </c>
      <c r="G762" s="30" t="s">
        <v>2232</v>
      </c>
      <c r="H762" s="16">
        <v>0</v>
      </c>
      <c r="I762" s="16" t="s">
        <v>102</v>
      </c>
      <c r="J762" s="16">
        <v>100</v>
      </c>
      <c r="K762" s="16">
        <v>0</v>
      </c>
      <c r="L762" s="16">
        <v>0</v>
      </c>
      <c r="M762" s="8">
        <v>0</v>
      </c>
      <c r="N762" s="21">
        <v>44799</v>
      </c>
      <c r="O762" s="7">
        <f t="shared" si="44"/>
        <v>26</v>
      </c>
      <c r="P762" s="22">
        <f t="shared" si="45"/>
        <v>6</v>
      </c>
      <c r="Q762" s="22">
        <f t="shared" si="46"/>
        <v>31</v>
      </c>
      <c r="R762" s="16">
        <v>0</v>
      </c>
      <c r="S762" s="29">
        <v>7.0819999999999999</v>
      </c>
      <c r="T762" s="29">
        <v>-73.117999999999995</v>
      </c>
      <c r="U762" s="22">
        <v>0</v>
      </c>
      <c r="V762" s="22">
        <v>0</v>
      </c>
      <c r="W762" s="25">
        <v>0</v>
      </c>
      <c r="X762" s="24">
        <v>0</v>
      </c>
      <c r="Y762" s="24">
        <v>0</v>
      </c>
      <c r="Z762" s="24">
        <v>0</v>
      </c>
      <c r="AA762" s="24">
        <v>0</v>
      </c>
      <c r="AB762" s="24">
        <v>0</v>
      </c>
      <c r="AC762" s="24">
        <v>0</v>
      </c>
      <c r="AD762" s="24">
        <v>0</v>
      </c>
      <c r="AE762" s="24">
        <v>0</v>
      </c>
      <c r="AF762" s="24">
        <v>0</v>
      </c>
      <c r="AG762" s="16">
        <v>0</v>
      </c>
      <c r="AH762" s="16" t="s">
        <v>64</v>
      </c>
      <c r="AI762" s="16" t="s">
        <v>1972</v>
      </c>
      <c r="AJ762" s="16" t="s">
        <v>50</v>
      </c>
      <c r="AK762" s="16" t="s">
        <v>1972</v>
      </c>
      <c r="AL762" s="25">
        <v>232000</v>
      </c>
      <c r="AM762" s="43">
        <f t="shared" si="47"/>
        <v>0</v>
      </c>
      <c r="AN762" s="16" t="s">
        <v>64</v>
      </c>
      <c r="AO762" s="16" t="s">
        <v>64</v>
      </c>
    </row>
    <row r="763" spans="1:41" ht="15" customHeight="1" x14ac:dyDescent="0.35">
      <c r="A763" s="27" t="s">
        <v>2233</v>
      </c>
      <c r="B763" s="16" t="s">
        <v>105</v>
      </c>
      <c r="C763" s="16" t="s">
        <v>157</v>
      </c>
      <c r="D763" s="16" t="s">
        <v>2234</v>
      </c>
      <c r="E763" s="16"/>
      <c r="F763" s="16">
        <v>0</v>
      </c>
      <c r="G763" s="30" t="s">
        <v>2235</v>
      </c>
      <c r="H763" s="16" t="s">
        <v>2236</v>
      </c>
      <c r="I763" s="16" t="s">
        <v>47</v>
      </c>
      <c r="J763" s="16">
        <v>100</v>
      </c>
      <c r="K763" s="16">
        <v>0</v>
      </c>
      <c r="L763" s="16">
        <v>0</v>
      </c>
      <c r="M763" s="8">
        <v>0</v>
      </c>
      <c r="N763" s="21">
        <v>45500</v>
      </c>
      <c r="O763" s="7">
        <f t="shared" si="44"/>
        <v>27</v>
      </c>
      <c r="P763" s="22">
        <f t="shared" si="45"/>
        <v>5</v>
      </c>
      <c r="Q763" s="22">
        <f t="shared" si="46"/>
        <v>31</v>
      </c>
      <c r="R763" s="16">
        <v>0</v>
      </c>
      <c r="S763" s="29">
        <v>6.1840000000000002</v>
      </c>
      <c r="T763" s="29">
        <v>-75.599999999999994</v>
      </c>
      <c r="U763" s="22">
        <v>0</v>
      </c>
      <c r="V763" s="22">
        <v>0</v>
      </c>
      <c r="W763" s="25">
        <v>0</v>
      </c>
      <c r="X763" s="24">
        <v>0</v>
      </c>
      <c r="Y763" s="24">
        <v>0</v>
      </c>
      <c r="Z763" s="24">
        <v>0</v>
      </c>
      <c r="AA763" s="24">
        <v>0</v>
      </c>
      <c r="AB763" s="24">
        <v>0</v>
      </c>
      <c r="AC763" s="24">
        <v>0</v>
      </c>
      <c r="AD763" s="24">
        <v>0</v>
      </c>
      <c r="AE763" s="24">
        <v>0</v>
      </c>
      <c r="AF763" s="24">
        <v>0</v>
      </c>
      <c r="AG763" s="16">
        <v>0</v>
      </c>
      <c r="AH763" s="16" t="s">
        <v>64</v>
      </c>
      <c r="AI763" s="16" t="s">
        <v>1972</v>
      </c>
      <c r="AJ763" s="16" t="s">
        <v>50</v>
      </c>
      <c r="AK763" s="16" t="s">
        <v>1972</v>
      </c>
      <c r="AL763" s="25">
        <v>232000</v>
      </c>
      <c r="AM763" s="43">
        <f t="shared" si="47"/>
        <v>0</v>
      </c>
      <c r="AN763" s="16" t="s">
        <v>64</v>
      </c>
      <c r="AO763" s="16" t="s">
        <v>64</v>
      </c>
    </row>
    <row r="764" spans="1:41" ht="15" customHeight="1" x14ac:dyDescent="0.35">
      <c r="A764" s="27" t="s">
        <v>2237</v>
      </c>
      <c r="B764" s="16" t="s">
        <v>42</v>
      </c>
      <c r="C764" s="16" t="s">
        <v>93</v>
      </c>
      <c r="D764" s="16" t="s">
        <v>749</v>
      </c>
      <c r="E764" s="16"/>
      <c r="F764" s="16">
        <v>0</v>
      </c>
      <c r="G764" s="30" t="s">
        <v>2238</v>
      </c>
      <c r="H764" s="16">
        <v>0</v>
      </c>
      <c r="I764" s="16" t="s">
        <v>47</v>
      </c>
      <c r="J764" s="16">
        <v>100</v>
      </c>
      <c r="K764" s="16">
        <v>0</v>
      </c>
      <c r="L764" s="16">
        <v>0</v>
      </c>
      <c r="M764" s="8">
        <v>0</v>
      </c>
      <c r="N764" s="21">
        <v>45342</v>
      </c>
      <c r="O764" s="7">
        <f t="shared" si="44"/>
        <v>20</v>
      </c>
      <c r="P764" s="22">
        <f t="shared" si="45"/>
        <v>10</v>
      </c>
      <c r="Q764" s="22">
        <f t="shared" si="46"/>
        <v>29</v>
      </c>
      <c r="R764" s="16">
        <v>0</v>
      </c>
      <c r="S764" s="29">
        <v>4.7880000000000003</v>
      </c>
      <c r="T764" s="29">
        <v>-74.12</v>
      </c>
      <c r="U764" s="22">
        <v>0</v>
      </c>
      <c r="V764" s="22">
        <v>0</v>
      </c>
      <c r="W764" s="25">
        <v>0</v>
      </c>
      <c r="X764" s="24">
        <v>0</v>
      </c>
      <c r="Y764" s="24">
        <v>0</v>
      </c>
      <c r="Z764" s="24">
        <v>0</v>
      </c>
      <c r="AA764" s="24">
        <v>0</v>
      </c>
      <c r="AB764" s="24">
        <v>0</v>
      </c>
      <c r="AC764" s="24">
        <v>0</v>
      </c>
      <c r="AD764" s="24">
        <v>0</v>
      </c>
      <c r="AE764" s="24">
        <v>0</v>
      </c>
      <c r="AF764" s="24">
        <v>0</v>
      </c>
      <c r="AG764" s="16">
        <v>0</v>
      </c>
      <c r="AH764" s="16" t="s">
        <v>64</v>
      </c>
      <c r="AI764" s="16" t="s">
        <v>1972</v>
      </c>
      <c r="AJ764" s="16" t="s">
        <v>50</v>
      </c>
      <c r="AK764" s="16" t="s">
        <v>1972</v>
      </c>
      <c r="AL764" s="25">
        <v>232000</v>
      </c>
      <c r="AM764" s="43">
        <f t="shared" si="47"/>
        <v>0</v>
      </c>
      <c r="AN764" s="16" t="s">
        <v>64</v>
      </c>
      <c r="AO764" s="16" t="s">
        <v>64</v>
      </c>
    </row>
    <row r="765" spans="1:41" ht="15" customHeight="1" x14ac:dyDescent="0.35">
      <c r="A765" s="27" t="s">
        <v>2239</v>
      </c>
      <c r="B765" s="16" t="s">
        <v>119</v>
      </c>
      <c r="C765" s="16" t="s">
        <v>120</v>
      </c>
      <c r="D765" s="16" t="s">
        <v>121</v>
      </c>
      <c r="E765" s="16"/>
      <c r="F765" s="16">
        <v>0</v>
      </c>
      <c r="G765" s="30" t="s">
        <v>2240</v>
      </c>
      <c r="H765" s="16">
        <v>0</v>
      </c>
      <c r="I765" s="16" t="s">
        <v>47</v>
      </c>
      <c r="J765" s="16">
        <v>100</v>
      </c>
      <c r="K765" s="16">
        <v>0</v>
      </c>
      <c r="L765" s="16">
        <v>0</v>
      </c>
      <c r="M765" s="8">
        <v>0</v>
      </c>
      <c r="N765" s="21">
        <v>45168</v>
      </c>
      <c r="O765" s="7">
        <f t="shared" si="44"/>
        <v>30</v>
      </c>
      <c r="P765" s="22">
        <f t="shared" si="45"/>
        <v>2</v>
      </c>
      <c r="Q765" s="22">
        <f t="shared" si="46"/>
        <v>31</v>
      </c>
      <c r="R765" s="16">
        <v>0</v>
      </c>
      <c r="S765" s="29">
        <v>7.1280000000000001</v>
      </c>
      <c r="T765" s="29">
        <v>-73.13</v>
      </c>
      <c r="U765" s="22">
        <v>0</v>
      </c>
      <c r="V765" s="22">
        <v>0</v>
      </c>
      <c r="W765" s="25">
        <v>0</v>
      </c>
      <c r="X765" s="24">
        <v>0</v>
      </c>
      <c r="Y765" s="24">
        <v>0</v>
      </c>
      <c r="Z765" s="24">
        <v>0</v>
      </c>
      <c r="AA765" s="24">
        <v>0</v>
      </c>
      <c r="AB765" s="24">
        <v>0</v>
      </c>
      <c r="AC765" s="24">
        <v>0</v>
      </c>
      <c r="AD765" s="24">
        <v>0</v>
      </c>
      <c r="AE765" s="24">
        <v>0</v>
      </c>
      <c r="AF765" s="24">
        <v>0</v>
      </c>
      <c r="AG765" s="16">
        <v>0</v>
      </c>
      <c r="AH765" s="16" t="s">
        <v>64</v>
      </c>
      <c r="AI765" s="16" t="s">
        <v>1972</v>
      </c>
      <c r="AJ765" s="16" t="s">
        <v>124</v>
      </c>
      <c r="AK765" s="16" t="s">
        <v>1972</v>
      </c>
      <c r="AL765" s="25">
        <v>204160</v>
      </c>
      <c r="AM765" s="43">
        <f t="shared" si="47"/>
        <v>0</v>
      </c>
      <c r="AN765" s="16" t="s">
        <v>64</v>
      </c>
      <c r="AO765" s="16" t="s">
        <v>64</v>
      </c>
    </row>
    <row r="766" spans="1:41" ht="15" customHeight="1" x14ac:dyDescent="0.35">
      <c r="A766" s="27" t="s">
        <v>2241</v>
      </c>
      <c r="B766" s="16" t="s">
        <v>1970</v>
      </c>
      <c r="C766" s="16" t="s">
        <v>43</v>
      </c>
      <c r="D766" s="16" t="s">
        <v>44</v>
      </c>
      <c r="E766" s="16"/>
      <c r="F766" s="16">
        <v>0</v>
      </c>
      <c r="G766" s="30" t="s">
        <v>2242</v>
      </c>
      <c r="H766" s="16">
        <v>0</v>
      </c>
      <c r="I766" s="16" t="s">
        <v>47</v>
      </c>
      <c r="J766" s="16">
        <v>100</v>
      </c>
      <c r="K766" s="16">
        <v>0</v>
      </c>
      <c r="L766" s="16">
        <v>0</v>
      </c>
      <c r="M766" s="8">
        <v>0</v>
      </c>
      <c r="N766" s="21">
        <v>45429</v>
      </c>
      <c r="O766" s="7">
        <f t="shared" si="44"/>
        <v>17</v>
      </c>
      <c r="P766" s="22">
        <f t="shared" si="45"/>
        <v>15</v>
      </c>
      <c r="Q766" s="22">
        <f t="shared" si="46"/>
        <v>31</v>
      </c>
      <c r="R766" s="16">
        <v>0</v>
      </c>
      <c r="S766" s="29">
        <v>4.6619999999999999</v>
      </c>
      <c r="T766" s="29">
        <v>-74.075999999999993</v>
      </c>
      <c r="U766" s="22">
        <v>0</v>
      </c>
      <c r="V766" s="22">
        <v>0</v>
      </c>
      <c r="W766" s="25">
        <v>0</v>
      </c>
      <c r="X766" s="24">
        <v>0</v>
      </c>
      <c r="Y766" s="24">
        <v>0</v>
      </c>
      <c r="Z766" s="24">
        <v>0</v>
      </c>
      <c r="AA766" s="24">
        <v>0</v>
      </c>
      <c r="AB766" s="24">
        <v>0</v>
      </c>
      <c r="AC766" s="24">
        <v>0</v>
      </c>
      <c r="AD766" s="24">
        <v>0</v>
      </c>
      <c r="AE766" s="24">
        <v>0</v>
      </c>
      <c r="AF766" s="24">
        <v>0</v>
      </c>
      <c r="AG766" s="16">
        <v>0</v>
      </c>
      <c r="AH766" s="16" t="s">
        <v>64</v>
      </c>
      <c r="AI766" s="16" t="s">
        <v>1972</v>
      </c>
      <c r="AJ766" s="16" t="s">
        <v>124</v>
      </c>
      <c r="AK766" s="16" t="s">
        <v>1972</v>
      </c>
      <c r="AL766" s="25">
        <v>204160</v>
      </c>
      <c r="AM766" s="43">
        <f t="shared" si="47"/>
        <v>0</v>
      </c>
      <c r="AN766" s="16" t="s">
        <v>64</v>
      </c>
      <c r="AO766" s="16" t="s">
        <v>64</v>
      </c>
    </row>
    <row r="767" spans="1:41" ht="15" customHeight="1" x14ac:dyDescent="0.35">
      <c r="A767" s="27" t="s">
        <v>2243</v>
      </c>
      <c r="B767" s="16" t="s">
        <v>105</v>
      </c>
      <c r="C767" s="16" t="s">
        <v>106</v>
      </c>
      <c r="D767" s="16" t="s">
        <v>107</v>
      </c>
      <c r="E767" s="16"/>
      <c r="F767" s="16">
        <v>0</v>
      </c>
      <c r="G767" s="30" t="s">
        <v>2244</v>
      </c>
      <c r="H767" s="16">
        <v>0</v>
      </c>
      <c r="I767" s="16" t="s">
        <v>47</v>
      </c>
      <c r="J767" s="16">
        <v>100</v>
      </c>
      <c r="K767" s="16">
        <v>0</v>
      </c>
      <c r="L767" s="16">
        <v>0</v>
      </c>
      <c r="M767" s="8">
        <v>0</v>
      </c>
      <c r="N767" s="21">
        <v>44867</v>
      </c>
      <c r="O767" s="7">
        <f t="shared" si="44"/>
        <v>2</v>
      </c>
      <c r="P767" s="22">
        <f t="shared" si="45"/>
        <v>29</v>
      </c>
      <c r="Q767" s="22">
        <f t="shared" si="46"/>
        <v>30</v>
      </c>
      <c r="R767" s="16">
        <v>0</v>
      </c>
      <c r="S767" s="29">
        <v>4.8230000000000004</v>
      </c>
      <c r="T767" s="29">
        <v>-75.686000000000007</v>
      </c>
      <c r="U767" s="22">
        <v>0</v>
      </c>
      <c r="V767" s="22">
        <v>0</v>
      </c>
      <c r="W767" s="25">
        <v>0</v>
      </c>
      <c r="X767" s="24">
        <v>0</v>
      </c>
      <c r="Y767" s="24">
        <v>0</v>
      </c>
      <c r="Z767" s="24">
        <v>0</v>
      </c>
      <c r="AA767" s="24">
        <v>0</v>
      </c>
      <c r="AB767" s="24">
        <v>0</v>
      </c>
      <c r="AC767" s="24">
        <v>0</v>
      </c>
      <c r="AD767" s="24">
        <v>0</v>
      </c>
      <c r="AE767" s="24">
        <v>0</v>
      </c>
      <c r="AF767" s="24">
        <v>0</v>
      </c>
      <c r="AG767" s="16">
        <v>0</v>
      </c>
      <c r="AH767" s="16" t="s">
        <v>64</v>
      </c>
      <c r="AI767" s="16" t="s">
        <v>1972</v>
      </c>
      <c r="AJ767" s="16" t="s">
        <v>50</v>
      </c>
      <c r="AK767" s="16" t="s">
        <v>1972</v>
      </c>
      <c r="AL767" s="25">
        <v>232000</v>
      </c>
      <c r="AM767" s="43">
        <f t="shared" si="47"/>
        <v>0</v>
      </c>
      <c r="AN767" s="16" t="s">
        <v>64</v>
      </c>
      <c r="AO767" s="16" t="s">
        <v>64</v>
      </c>
    </row>
    <row r="768" spans="1:41" ht="15" customHeight="1" x14ac:dyDescent="0.35">
      <c r="A768" s="27" t="s">
        <v>2245</v>
      </c>
      <c r="B768" s="16" t="s">
        <v>42</v>
      </c>
      <c r="C768" s="16" t="s">
        <v>93</v>
      </c>
      <c r="D768" s="16" t="s">
        <v>281</v>
      </c>
      <c r="E768" s="16"/>
      <c r="F768" s="16">
        <v>0</v>
      </c>
      <c r="G768" s="30" t="s">
        <v>2246</v>
      </c>
      <c r="H768" s="16">
        <v>0</v>
      </c>
      <c r="I768" s="16" t="s">
        <v>47</v>
      </c>
      <c r="J768" s="16">
        <v>100</v>
      </c>
      <c r="K768" s="16">
        <v>0</v>
      </c>
      <c r="L768" s="16">
        <v>0</v>
      </c>
      <c r="M768" s="8">
        <v>0</v>
      </c>
      <c r="N768" s="21">
        <v>45168</v>
      </c>
      <c r="O768" s="7">
        <f t="shared" si="44"/>
        <v>30</v>
      </c>
      <c r="P768" s="22">
        <f t="shared" si="45"/>
        <v>2</v>
      </c>
      <c r="Q768" s="22">
        <f t="shared" si="46"/>
        <v>31</v>
      </c>
      <c r="R768" s="16">
        <v>0</v>
      </c>
      <c r="S768" s="29">
        <v>4.8600000000000003</v>
      </c>
      <c r="T768" s="29">
        <v>-74.631</v>
      </c>
      <c r="U768" s="22">
        <v>0</v>
      </c>
      <c r="V768" s="22">
        <v>0</v>
      </c>
      <c r="W768" s="25">
        <v>0</v>
      </c>
      <c r="X768" s="24">
        <v>0</v>
      </c>
      <c r="Y768" s="24">
        <v>0</v>
      </c>
      <c r="Z768" s="24">
        <v>0</v>
      </c>
      <c r="AA768" s="24">
        <v>0</v>
      </c>
      <c r="AB768" s="24">
        <v>0</v>
      </c>
      <c r="AC768" s="24">
        <v>0</v>
      </c>
      <c r="AD768" s="24">
        <v>0</v>
      </c>
      <c r="AE768" s="24">
        <v>0</v>
      </c>
      <c r="AF768" s="24">
        <v>0</v>
      </c>
      <c r="AG768" s="16">
        <v>0</v>
      </c>
      <c r="AH768" s="16" t="s">
        <v>58</v>
      </c>
      <c r="AI768" s="16" t="s">
        <v>1972</v>
      </c>
      <c r="AJ768" s="16" t="s">
        <v>50</v>
      </c>
      <c r="AK768" s="16" t="s">
        <v>1994</v>
      </c>
      <c r="AL768" s="25">
        <v>232000</v>
      </c>
      <c r="AM768" s="43">
        <f t="shared" si="47"/>
        <v>0</v>
      </c>
      <c r="AN768" s="16" t="s">
        <v>64</v>
      </c>
      <c r="AO768" s="16" t="s">
        <v>64</v>
      </c>
    </row>
    <row r="769" spans="1:41" ht="15" customHeight="1" x14ac:dyDescent="0.35">
      <c r="A769" s="27" t="s">
        <v>2247</v>
      </c>
      <c r="B769" s="16" t="s">
        <v>105</v>
      </c>
      <c r="C769" s="16" t="s">
        <v>157</v>
      </c>
      <c r="D769" s="16" t="s">
        <v>829</v>
      </c>
      <c r="E769" s="16"/>
      <c r="F769" s="16">
        <v>4</v>
      </c>
      <c r="G769" s="30" t="s">
        <v>2248</v>
      </c>
      <c r="H769" s="16" t="s">
        <v>2249</v>
      </c>
      <c r="I769" s="16" t="s">
        <v>47</v>
      </c>
      <c r="J769" s="16">
        <v>118.01</v>
      </c>
      <c r="K769" s="16">
        <v>0</v>
      </c>
      <c r="L769" s="16">
        <v>0</v>
      </c>
      <c r="M769" s="8">
        <v>0</v>
      </c>
      <c r="N769" s="21">
        <v>45644</v>
      </c>
      <c r="O769" s="7">
        <f t="shared" si="44"/>
        <v>18</v>
      </c>
      <c r="P769" s="22">
        <f t="shared" si="45"/>
        <v>14</v>
      </c>
      <c r="Q769" s="22">
        <f t="shared" si="46"/>
        <v>31</v>
      </c>
      <c r="R769" s="16">
        <v>0</v>
      </c>
      <c r="S769" s="29">
        <v>6.1609999999999996</v>
      </c>
      <c r="T769" s="29">
        <v>-75.600999999999999</v>
      </c>
      <c r="U769" s="22">
        <v>0</v>
      </c>
      <c r="V769" s="22">
        <v>0</v>
      </c>
      <c r="W769" s="25">
        <v>0</v>
      </c>
      <c r="X769" s="24">
        <v>0</v>
      </c>
      <c r="Y769" s="24">
        <v>0</v>
      </c>
      <c r="Z769" s="24">
        <v>0</v>
      </c>
      <c r="AA769" s="24">
        <v>0</v>
      </c>
      <c r="AB769" s="24">
        <v>0</v>
      </c>
      <c r="AC769" s="24">
        <v>0</v>
      </c>
      <c r="AD769" s="24">
        <v>0</v>
      </c>
      <c r="AE769" s="24">
        <v>0</v>
      </c>
      <c r="AF769" s="24">
        <v>0</v>
      </c>
      <c r="AG769" s="16">
        <v>0</v>
      </c>
      <c r="AH769" s="16" t="s">
        <v>58</v>
      </c>
      <c r="AI769" s="16" t="s">
        <v>1972</v>
      </c>
      <c r="AJ769" s="16" t="s">
        <v>50</v>
      </c>
      <c r="AK769" s="16" t="s">
        <v>1994</v>
      </c>
      <c r="AL769" s="25">
        <v>232000</v>
      </c>
      <c r="AM769" s="43">
        <f t="shared" si="47"/>
        <v>0</v>
      </c>
      <c r="AN769" s="16" t="s">
        <v>64</v>
      </c>
      <c r="AO769" s="16" t="s">
        <v>64</v>
      </c>
    </row>
    <row r="770" spans="1:41" ht="15" customHeight="1" x14ac:dyDescent="0.35">
      <c r="A770" s="27" t="s">
        <v>2250</v>
      </c>
      <c r="B770" s="16" t="s">
        <v>105</v>
      </c>
      <c r="C770" s="16" t="s">
        <v>112</v>
      </c>
      <c r="D770" s="16" t="s">
        <v>113</v>
      </c>
      <c r="E770" s="16" t="s">
        <v>268</v>
      </c>
      <c r="F770" s="16">
        <v>5</v>
      </c>
      <c r="G770" s="30" t="s">
        <v>2251</v>
      </c>
      <c r="H770" s="16" t="s">
        <v>2252</v>
      </c>
      <c r="I770" s="16" t="s">
        <v>102</v>
      </c>
      <c r="J770" s="16">
        <v>106.37</v>
      </c>
      <c r="K770" s="16">
        <v>0</v>
      </c>
      <c r="L770" s="16">
        <v>0</v>
      </c>
      <c r="M770" s="8">
        <v>0</v>
      </c>
      <c r="N770" s="21">
        <v>45647</v>
      </c>
      <c r="O770" s="7">
        <f t="shared" ref="O770:O833" si="48">DAY(N770)</f>
        <v>21</v>
      </c>
      <c r="P770" s="22">
        <f t="shared" ref="P770:P833" si="49">Q770-O770+1</f>
        <v>11</v>
      </c>
      <c r="Q770" s="22">
        <f t="shared" ref="Q770:Q785" si="50">DAY(EOMONTH(N770,0))</f>
        <v>31</v>
      </c>
      <c r="R770" s="16">
        <v>0</v>
      </c>
      <c r="S770" s="29">
        <v>3.4510000000000001</v>
      </c>
      <c r="T770" s="29">
        <v>-76.546000000000006</v>
      </c>
      <c r="U770" s="22">
        <v>0</v>
      </c>
      <c r="V770" s="22">
        <v>0</v>
      </c>
      <c r="W770" s="25">
        <v>0</v>
      </c>
      <c r="X770" s="24">
        <v>0</v>
      </c>
      <c r="Y770" s="24">
        <v>0</v>
      </c>
      <c r="Z770" s="24">
        <v>0</v>
      </c>
      <c r="AA770" s="24">
        <v>0</v>
      </c>
      <c r="AB770" s="24">
        <v>0</v>
      </c>
      <c r="AC770" s="24">
        <v>0</v>
      </c>
      <c r="AD770" s="24">
        <v>0</v>
      </c>
      <c r="AE770" s="24">
        <v>0</v>
      </c>
      <c r="AF770" s="24">
        <v>0</v>
      </c>
      <c r="AG770" s="16">
        <v>0</v>
      </c>
      <c r="AH770" s="16" t="s">
        <v>64</v>
      </c>
      <c r="AI770" s="16" t="s">
        <v>1972</v>
      </c>
      <c r="AJ770" s="16" t="s">
        <v>50</v>
      </c>
      <c r="AK770" s="16" t="s">
        <v>1972</v>
      </c>
      <c r="AL770" s="25">
        <v>232000</v>
      </c>
      <c r="AM770" s="43">
        <f t="shared" ref="AM770:AM787" si="51">AE770/J770</f>
        <v>0</v>
      </c>
      <c r="AN770" s="16" t="s">
        <v>64</v>
      </c>
      <c r="AO770" s="16" t="s">
        <v>64</v>
      </c>
    </row>
    <row r="771" spans="1:41" ht="15" customHeight="1" x14ac:dyDescent="0.35">
      <c r="A771" s="27" t="s">
        <v>2253</v>
      </c>
      <c r="B771" s="16" t="s">
        <v>1970</v>
      </c>
      <c r="C771" s="16" t="s">
        <v>43</v>
      </c>
      <c r="D771" s="16" t="s">
        <v>44</v>
      </c>
      <c r="E771" s="16"/>
      <c r="F771" s="16">
        <v>0</v>
      </c>
      <c r="G771" s="30" t="s">
        <v>2254</v>
      </c>
      <c r="H771" s="16">
        <v>0</v>
      </c>
      <c r="I771" s="16" t="s">
        <v>47</v>
      </c>
      <c r="J771" s="16">
        <v>100</v>
      </c>
      <c r="K771" s="16">
        <v>0</v>
      </c>
      <c r="L771" s="16">
        <v>0</v>
      </c>
      <c r="M771" s="8">
        <v>0</v>
      </c>
      <c r="N771" s="21">
        <v>44848</v>
      </c>
      <c r="O771" s="7">
        <f t="shared" si="48"/>
        <v>14</v>
      </c>
      <c r="P771" s="22">
        <f t="shared" si="49"/>
        <v>18</v>
      </c>
      <c r="Q771" s="22">
        <f t="shared" si="50"/>
        <v>31</v>
      </c>
      <c r="R771" s="16">
        <v>0</v>
      </c>
      <c r="S771" s="29">
        <v>4.7130000000000001</v>
      </c>
      <c r="T771" s="29">
        <v>-74.055999999999997</v>
      </c>
      <c r="U771" s="22">
        <v>0</v>
      </c>
      <c r="V771" s="22">
        <v>0</v>
      </c>
      <c r="W771" s="25">
        <v>0</v>
      </c>
      <c r="X771" s="24">
        <v>0</v>
      </c>
      <c r="Y771" s="24">
        <v>0</v>
      </c>
      <c r="Z771" s="24">
        <v>0</v>
      </c>
      <c r="AA771" s="24">
        <v>0</v>
      </c>
      <c r="AB771" s="24">
        <v>0</v>
      </c>
      <c r="AC771" s="24">
        <v>0</v>
      </c>
      <c r="AD771" s="24">
        <v>0</v>
      </c>
      <c r="AE771" s="24">
        <v>0</v>
      </c>
      <c r="AF771" s="24">
        <v>0</v>
      </c>
      <c r="AG771" s="16">
        <v>0</v>
      </c>
      <c r="AH771" s="16" t="s">
        <v>64</v>
      </c>
      <c r="AI771" s="16" t="s">
        <v>1972</v>
      </c>
      <c r="AJ771" s="16" t="s">
        <v>1972</v>
      </c>
      <c r="AK771" s="16" t="s">
        <v>1972</v>
      </c>
      <c r="AL771" s="25" t="s">
        <v>1973</v>
      </c>
      <c r="AM771" s="43">
        <f t="shared" si="51"/>
        <v>0</v>
      </c>
      <c r="AN771" s="16" t="s">
        <v>64</v>
      </c>
      <c r="AO771" s="16" t="s">
        <v>64</v>
      </c>
    </row>
    <row r="772" spans="1:41" ht="15" customHeight="1" x14ac:dyDescent="0.35">
      <c r="A772" s="27" t="s">
        <v>2255</v>
      </c>
      <c r="B772" s="16" t="s">
        <v>1970</v>
      </c>
      <c r="C772" s="16" t="s">
        <v>43</v>
      </c>
      <c r="D772" s="16" t="s">
        <v>44</v>
      </c>
      <c r="E772" s="16"/>
      <c r="F772" s="16">
        <v>0</v>
      </c>
      <c r="G772" s="30" t="s">
        <v>2256</v>
      </c>
      <c r="H772" s="16">
        <v>0</v>
      </c>
      <c r="I772" s="16" t="s">
        <v>1972</v>
      </c>
      <c r="J772" s="16">
        <v>100</v>
      </c>
      <c r="K772" s="16">
        <v>0</v>
      </c>
      <c r="L772" s="16">
        <v>0</v>
      </c>
      <c r="M772" s="8">
        <v>0</v>
      </c>
      <c r="N772" s="21">
        <v>43896</v>
      </c>
      <c r="O772" s="7">
        <f t="shared" si="48"/>
        <v>6</v>
      </c>
      <c r="P772" s="22">
        <f t="shared" si="49"/>
        <v>26</v>
      </c>
      <c r="Q772" s="22">
        <f t="shared" si="50"/>
        <v>31</v>
      </c>
      <c r="R772" s="16">
        <v>0</v>
      </c>
      <c r="S772" s="29">
        <v>4.6740000000000004</v>
      </c>
      <c r="T772" s="29">
        <v>-74.052000000000007</v>
      </c>
      <c r="U772" s="22">
        <v>0</v>
      </c>
      <c r="V772" s="22">
        <v>0</v>
      </c>
      <c r="W772" s="25">
        <v>0</v>
      </c>
      <c r="X772" s="24">
        <v>0</v>
      </c>
      <c r="Y772" s="24">
        <v>0</v>
      </c>
      <c r="Z772" s="24">
        <v>0</v>
      </c>
      <c r="AA772" s="24">
        <v>0</v>
      </c>
      <c r="AB772" s="24">
        <v>0</v>
      </c>
      <c r="AC772" s="24">
        <v>0</v>
      </c>
      <c r="AD772" s="24">
        <v>0</v>
      </c>
      <c r="AE772" s="24">
        <v>0</v>
      </c>
      <c r="AF772" s="24">
        <v>0</v>
      </c>
      <c r="AG772" s="16">
        <v>0</v>
      </c>
      <c r="AH772" s="16" t="s">
        <v>82</v>
      </c>
      <c r="AI772" s="16" t="s">
        <v>1972</v>
      </c>
      <c r="AJ772" s="16" t="s">
        <v>124</v>
      </c>
      <c r="AK772" s="16" t="s">
        <v>51</v>
      </c>
      <c r="AL772" s="25">
        <v>204160</v>
      </c>
      <c r="AM772" s="43">
        <f t="shared" si="51"/>
        <v>0</v>
      </c>
      <c r="AN772" s="16" t="s">
        <v>64</v>
      </c>
      <c r="AO772" s="16" t="s">
        <v>64</v>
      </c>
    </row>
    <row r="773" spans="1:41" ht="15" customHeight="1" x14ac:dyDescent="0.35">
      <c r="A773" s="27" t="s">
        <v>2257</v>
      </c>
      <c r="B773" s="16" t="s">
        <v>1970</v>
      </c>
      <c r="C773" s="16" t="s">
        <v>43</v>
      </c>
      <c r="D773" s="16" t="s">
        <v>44</v>
      </c>
      <c r="E773" s="16" t="s">
        <v>254</v>
      </c>
      <c r="F773" s="16">
        <v>6</v>
      </c>
      <c r="G773" s="30" t="s">
        <v>2258</v>
      </c>
      <c r="H773" s="16">
        <v>0</v>
      </c>
      <c r="I773" s="16" t="s">
        <v>102</v>
      </c>
      <c r="J773" s="16">
        <v>79.31</v>
      </c>
      <c r="K773" s="16">
        <v>0</v>
      </c>
      <c r="L773" s="16">
        <v>0</v>
      </c>
      <c r="M773" s="8">
        <v>0</v>
      </c>
      <c r="N773" s="21">
        <v>45404</v>
      </c>
      <c r="O773" s="7">
        <f t="shared" si="48"/>
        <v>22</v>
      </c>
      <c r="P773" s="22">
        <f t="shared" si="49"/>
        <v>9</v>
      </c>
      <c r="Q773" s="22">
        <f t="shared" si="50"/>
        <v>30</v>
      </c>
      <c r="R773" s="16">
        <v>0</v>
      </c>
      <c r="S773" s="29">
        <v>4.7050000000000001</v>
      </c>
      <c r="T773" s="29">
        <v>-74.054000000000002</v>
      </c>
      <c r="U773" s="22">
        <v>0</v>
      </c>
      <c r="V773" s="22">
        <v>0</v>
      </c>
      <c r="W773" s="25">
        <v>0</v>
      </c>
      <c r="X773" s="24">
        <v>0</v>
      </c>
      <c r="Y773" s="24">
        <v>0</v>
      </c>
      <c r="Z773" s="24">
        <v>0</v>
      </c>
      <c r="AA773" s="24">
        <v>0</v>
      </c>
      <c r="AB773" s="24">
        <v>0</v>
      </c>
      <c r="AC773" s="24">
        <v>0</v>
      </c>
      <c r="AD773" s="24">
        <v>0</v>
      </c>
      <c r="AE773" s="24">
        <v>0</v>
      </c>
      <c r="AF773" s="24">
        <v>0</v>
      </c>
      <c r="AG773" s="16">
        <v>0</v>
      </c>
      <c r="AH773" s="16" t="s">
        <v>64</v>
      </c>
      <c r="AI773" s="16" t="s">
        <v>1972</v>
      </c>
      <c r="AJ773" s="16" t="s">
        <v>50</v>
      </c>
      <c r="AK773" s="16" t="s">
        <v>51</v>
      </c>
      <c r="AL773" s="25">
        <v>232000</v>
      </c>
      <c r="AM773" s="43">
        <f t="shared" si="51"/>
        <v>0</v>
      </c>
      <c r="AN773" s="16" t="s">
        <v>64</v>
      </c>
      <c r="AO773" s="16" t="s">
        <v>64</v>
      </c>
    </row>
    <row r="774" spans="1:41" ht="15" customHeight="1" x14ac:dyDescent="0.35">
      <c r="A774" s="27" t="s">
        <v>2259</v>
      </c>
      <c r="B774" s="16" t="s">
        <v>105</v>
      </c>
      <c r="C774" s="16" t="s">
        <v>106</v>
      </c>
      <c r="D774" s="16" t="s">
        <v>298</v>
      </c>
      <c r="E774" s="16"/>
      <c r="F774" s="16">
        <v>4</v>
      </c>
      <c r="G774" s="30" t="s">
        <v>2260</v>
      </c>
      <c r="H774" s="16">
        <v>0</v>
      </c>
      <c r="I774" s="16" t="s">
        <v>102</v>
      </c>
      <c r="J774" s="16">
        <v>118.62</v>
      </c>
      <c r="K774" s="16">
        <v>0</v>
      </c>
      <c r="L774" s="16">
        <v>0</v>
      </c>
      <c r="M774" s="8">
        <v>0</v>
      </c>
      <c r="N774" s="21">
        <v>45290</v>
      </c>
      <c r="O774" s="7">
        <f t="shared" si="48"/>
        <v>30</v>
      </c>
      <c r="P774" s="22">
        <f t="shared" si="49"/>
        <v>2</v>
      </c>
      <c r="Q774" s="22">
        <f t="shared" si="50"/>
        <v>31</v>
      </c>
      <c r="R774" s="16">
        <v>0</v>
      </c>
      <c r="S774" s="29">
        <v>4.7969999999999997</v>
      </c>
      <c r="T774" s="29">
        <v>-75.694000000000003</v>
      </c>
      <c r="U774" s="22">
        <v>0</v>
      </c>
      <c r="V774" s="22">
        <v>0</v>
      </c>
      <c r="W774" s="25">
        <v>0</v>
      </c>
      <c r="X774" s="24">
        <v>0</v>
      </c>
      <c r="Y774" s="24">
        <v>0</v>
      </c>
      <c r="Z774" s="24">
        <v>0</v>
      </c>
      <c r="AA774" s="24">
        <v>0</v>
      </c>
      <c r="AB774" s="24">
        <v>0</v>
      </c>
      <c r="AC774" s="24">
        <v>0</v>
      </c>
      <c r="AD774" s="24">
        <v>0</v>
      </c>
      <c r="AE774" s="24">
        <v>0</v>
      </c>
      <c r="AF774" s="24">
        <v>0</v>
      </c>
      <c r="AG774" s="16">
        <v>0</v>
      </c>
      <c r="AH774" s="16" t="s">
        <v>90</v>
      </c>
      <c r="AI774" s="16" t="s">
        <v>1972</v>
      </c>
      <c r="AJ774" s="16" t="s">
        <v>124</v>
      </c>
      <c r="AK774" s="16" t="s">
        <v>1994</v>
      </c>
      <c r="AL774" s="25">
        <v>204160</v>
      </c>
      <c r="AM774" s="43">
        <f t="shared" si="51"/>
        <v>0</v>
      </c>
      <c r="AN774" s="16" t="s">
        <v>64</v>
      </c>
      <c r="AO774" s="16" t="s">
        <v>64</v>
      </c>
    </row>
    <row r="775" spans="1:41" ht="15" customHeight="1" x14ac:dyDescent="0.35">
      <c r="A775" s="27" t="s">
        <v>2261</v>
      </c>
      <c r="B775" s="16" t="s">
        <v>105</v>
      </c>
      <c r="C775" s="16" t="s">
        <v>157</v>
      </c>
      <c r="D775" s="16" t="s">
        <v>158</v>
      </c>
      <c r="E775" s="16" t="s">
        <v>2262</v>
      </c>
      <c r="F775" s="16">
        <v>3</v>
      </c>
      <c r="G775" s="30" t="s">
        <v>2263</v>
      </c>
      <c r="H775" s="16" t="s">
        <v>2264</v>
      </c>
      <c r="I775" s="16" t="s">
        <v>47</v>
      </c>
      <c r="J775" s="16">
        <v>130</v>
      </c>
      <c r="K775" s="16">
        <v>0</v>
      </c>
      <c r="L775" s="16">
        <v>0</v>
      </c>
      <c r="M775" s="8">
        <v>0</v>
      </c>
      <c r="N775" s="21">
        <v>45639</v>
      </c>
      <c r="O775" s="7">
        <f t="shared" si="48"/>
        <v>13</v>
      </c>
      <c r="P775" s="22">
        <f t="shared" si="49"/>
        <v>19</v>
      </c>
      <c r="Q775" s="22">
        <f t="shared" si="50"/>
        <v>31</v>
      </c>
      <c r="R775" s="16">
        <v>0</v>
      </c>
      <c r="S775" s="29">
        <v>6.266</v>
      </c>
      <c r="T775" s="29">
        <v>-75.564999999999998</v>
      </c>
      <c r="U775" s="22">
        <v>0</v>
      </c>
      <c r="V775" s="22">
        <v>0</v>
      </c>
      <c r="W775" s="25">
        <v>0</v>
      </c>
      <c r="X775" s="24">
        <v>0</v>
      </c>
      <c r="Y775" s="24">
        <v>0</v>
      </c>
      <c r="Z775" s="24">
        <v>0</v>
      </c>
      <c r="AA775" s="24">
        <v>0</v>
      </c>
      <c r="AB775" s="24">
        <v>0</v>
      </c>
      <c r="AC775" s="24">
        <v>0</v>
      </c>
      <c r="AD775" s="24">
        <v>0</v>
      </c>
      <c r="AE775" s="24">
        <v>0</v>
      </c>
      <c r="AF775" s="24">
        <v>0</v>
      </c>
      <c r="AG775" s="16">
        <v>0</v>
      </c>
      <c r="AH775" s="16" t="s">
        <v>58</v>
      </c>
      <c r="AI775" s="16" t="s">
        <v>1972</v>
      </c>
      <c r="AJ775" s="16" t="s">
        <v>50</v>
      </c>
      <c r="AK775" s="16" t="s">
        <v>51</v>
      </c>
      <c r="AL775" s="25">
        <v>232000</v>
      </c>
      <c r="AM775" s="43">
        <f t="shared" si="51"/>
        <v>0</v>
      </c>
      <c r="AN775" s="16" t="s">
        <v>64</v>
      </c>
      <c r="AO775" s="16" t="s">
        <v>64</v>
      </c>
    </row>
    <row r="776" spans="1:41" ht="15" customHeight="1" x14ac:dyDescent="0.35">
      <c r="A776" s="27" t="s">
        <v>2265</v>
      </c>
      <c r="B776" s="16" t="s">
        <v>105</v>
      </c>
      <c r="C776" s="16" t="s">
        <v>106</v>
      </c>
      <c r="D776" s="16" t="s">
        <v>107</v>
      </c>
      <c r="E776" s="16"/>
      <c r="F776" s="16">
        <v>4</v>
      </c>
      <c r="G776" s="30" t="s">
        <v>2266</v>
      </c>
      <c r="H776" s="16">
        <v>0</v>
      </c>
      <c r="I776" s="16" t="s">
        <v>47</v>
      </c>
      <c r="J776" s="16">
        <v>147.53</v>
      </c>
      <c r="K776" s="16">
        <v>0</v>
      </c>
      <c r="L776" s="16">
        <v>0</v>
      </c>
      <c r="M776" s="8">
        <v>0</v>
      </c>
      <c r="N776" s="21">
        <v>44820</v>
      </c>
      <c r="O776" s="7">
        <f t="shared" si="48"/>
        <v>16</v>
      </c>
      <c r="P776" s="22">
        <f t="shared" si="49"/>
        <v>15</v>
      </c>
      <c r="Q776" s="22">
        <f t="shared" si="50"/>
        <v>30</v>
      </c>
      <c r="R776" s="16">
        <v>0</v>
      </c>
      <c r="S776" s="29">
        <v>4.8209999999999997</v>
      </c>
      <c r="T776" s="29">
        <v>-75.683000000000007</v>
      </c>
      <c r="U776" s="22">
        <v>0</v>
      </c>
      <c r="V776" s="22">
        <v>0</v>
      </c>
      <c r="W776" s="25">
        <v>0</v>
      </c>
      <c r="X776" s="24">
        <v>0</v>
      </c>
      <c r="Y776" s="24">
        <v>0</v>
      </c>
      <c r="Z776" s="24">
        <v>0</v>
      </c>
      <c r="AA776" s="24">
        <v>0</v>
      </c>
      <c r="AB776" s="24">
        <v>0</v>
      </c>
      <c r="AC776" s="24">
        <v>0</v>
      </c>
      <c r="AD776" s="24">
        <v>0</v>
      </c>
      <c r="AE776" s="24">
        <v>0</v>
      </c>
      <c r="AF776" s="24">
        <v>0</v>
      </c>
      <c r="AG776" s="16">
        <v>0</v>
      </c>
      <c r="AH776" s="16" t="s">
        <v>64</v>
      </c>
      <c r="AI776" s="16" t="s">
        <v>1972</v>
      </c>
      <c r="AJ776" s="16" t="s">
        <v>50</v>
      </c>
      <c r="AK776" s="16" t="s">
        <v>1972</v>
      </c>
      <c r="AL776" s="25">
        <v>232000</v>
      </c>
      <c r="AM776" s="43">
        <f t="shared" si="51"/>
        <v>0</v>
      </c>
      <c r="AN776" s="16" t="s">
        <v>64</v>
      </c>
      <c r="AO776" s="16" t="s">
        <v>64</v>
      </c>
    </row>
    <row r="777" spans="1:41" ht="15" customHeight="1" x14ac:dyDescent="0.35">
      <c r="A777" s="27" t="s">
        <v>2267</v>
      </c>
      <c r="B777" s="16" t="s">
        <v>1970</v>
      </c>
      <c r="C777" s="16" t="s">
        <v>43</v>
      </c>
      <c r="D777" s="16" t="s">
        <v>44</v>
      </c>
      <c r="E777" s="16"/>
      <c r="F777" s="16">
        <v>0</v>
      </c>
      <c r="G777" s="30" t="s">
        <v>2268</v>
      </c>
      <c r="H777" s="16">
        <v>0</v>
      </c>
      <c r="I777" s="16" t="s">
        <v>47</v>
      </c>
      <c r="J777" s="16">
        <v>100</v>
      </c>
      <c r="K777" s="16">
        <v>0</v>
      </c>
      <c r="L777" s="16">
        <v>0</v>
      </c>
      <c r="M777" s="8">
        <v>0</v>
      </c>
      <c r="N777" s="21">
        <v>44560</v>
      </c>
      <c r="O777" s="7">
        <f t="shared" si="48"/>
        <v>30</v>
      </c>
      <c r="P777" s="22">
        <f t="shared" si="49"/>
        <v>2</v>
      </c>
      <c r="Q777" s="22">
        <f t="shared" si="50"/>
        <v>31</v>
      </c>
      <c r="R777" s="16">
        <v>0</v>
      </c>
      <c r="S777" s="29">
        <v>4.5890000000000004</v>
      </c>
      <c r="T777" s="29">
        <v>-74.105000000000004</v>
      </c>
      <c r="U777" s="22">
        <v>0</v>
      </c>
      <c r="V777" s="22">
        <v>0</v>
      </c>
      <c r="W777" s="25">
        <v>0</v>
      </c>
      <c r="X777" s="24">
        <v>0</v>
      </c>
      <c r="Y777" s="24">
        <v>0</v>
      </c>
      <c r="Z777" s="24">
        <v>0</v>
      </c>
      <c r="AA777" s="24">
        <v>0</v>
      </c>
      <c r="AB777" s="24">
        <v>0</v>
      </c>
      <c r="AC777" s="24">
        <v>0</v>
      </c>
      <c r="AD777" s="24">
        <v>0</v>
      </c>
      <c r="AE777" s="24">
        <v>0</v>
      </c>
      <c r="AF777" s="24">
        <v>0</v>
      </c>
      <c r="AG777" s="16">
        <v>0</v>
      </c>
      <c r="AH777" s="16" t="s">
        <v>64</v>
      </c>
      <c r="AI777" s="16" t="s">
        <v>1972</v>
      </c>
      <c r="AJ777" s="16" t="s">
        <v>50</v>
      </c>
      <c r="AK777" s="16" t="s">
        <v>1972</v>
      </c>
      <c r="AL777" s="25">
        <v>232000</v>
      </c>
      <c r="AM777" s="43">
        <f t="shared" si="51"/>
        <v>0</v>
      </c>
      <c r="AN777" s="16" t="s">
        <v>64</v>
      </c>
      <c r="AO777" s="16" t="s">
        <v>64</v>
      </c>
    </row>
    <row r="778" spans="1:41" ht="15" customHeight="1" x14ac:dyDescent="0.35">
      <c r="A778" s="27" t="s">
        <v>2269</v>
      </c>
      <c r="B778" s="16" t="s">
        <v>1970</v>
      </c>
      <c r="C778" s="16" t="s">
        <v>43</v>
      </c>
      <c r="D778" s="16" t="s">
        <v>44</v>
      </c>
      <c r="E778" s="16" t="s">
        <v>1103</v>
      </c>
      <c r="F778" s="16">
        <v>4</v>
      </c>
      <c r="G778" s="30" t="s">
        <v>2270</v>
      </c>
      <c r="H778" s="16">
        <v>0</v>
      </c>
      <c r="I778" s="16" t="s">
        <v>47</v>
      </c>
      <c r="J778" s="16">
        <v>132.57</v>
      </c>
      <c r="K778" s="16">
        <v>0</v>
      </c>
      <c r="L778" s="16">
        <v>0</v>
      </c>
      <c r="M778" s="8">
        <v>0</v>
      </c>
      <c r="N778" s="21">
        <v>44799</v>
      </c>
      <c r="O778" s="7">
        <f t="shared" si="48"/>
        <v>26</v>
      </c>
      <c r="P778" s="22">
        <f t="shared" si="49"/>
        <v>6</v>
      </c>
      <c r="Q778" s="22">
        <f t="shared" si="50"/>
        <v>31</v>
      </c>
      <c r="R778" s="16">
        <v>0</v>
      </c>
      <c r="S778" s="29">
        <v>4.6749999999999998</v>
      </c>
      <c r="T778" s="29">
        <v>-74.087000000000003</v>
      </c>
      <c r="U778" s="22">
        <v>0</v>
      </c>
      <c r="V778" s="22">
        <v>0</v>
      </c>
      <c r="W778" s="25">
        <v>0</v>
      </c>
      <c r="X778" s="24">
        <v>0</v>
      </c>
      <c r="Y778" s="24">
        <v>0</v>
      </c>
      <c r="Z778" s="24">
        <v>0</v>
      </c>
      <c r="AA778" s="24">
        <v>0</v>
      </c>
      <c r="AB778" s="24">
        <v>0</v>
      </c>
      <c r="AC778" s="24">
        <v>0</v>
      </c>
      <c r="AD778" s="24">
        <v>0</v>
      </c>
      <c r="AE778" s="24">
        <v>0</v>
      </c>
      <c r="AF778" s="24">
        <v>0</v>
      </c>
      <c r="AG778" s="16">
        <v>0</v>
      </c>
      <c r="AH778" s="16" t="s">
        <v>64</v>
      </c>
      <c r="AI778" s="16" t="s">
        <v>1972</v>
      </c>
      <c r="AJ778" s="16" t="s">
        <v>50</v>
      </c>
      <c r="AK778" s="16" t="s">
        <v>1972</v>
      </c>
      <c r="AL778" s="25">
        <v>232000</v>
      </c>
      <c r="AM778" s="43">
        <f t="shared" si="51"/>
        <v>0</v>
      </c>
      <c r="AN778" s="16" t="s">
        <v>64</v>
      </c>
      <c r="AO778" s="16" t="s">
        <v>64</v>
      </c>
    </row>
    <row r="779" spans="1:41" ht="15" customHeight="1" x14ac:dyDescent="0.35">
      <c r="A779" s="27" t="s">
        <v>2271</v>
      </c>
      <c r="B779" s="16" t="s">
        <v>55</v>
      </c>
      <c r="C779" s="16" t="s">
        <v>93</v>
      </c>
      <c r="D779" s="16" t="s">
        <v>854</v>
      </c>
      <c r="E779" s="16"/>
      <c r="F779" s="16">
        <v>0</v>
      </c>
      <c r="G779" s="30" t="s">
        <v>2272</v>
      </c>
      <c r="H779" s="16">
        <v>0</v>
      </c>
      <c r="I779" s="16" t="s">
        <v>47</v>
      </c>
      <c r="J779" s="16">
        <v>100</v>
      </c>
      <c r="K779" s="16">
        <v>0</v>
      </c>
      <c r="L779" s="16">
        <v>0</v>
      </c>
      <c r="M779" s="8">
        <v>0</v>
      </c>
      <c r="N779" s="21">
        <v>45411</v>
      </c>
      <c r="O779" s="7">
        <f t="shared" si="48"/>
        <v>29</v>
      </c>
      <c r="P779" s="22">
        <f t="shared" si="49"/>
        <v>2</v>
      </c>
      <c r="Q779" s="22">
        <f t="shared" si="50"/>
        <v>30</v>
      </c>
      <c r="R779" s="16">
        <v>0</v>
      </c>
      <c r="S779" s="29">
        <v>4.718</v>
      </c>
      <c r="T779" s="29">
        <v>-74.204999999999998</v>
      </c>
      <c r="U779" s="22">
        <v>0</v>
      </c>
      <c r="V779" s="22">
        <v>0</v>
      </c>
      <c r="W779" s="25">
        <v>0</v>
      </c>
      <c r="X779" s="24">
        <v>0</v>
      </c>
      <c r="Y779" s="24">
        <v>0</v>
      </c>
      <c r="Z779" s="24">
        <v>0</v>
      </c>
      <c r="AA779" s="24">
        <v>0</v>
      </c>
      <c r="AB779" s="24">
        <v>0</v>
      </c>
      <c r="AC779" s="24">
        <v>0</v>
      </c>
      <c r="AD779" s="24">
        <v>0</v>
      </c>
      <c r="AE779" s="24">
        <v>0</v>
      </c>
      <c r="AF779" s="24">
        <v>0</v>
      </c>
      <c r="AG779" s="16">
        <v>0</v>
      </c>
      <c r="AH779" s="16" t="s">
        <v>64</v>
      </c>
      <c r="AI779" s="16" t="s">
        <v>1972</v>
      </c>
      <c r="AJ779" s="16" t="s">
        <v>76</v>
      </c>
      <c r="AK779" s="16" t="s">
        <v>51</v>
      </c>
      <c r="AL779" s="25">
        <v>241405</v>
      </c>
      <c r="AM779" s="43">
        <f t="shared" si="51"/>
        <v>0</v>
      </c>
      <c r="AN779" s="16" t="s">
        <v>64</v>
      </c>
      <c r="AO779" s="16" t="s">
        <v>64</v>
      </c>
    </row>
    <row r="780" spans="1:41" ht="15" customHeight="1" x14ac:dyDescent="0.35">
      <c r="A780" s="27" t="s">
        <v>2273</v>
      </c>
      <c r="B780" s="16" t="s">
        <v>1970</v>
      </c>
      <c r="C780" s="16" t="s">
        <v>43</v>
      </c>
      <c r="D780" s="16" t="s">
        <v>44</v>
      </c>
      <c r="E780" s="16" t="s">
        <v>668</v>
      </c>
      <c r="F780" s="16">
        <v>3</v>
      </c>
      <c r="G780" s="30" t="s">
        <v>2274</v>
      </c>
      <c r="H780" s="16">
        <v>0</v>
      </c>
      <c r="I780" s="16" t="s">
        <v>47</v>
      </c>
      <c r="J780" s="16">
        <v>84.35</v>
      </c>
      <c r="K780" s="16">
        <v>0</v>
      </c>
      <c r="L780" s="16">
        <v>0</v>
      </c>
      <c r="M780" s="8">
        <v>0</v>
      </c>
      <c r="N780" s="21">
        <v>45377</v>
      </c>
      <c r="O780" s="7">
        <f t="shared" si="48"/>
        <v>26</v>
      </c>
      <c r="P780" s="22">
        <f t="shared" si="49"/>
        <v>6</v>
      </c>
      <c r="Q780" s="22">
        <f t="shared" si="50"/>
        <v>31</v>
      </c>
      <c r="R780" s="16">
        <v>0</v>
      </c>
      <c r="S780" s="29">
        <v>4.726</v>
      </c>
      <c r="T780" s="29">
        <v>-74.096000000000004</v>
      </c>
      <c r="U780" s="22">
        <v>0</v>
      </c>
      <c r="V780" s="22">
        <v>0</v>
      </c>
      <c r="W780" s="25">
        <v>0</v>
      </c>
      <c r="X780" s="24">
        <v>0</v>
      </c>
      <c r="Y780" s="24">
        <v>0</v>
      </c>
      <c r="Z780" s="24">
        <v>0</v>
      </c>
      <c r="AA780" s="24">
        <v>0</v>
      </c>
      <c r="AB780" s="24">
        <v>0</v>
      </c>
      <c r="AC780" s="24">
        <v>0</v>
      </c>
      <c r="AD780" s="24">
        <v>0</v>
      </c>
      <c r="AE780" s="24">
        <v>0</v>
      </c>
      <c r="AF780" s="24">
        <v>0</v>
      </c>
      <c r="AG780" s="16">
        <v>0</v>
      </c>
      <c r="AH780" s="16" t="s">
        <v>64</v>
      </c>
      <c r="AI780" s="16" t="s">
        <v>1972</v>
      </c>
      <c r="AJ780" s="16" t="s">
        <v>1972</v>
      </c>
      <c r="AK780" s="16" t="s">
        <v>1972</v>
      </c>
      <c r="AL780" s="25" t="s">
        <v>1973</v>
      </c>
      <c r="AM780" s="43">
        <f t="shared" si="51"/>
        <v>0</v>
      </c>
      <c r="AN780" s="16" t="s">
        <v>64</v>
      </c>
      <c r="AO780" s="16" t="s">
        <v>64</v>
      </c>
    </row>
    <row r="781" spans="1:41" ht="15" customHeight="1" x14ac:dyDescent="0.35">
      <c r="A781" s="27" t="s">
        <v>2275</v>
      </c>
      <c r="B781" s="16" t="s">
        <v>1970</v>
      </c>
      <c r="C781" s="16" t="s">
        <v>43</v>
      </c>
      <c r="D781" s="16" t="s">
        <v>44</v>
      </c>
      <c r="E781" s="16"/>
      <c r="F781" s="16">
        <v>0</v>
      </c>
      <c r="G781" s="30" t="s">
        <v>2276</v>
      </c>
      <c r="H781" s="16">
        <v>0</v>
      </c>
      <c r="I781" s="16" t="s">
        <v>1972</v>
      </c>
      <c r="J781" s="16">
        <v>100</v>
      </c>
      <c r="K781" s="16">
        <v>0</v>
      </c>
      <c r="L781" s="16">
        <v>0</v>
      </c>
      <c r="M781" s="8">
        <v>0</v>
      </c>
      <c r="N781" s="21">
        <v>43423</v>
      </c>
      <c r="O781" s="7">
        <f t="shared" si="48"/>
        <v>19</v>
      </c>
      <c r="P781" s="22">
        <f t="shared" si="49"/>
        <v>12</v>
      </c>
      <c r="Q781" s="22">
        <f t="shared" si="50"/>
        <v>30</v>
      </c>
      <c r="R781" s="16">
        <v>0</v>
      </c>
      <c r="S781" s="29">
        <v>4.7149999999999999</v>
      </c>
      <c r="T781" s="29">
        <v>-74.072999999999993</v>
      </c>
      <c r="U781" s="22">
        <v>0</v>
      </c>
      <c r="V781" s="22">
        <v>0</v>
      </c>
      <c r="W781" s="25">
        <v>0</v>
      </c>
      <c r="X781" s="24">
        <v>0</v>
      </c>
      <c r="Y781" s="24">
        <v>0</v>
      </c>
      <c r="Z781" s="24">
        <v>0</v>
      </c>
      <c r="AA781" s="24">
        <v>0</v>
      </c>
      <c r="AB781" s="24">
        <v>0</v>
      </c>
      <c r="AC781" s="24">
        <v>0</v>
      </c>
      <c r="AD781" s="24">
        <v>0</v>
      </c>
      <c r="AE781" s="24">
        <v>0</v>
      </c>
      <c r="AF781" s="24">
        <v>0</v>
      </c>
      <c r="AG781" s="16">
        <v>0</v>
      </c>
      <c r="AH781" s="16" t="s">
        <v>64</v>
      </c>
      <c r="AI781" s="16" t="s">
        <v>1972</v>
      </c>
      <c r="AJ781" s="16" t="s">
        <v>50</v>
      </c>
      <c r="AK781" s="16" t="s">
        <v>1972</v>
      </c>
      <c r="AL781" s="25">
        <v>232000</v>
      </c>
      <c r="AM781" s="43">
        <f t="shared" si="51"/>
        <v>0</v>
      </c>
      <c r="AN781" s="16" t="s">
        <v>64</v>
      </c>
      <c r="AO781" s="16" t="s">
        <v>64</v>
      </c>
    </row>
    <row r="782" spans="1:41" ht="15" customHeight="1" x14ac:dyDescent="0.35">
      <c r="A782" s="27" t="s">
        <v>2277</v>
      </c>
      <c r="B782" s="16" t="s">
        <v>105</v>
      </c>
      <c r="C782" s="16" t="s">
        <v>112</v>
      </c>
      <c r="D782" s="16" t="s">
        <v>113</v>
      </c>
      <c r="E782" s="16"/>
      <c r="F782" s="16">
        <v>0</v>
      </c>
      <c r="G782" s="30" t="s">
        <v>2278</v>
      </c>
      <c r="H782" s="16">
        <v>0</v>
      </c>
      <c r="I782" s="16" t="s">
        <v>47</v>
      </c>
      <c r="J782" s="16">
        <v>100</v>
      </c>
      <c r="K782" s="16">
        <v>0</v>
      </c>
      <c r="L782" s="16">
        <v>0</v>
      </c>
      <c r="M782" s="8">
        <v>0</v>
      </c>
      <c r="N782" s="21">
        <v>45198</v>
      </c>
      <c r="O782" s="7">
        <f t="shared" si="48"/>
        <v>29</v>
      </c>
      <c r="P782" s="22">
        <f t="shared" si="49"/>
        <v>2</v>
      </c>
      <c r="Q782" s="22">
        <f t="shared" si="50"/>
        <v>30</v>
      </c>
      <c r="R782" s="16">
        <v>0</v>
      </c>
      <c r="S782" s="29">
        <v>3.48</v>
      </c>
      <c r="T782" s="29">
        <v>-76.516000000000005</v>
      </c>
      <c r="U782" s="22">
        <v>0</v>
      </c>
      <c r="V782" s="22">
        <v>0</v>
      </c>
      <c r="W782" s="25">
        <v>0</v>
      </c>
      <c r="X782" s="24">
        <v>0</v>
      </c>
      <c r="Y782" s="24">
        <v>0</v>
      </c>
      <c r="Z782" s="24">
        <v>0</v>
      </c>
      <c r="AA782" s="24">
        <v>0</v>
      </c>
      <c r="AB782" s="24">
        <v>0</v>
      </c>
      <c r="AC782" s="24">
        <v>0</v>
      </c>
      <c r="AD782" s="24">
        <v>0</v>
      </c>
      <c r="AE782" s="24">
        <v>0</v>
      </c>
      <c r="AF782" s="24">
        <v>0</v>
      </c>
      <c r="AG782" s="16">
        <v>0</v>
      </c>
      <c r="AH782" s="16" t="s">
        <v>58</v>
      </c>
      <c r="AI782" s="16" t="s">
        <v>1972</v>
      </c>
      <c r="AJ782" s="16" t="s">
        <v>50</v>
      </c>
      <c r="AK782" s="16" t="s">
        <v>51</v>
      </c>
      <c r="AL782" s="25">
        <v>232000</v>
      </c>
      <c r="AM782" s="43">
        <f t="shared" si="51"/>
        <v>0</v>
      </c>
      <c r="AN782" s="16" t="s">
        <v>64</v>
      </c>
      <c r="AO782" s="16" t="s">
        <v>64</v>
      </c>
    </row>
    <row r="783" spans="1:41" ht="15" customHeight="1" x14ac:dyDescent="0.35">
      <c r="A783" s="27" t="s">
        <v>2279</v>
      </c>
      <c r="B783" s="16" t="s">
        <v>1970</v>
      </c>
      <c r="C783" s="16" t="s">
        <v>43</v>
      </c>
      <c r="D783" s="16" t="s">
        <v>44</v>
      </c>
      <c r="E783" s="16" t="s">
        <v>473</v>
      </c>
      <c r="F783" s="16">
        <v>4</v>
      </c>
      <c r="G783" s="30" t="s">
        <v>2280</v>
      </c>
      <c r="H783" s="16">
        <v>0</v>
      </c>
      <c r="I783" s="16" t="s">
        <v>102</v>
      </c>
      <c r="J783" s="16">
        <v>99.65</v>
      </c>
      <c r="K783" s="16">
        <v>813</v>
      </c>
      <c r="L783" s="16">
        <v>10895</v>
      </c>
      <c r="M783" s="8">
        <v>0</v>
      </c>
      <c r="N783" s="21">
        <v>42719</v>
      </c>
      <c r="O783" s="7">
        <f t="shared" si="48"/>
        <v>15</v>
      </c>
      <c r="P783" s="22">
        <f t="shared" si="49"/>
        <v>17</v>
      </c>
      <c r="Q783" s="22">
        <f t="shared" si="50"/>
        <v>31</v>
      </c>
      <c r="R783" s="16">
        <v>0</v>
      </c>
      <c r="S783" s="29">
        <v>4.6289999999999996</v>
      </c>
      <c r="T783" s="29">
        <v>-74.066999999999993</v>
      </c>
      <c r="U783" s="22">
        <v>0</v>
      </c>
      <c r="V783" s="22">
        <v>0</v>
      </c>
      <c r="W783" s="25">
        <v>0</v>
      </c>
      <c r="X783" s="24">
        <v>0</v>
      </c>
      <c r="Y783" s="24">
        <v>0</v>
      </c>
      <c r="Z783" s="24">
        <v>0</v>
      </c>
      <c r="AA783" s="24">
        <v>0</v>
      </c>
      <c r="AB783" s="24">
        <v>0</v>
      </c>
      <c r="AC783" s="24">
        <v>0</v>
      </c>
      <c r="AD783" s="24">
        <v>0</v>
      </c>
      <c r="AE783" s="24">
        <v>0</v>
      </c>
      <c r="AF783" s="24">
        <v>0</v>
      </c>
      <c r="AG783" s="16">
        <v>0</v>
      </c>
      <c r="AH783" s="16" t="s">
        <v>64</v>
      </c>
      <c r="AI783" s="16" t="s">
        <v>1972</v>
      </c>
      <c r="AJ783" s="16" t="s">
        <v>124</v>
      </c>
      <c r="AK783" s="16" t="s">
        <v>65</v>
      </c>
      <c r="AL783" s="25">
        <v>204160</v>
      </c>
      <c r="AM783" s="43">
        <f t="shared" si="51"/>
        <v>0</v>
      </c>
      <c r="AN783" s="16" t="s">
        <v>2281</v>
      </c>
      <c r="AO783" s="16" t="s">
        <v>64</v>
      </c>
    </row>
    <row r="784" spans="1:41" ht="15" customHeight="1" x14ac:dyDescent="0.35">
      <c r="A784" s="27" t="s">
        <v>2282</v>
      </c>
      <c r="B784" s="16" t="s">
        <v>55</v>
      </c>
      <c r="C784" s="16" t="s">
        <v>43</v>
      </c>
      <c r="D784" s="16" t="s">
        <v>44</v>
      </c>
      <c r="E784" s="16" t="s">
        <v>206</v>
      </c>
      <c r="F784" s="16">
        <v>3</v>
      </c>
      <c r="G784" s="30" t="s">
        <v>2283</v>
      </c>
      <c r="H784" s="16">
        <v>0</v>
      </c>
      <c r="I784" s="16" t="s">
        <v>47</v>
      </c>
      <c r="J784" s="16">
        <v>155.22</v>
      </c>
      <c r="K784" s="16">
        <v>1007</v>
      </c>
      <c r="L784" s="16">
        <v>6000</v>
      </c>
      <c r="M784" s="8">
        <v>143</v>
      </c>
      <c r="N784" s="21">
        <v>44029</v>
      </c>
      <c r="O784" s="7">
        <f t="shared" si="48"/>
        <v>17</v>
      </c>
      <c r="P784" s="22">
        <f t="shared" si="49"/>
        <v>15</v>
      </c>
      <c r="Q784" s="22">
        <f t="shared" si="50"/>
        <v>31</v>
      </c>
      <c r="R784" s="16">
        <v>74</v>
      </c>
      <c r="S784" s="29">
        <v>4.6345000000000001</v>
      </c>
      <c r="T784" s="29"/>
      <c r="U784" s="22">
        <v>14623</v>
      </c>
      <c r="V784" s="22">
        <v>16082</v>
      </c>
      <c r="W784" s="25">
        <v>8172</v>
      </c>
      <c r="X784" s="24">
        <v>8162</v>
      </c>
      <c r="Y784" s="24">
        <v>119504</v>
      </c>
      <c r="Z784" s="24">
        <v>131261</v>
      </c>
      <c r="AA784" s="24">
        <v>11964</v>
      </c>
      <c r="AB784" s="24">
        <v>22953</v>
      </c>
      <c r="AC784" s="24">
        <v>49861</v>
      </c>
      <c r="AD784" s="24">
        <v>55112</v>
      </c>
      <c r="AE784" s="42" t="s">
        <v>2284</v>
      </c>
      <c r="AF784" s="42" t="s">
        <v>2285</v>
      </c>
      <c r="AG784" s="17">
        <v>0</v>
      </c>
      <c r="AH784" s="16" t="s">
        <v>64</v>
      </c>
      <c r="AI784" s="16" t="s">
        <v>1972</v>
      </c>
      <c r="AJ784" s="16" t="s">
        <v>50</v>
      </c>
      <c r="AK784" s="16" t="s">
        <v>65</v>
      </c>
      <c r="AL784" s="25">
        <v>232000</v>
      </c>
      <c r="AM784" s="43">
        <f t="shared" si="51"/>
        <v>0</v>
      </c>
      <c r="AN784" s="16" t="s">
        <v>137</v>
      </c>
      <c r="AO784" s="16" t="s">
        <v>64</v>
      </c>
    </row>
    <row r="785" spans="1:41" ht="15" customHeight="1" x14ac:dyDescent="0.35">
      <c r="A785" s="27" t="s">
        <v>2286</v>
      </c>
      <c r="B785" s="16" t="s">
        <v>183</v>
      </c>
      <c r="C785" s="16" t="s">
        <v>184</v>
      </c>
      <c r="D785" s="16" t="s">
        <v>185</v>
      </c>
      <c r="E785" s="16" t="s">
        <v>186</v>
      </c>
      <c r="F785" s="16">
        <v>4</v>
      </c>
      <c r="G785" s="30" t="s">
        <v>2287</v>
      </c>
      <c r="H785" s="16" t="s">
        <v>2288</v>
      </c>
      <c r="I785" s="16" t="s">
        <v>47</v>
      </c>
      <c r="J785" s="16">
        <v>114</v>
      </c>
      <c r="K785" s="16">
        <v>2088</v>
      </c>
      <c r="L785" s="16">
        <v>264</v>
      </c>
      <c r="M785" s="8">
        <v>33</v>
      </c>
      <c r="N785" s="21">
        <v>45625</v>
      </c>
      <c r="O785" s="7">
        <f t="shared" si="48"/>
        <v>29</v>
      </c>
      <c r="P785" s="22">
        <f t="shared" si="49"/>
        <v>2</v>
      </c>
      <c r="Q785" s="22">
        <f t="shared" si="50"/>
        <v>30</v>
      </c>
      <c r="R785" s="16">
        <v>22</v>
      </c>
      <c r="S785" s="29">
        <v>11.008889999999999</v>
      </c>
      <c r="T785" s="29"/>
      <c r="U785" s="22">
        <v>12759</v>
      </c>
      <c r="V785" s="22">
        <v>12810.5</v>
      </c>
      <c r="W785" s="25">
        <v>12749</v>
      </c>
      <c r="X785" s="24">
        <v>13099</v>
      </c>
      <c r="Y785" s="24">
        <v>162660</v>
      </c>
      <c r="Z785" s="24">
        <v>167809</v>
      </c>
      <c r="AA785" s="24">
        <v>-5024</v>
      </c>
      <c r="AB785" s="24">
        <v>2672</v>
      </c>
      <c r="AC785" s="24">
        <v>58435</v>
      </c>
      <c r="AD785" s="24">
        <v>61350</v>
      </c>
      <c r="AE785" s="24">
        <v>7364</v>
      </c>
      <c r="AF785" s="24">
        <v>7445</v>
      </c>
      <c r="AG785" s="17">
        <v>0</v>
      </c>
      <c r="AH785" s="16" t="s">
        <v>64</v>
      </c>
      <c r="AI785" s="16" t="s">
        <v>1972</v>
      </c>
      <c r="AJ785" s="16" t="s">
        <v>76</v>
      </c>
      <c r="AK785" s="16" t="s">
        <v>51</v>
      </c>
      <c r="AL785" s="25">
        <v>241405</v>
      </c>
      <c r="AM785" s="43">
        <f t="shared" si="51"/>
        <v>64.596491228070178</v>
      </c>
      <c r="AN785" s="16" t="s">
        <v>64</v>
      </c>
      <c r="AO785" s="16" t="s">
        <v>64</v>
      </c>
    </row>
    <row r="786" spans="1:41" ht="15" customHeight="1" x14ac:dyDescent="0.35">
      <c r="G786" s="7" t="s">
        <v>2289</v>
      </c>
      <c r="U786" s="7">
        <v>0</v>
      </c>
      <c r="V786" s="7">
        <v>0</v>
      </c>
      <c r="W786" s="9">
        <v>0</v>
      </c>
      <c r="X786" s="23">
        <v>0</v>
      </c>
      <c r="Y786" s="23">
        <v>0</v>
      </c>
      <c r="Z786" s="23">
        <v>0</v>
      </c>
      <c r="AA786" s="9">
        <v>0</v>
      </c>
      <c r="AB786" s="9">
        <v>0</v>
      </c>
      <c r="AC786" s="23">
        <v>0</v>
      </c>
      <c r="AD786" s="23">
        <v>0</v>
      </c>
      <c r="AE786" s="23">
        <v>0</v>
      </c>
      <c r="AF786" s="23">
        <v>0</v>
      </c>
      <c r="AG786" s="7">
        <v>0</v>
      </c>
      <c r="AH786" s="6" t="s">
        <v>64</v>
      </c>
      <c r="AI786" s="31" t="s">
        <v>2290</v>
      </c>
      <c r="AJ786" s="4" t="s">
        <v>124</v>
      </c>
      <c r="AK786" s="16" t="s">
        <v>65</v>
      </c>
      <c r="AM786" s="43" t="e">
        <f t="shared" si="51"/>
        <v>#DIV/0!</v>
      </c>
    </row>
    <row r="787" spans="1:41" ht="15" customHeight="1" x14ac:dyDescent="0.35">
      <c r="A787" s="6" t="s">
        <v>2291</v>
      </c>
      <c r="C787" s="6" t="s">
        <v>43</v>
      </c>
      <c r="D787" s="6" t="s">
        <v>44</v>
      </c>
      <c r="F787" s="7">
        <v>4</v>
      </c>
      <c r="G787" s="7" t="s">
        <v>2292</v>
      </c>
      <c r="H787" s="6" t="s">
        <v>64</v>
      </c>
      <c r="I787" s="6" t="s">
        <v>102</v>
      </c>
      <c r="J787" s="5">
        <v>113.93</v>
      </c>
      <c r="K787" s="7">
        <v>1581</v>
      </c>
      <c r="L787" s="7">
        <v>1360</v>
      </c>
      <c r="M787" s="7">
        <v>79</v>
      </c>
      <c r="N787" s="2">
        <v>46321</v>
      </c>
      <c r="O787" s="7">
        <f>DAY(N787)</f>
        <v>26</v>
      </c>
      <c r="P787" s="22">
        <f>Q787-O787+1</f>
        <v>6</v>
      </c>
      <c r="Q787" s="22">
        <f>DAY(EOMONTH(N787,0))</f>
        <v>31</v>
      </c>
      <c r="R787" s="7">
        <v>0</v>
      </c>
      <c r="S787" s="44">
        <v>4.6332582999999996</v>
      </c>
      <c r="T787" s="44">
        <v>-74.087433200000007</v>
      </c>
      <c r="U787" s="22">
        <v>0</v>
      </c>
      <c r="V787" s="22">
        <v>0</v>
      </c>
      <c r="W787" s="25">
        <v>0</v>
      </c>
      <c r="X787" s="24">
        <v>0</v>
      </c>
      <c r="Y787" s="24">
        <v>0</v>
      </c>
      <c r="Z787" s="24">
        <v>0</v>
      </c>
      <c r="AA787" s="24">
        <v>0</v>
      </c>
      <c r="AB787" s="24">
        <v>0</v>
      </c>
      <c r="AC787" s="24">
        <v>0</v>
      </c>
      <c r="AD787" s="24">
        <v>0</v>
      </c>
      <c r="AE787" s="24">
        <v>0</v>
      </c>
      <c r="AF787" s="24">
        <v>0</v>
      </c>
      <c r="AG787" s="16">
        <v>0</v>
      </c>
      <c r="AH787" s="6" t="s">
        <v>64</v>
      </c>
      <c r="AI787" s="31" t="s">
        <v>2290</v>
      </c>
      <c r="AJ787" s="4" t="s">
        <v>50</v>
      </c>
      <c r="AK787" s="31" t="s">
        <v>65</v>
      </c>
      <c r="AL787" s="37">
        <v>232000</v>
      </c>
      <c r="AM787" s="43">
        <f t="shared" si="51"/>
        <v>0</v>
      </c>
      <c r="AN787" s="1" t="s">
        <v>2293</v>
      </c>
      <c r="AO787" s="1" t="s">
        <v>53</v>
      </c>
    </row>
    <row r="788" spans="1:41" ht="15" customHeight="1" x14ac:dyDescent="0.35">
      <c r="G788" s="7" t="s">
        <v>2294</v>
      </c>
      <c r="U788" s="22">
        <v>0</v>
      </c>
      <c r="V788" s="22">
        <v>0</v>
      </c>
      <c r="W788" s="25">
        <v>0</v>
      </c>
      <c r="X788" s="24">
        <v>0</v>
      </c>
      <c r="Y788" s="24">
        <v>0</v>
      </c>
      <c r="Z788" s="24">
        <v>0</v>
      </c>
      <c r="AA788" s="24">
        <v>0</v>
      </c>
      <c r="AB788" s="24">
        <v>0</v>
      </c>
      <c r="AC788" s="24">
        <v>0</v>
      </c>
      <c r="AD788" s="24">
        <v>0</v>
      </c>
      <c r="AE788" s="24">
        <v>0</v>
      </c>
      <c r="AF788" s="24">
        <v>0</v>
      </c>
      <c r="AG788" s="16">
        <v>0</v>
      </c>
      <c r="AH788" s="6" t="s">
        <v>64</v>
      </c>
      <c r="AI788" s="31" t="s">
        <v>2290</v>
      </c>
      <c r="AJ788" s="4" t="s">
        <v>2295</v>
      </c>
    </row>
    <row r="789" spans="1:41" ht="15" customHeight="1" x14ac:dyDescent="0.35">
      <c r="A789" s="6" t="s">
        <v>2296</v>
      </c>
      <c r="G789" s="7" t="s">
        <v>2297</v>
      </c>
      <c r="U789" s="22">
        <v>0</v>
      </c>
      <c r="V789" s="22">
        <v>0</v>
      </c>
      <c r="W789" s="25">
        <v>0</v>
      </c>
      <c r="X789" s="24">
        <v>0</v>
      </c>
      <c r="Y789" s="24">
        <v>0</v>
      </c>
      <c r="Z789" s="24">
        <v>0</v>
      </c>
      <c r="AA789" s="24">
        <v>0</v>
      </c>
      <c r="AB789" s="24">
        <v>0</v>
      </c>
      <c r="AC789" s="24">
        <v>0</v>
      </c>
      <c r="AD789" s="24">
        <v>0</v>
      </c>
      <c r="AE789" s="24">
        <v>0</v>
      </c>
      <c r="AF789" s="24">
        <v>0</v>
      </c>
      <c r="AG789" s="16">
        <v>0</v>
      </c>
      <c r="AH789" s="6" t="s">
        <v>64</v>
      </c>
      <c r="AI789" s="31" t="s">
        <v>2290</v>
      </c>
      <c r="AJ789" s="4" t="s">
        <v>50</v>
      </c>
      <c r="AK789" s="16" t="s">
        <v>65</v>
      </c>
      <c r="AM789" s="43" t="e">
        <f t="shared" ref="AM789:AM810" si="52">AE789/J789</f>
        <v>#DIV/0!</v>
      </c>
    </row>
    <row r="790" spans="1:41" ht="15" customHeight="1" x14ac:dyDescent="0.35">
      <c r="A790" s="6" t="s">
        <v>2298</v>
      </c>
      <c r="G790" s="7" t="s">
        <v>811</v>
      </c>
      <c r="U790" s="22">
        <v>0</v>
      </c>
      <c r="V790" s="22">
        <v>0</v>
      </c>
      <c r="W790" s="25">
        <v>0</v>
      </c>
      <c r="X790" s="24">
        <v>0</v>
      </c>
      <c r="Y790" s="24">
        <v>0</v>
      </c>
      <c r="Z790" s="24">
        <v>0</v>
      </c>
      <c r="AA790" s="24">
        <v>0</v>
      </c>
      <c r="AB790" s="24">
        <v>0</v>
      </c>
      <c r="AC790" s="24">
        <v>0</v>
      </c>
      <c r="AD790" s="24">
        <v>0</v>
      </c>
      <c r="AE790" s="24">
        <v>0</v>
      </c>
      <c r="AF790" s="24">
        <v>0</v>
      </c>
      <c r="AG790" s="16">
        <v>0</v>
      </c>
      <c r="AH790" s="6" t="s">
        <v>64</v>
      </c>
      <c r="AI790" s="31" t="s">
        <v>2290</v>
      </c>
      <c r="AJ790" s="4" t="s">
        <v>50</v>
      </c>
      <c r="AK790" s="16" t="s">
        <v>65</v>
      </c>
      <c r="AM790" s="43" t="e">
        <f t="shared" si="52"/>
        <v>#DIV/0!</v>
      </c>
    </row>
    <row r="791" spans="1:41" ht="15" customHeight="1" x14ac:dyDescent="0.35">
      <c r="A791" s="6" t="s">
        <v>2299</v>
      </c>
      <c r="B791" s="6" t="s">
        <v>42</v>
      </c>
      <c r="C791" s="6" t="s">
        <v>43</v>
      </c>
      <c r="D791" s="6" t="s">
        <v>44</v>
      </c>
      <c r="G791" s="7" t="s">
        <v>2300</v>
      </c>
      <c r="H791" s="32" t="s">
        <v>2301</v>
      </c>
      <c r="I791" s="6" t="s">
        <v>102</v>
      </c>
      <c r="J791" s="5">
        <v>89.63</v>
      </c>
      <c r="K791" s="7">
        <v>3210</v>
      </c>
      <c r="L791" s="7">
        <v>150</v>
      </c>
      <c r="M791" s="7">
        <v>77</v>
      </c>
      <c r="N791" s="2">
        <v>46318</v>
      </c>
      <c r="O791" s="7">
        <f>DAY(N791)</f>
        <v>23</v>
      </c>
      <c r="P791" s="22">
        <f>Q791-O791+1</f>
        <v>9</v>
      </c>
      <c r="Q791" s="22">
        <f>DAY(EOMONTH(N791,0))</f>
        <v>31</v>
      </c>
      <c r="R791" s="16">
        <v>0</v>
      </c>
      <c r="S791" s="44">
        <v>4.7774843000000002</v>
      </c>
      <c r="T791" s="44">
        <v>-74.049711900000005</v>
      </c>
      <c r="U791" s="22">
        <v>0</v>
      </c>
      <c r="V791" s="22">
        <v>0</v>
      </c>
      <c r="W791" s="25">
        <v>0</v>
      </c>
      <c r="X791" s="24">
        <v>0</v>
      </c>
      <c r="Y791" s="24">
        <v>0</v>
      </c>
      <c r="Z791" s="24">
        <v>0</v>
      </c>
      <c r="AA791" s="24">
        <v>0</v>
      </c>
      <c r="AB791" s="24">
        <v>0</v>
      </c>
      <c r="AC791" s="24">
        <v>0</v>
      </c>
      <c r="AD791" s="24">
        <v>0</v>
      </c>
      <c r="AE791" s="24">
        <v>0</v>
      </c>
      <c r="AF791" s="24">
        <v>0</v>
      </c>
      <c r="AG791" s="16">
        <v>0</v>
      </c>
      <c r="AH791" s="16" t="s">
        <v>136</v>
      </c>
      <c r="AI791" s="31" t="s">
        <v>2290</v>
      </c>
      <c r="AJ791" s="4" t="s">
        <v>76</v>
      </c>
      <c r="AK791" s="31" t="s">
        <v>65</v>
      </c>
      <c r="AL791" s="37">
        <v>241000</v>
      </c>
      <c r="AM791" s="43">
        <f t="shared" si="52"/>
        <v>0</v>
      </c>
      <c r="AN791" s="1" t="s">
        <v>2302</v>
      </c>
      <c r="AO791" s="1" t="s">
        <v>64</v>
      </c>
    </row>
    <row r="792" spans="1:41" ht="15" customHeight="1" x14ac:dyDescent="0.35">
      <c r="A792" s="6" t="s">
        <v>2303</v>
      </c>
      <c r="G792" s="7" t="s">
        <v>2304</v>
      </c>
      <c r="U792" s="22">
        <v>0</v>
      </c>
      <c r="V792" s="22">
        <v>0</v>
      </c>
      <c r="W792" s="25">
        <v>0</v>
      </c>
      <c r="X792" s="24">
        <v>0</v>
      </c>
      <c r="Y792" s="24">
        <v>0</v>
      </c>
      <c r="Z792" s="24">
        <v>0</v>
      </c>
      <c r="AA792" s="24">
        <v>0</v>
      </c>
      <c r="AB792" s="24">
        <v>0</v>
      </c>
      <c r="AC792" s="24">
        <v>0</v>
      </c>
      <c r="AD792" s="24">
        <v>0</v>
      </c>
      <c r="AE792" s="24">
        <v>0</v>
      </c>
      <c r="AF792" s="24">
        <v>0</v>
      </c>
      <c r="AG792" s="16">
        <v>0</v>
      </c>
      <c r="AH792" s="6" t="s">
        <v>64</v>
      </c>
      <c r="AI792" s="31" t="s">
        <v>2290</v>
      </c>
      <c r="AJ792" s="4" t="s">
        <v>50</v>
      </c>
      <c r="AK792" s="16" t="s">
        <v>65</v>
      </c>
      <c r="AM792" s="43" t="e">
        <f t="shared" si="52"/>
        <v>#DIV/0!</v>
      </c>
    </row>
    <row r="793" spans="1:41" ht="15" customHeight="1" x14ac:dyDescent="0.35">
      <c r="G793" s="7" t="s">
        <v>2305</v>
      </c>
      <c r="U793" s="22">
        <v>0</v>
      </c>
      <c r="V793" s="22">
        <v>0</v>
      </c>
      <c r="W793" s="25">
        <v>0</v>
      </c>
      <c r="X793" s="24">
        <v>0</v>
      </c>
      <c r="Y793" s="24">
        <v>0</v>
      </c>
      <c r="Z793" s="24">
        <v>0</v>
      </c>
      <c r="AA793" s="24">
        <v>0</v>
      </c>
      <c r="AB793" s="24">
        <v>0</v>
      </c>
      <c r="AC793" s="24">
        <v>0</v>
      </c>
      <c r="AD793" s="24">
        <v>0</v>
      </c>
      <c r="AE793" s="24">
        <v>0</v>
      </c>
      <c r="AF793" s="24">
        <v>0</v>
      </c>
      <c r="AG793" s="16">
        <v>0</v>
      </c>
      <c r="AH793" s="6" t="s">
        <v>64</v>
      </c>
      <c r="AI793" s="31" t="s">
        <v>2290</v>
      </c>
      <c r="AJ793" s="4" t="s">
        <v>124</v>
      </c>
      <c r="AK793" s="16" t="s">
        <v>65</v>
      </c>
      <c r="AM793" s="43" t="e">
        <f t="shared" si="52"/>
        <v>#DIV/0!</v>
      </c>
    </row>
    <row r="794" spans="1:41" ht="15" customHeight="1" x14ac:dyDescent="0.35">
      <c r="A794" s="32" t="s">
        <v>2306</v>
      </c>
      <c r="B794" s="32" t="s">
        <v>105</v>
      </c>
      <c r="C794" s="32" t="s">
        <v>112</v>
      </c>
      <c r="D794" s="32" t="s">
        <v>113</v>
      </c>
      <c r="E794" s="32" t="s">
        <v>1411</v>
      </c>
      <c r="F794" s="33">
        <v>3</v>
      </c>
      <c r="G794" s="45" t="s">
        <v>674</v>
      </c>
      <c r="H794" s="32" t="s">
        <v>64</v>
      </c>
      <c r="I794" s="32" t="s">
        <v>47</v>
      </c>
      <c r="J794" s="34">
        <v>120.07</v>
      </c>
      <c r="K794" s="33">
        <v>40</v>
      </c>
      <c r="L794" s="33">
        <v>6890</v>
      </c>
      <c r="M794" s="8">
        <v>289</v>
      </c>
      <c r="N794" s="35">
        <v>46326</v>
      </c>
      <c r="O794" s="7">
        <f t="shared" ref="O794:O810" si="53">DAY(N794)</f>
        <v>31</v>
      </c>
      <c r="P794" s="22">
        <f t="shared" ref="P794:P810" si="54">Q794-O794+1</f>
        <v>1</v>
      </c>
      <c r="Q794" s="22">
        <f t="shared" ref="Q794:Q810" si="55">DAY(EOMONTH(N794,0))</f>
        <v>31</v>
      </c>
      <c r="R794" s="16">
        <v>0</v>
      </c>
      <c r="S794" s="29">
        <v>3.4502250000000001</v>
      </c>
      <c r="T794" s="29">
        <v>-76.533122000000006</v>
      </c>
      <c r="U794" s="22">
        <v>0</v>
      </c>
      <c r="V794" s="22">
        <v>0</v>
      </c>
      <c r="W794" s="25">
        <v>0</v>
      </c>
      <c r="X794" s="24">
        <v>0</v>
      </c>
      <c r="Y794" s="24">
        <v>0</v>
      </c>
      <c r="Z794" s="24">
        <v>0</v>
      </c>
      <c r="AA794" s="24">
        <v>0</v>
      </c>
      <c r="AB794" s="24">
        <v>0</v>
      </c>
      <c r="AC794" s="24">
        <v>0</v>
      </c>
      <c r="AD794" s="24">
        <v>0</v>
      </c>
      <c r="AE794" s="24">
        <v>0</v>
      </c>
      <c r="AF794" s="24">
        <v>0</v>
      </c>
      <c r="AG794" s="16">
        <v>0</v>
      </c>
      <c r="AH794" s="16" t="s">
        <v>64</v>
      </c>
      <c r="AI794" s="31" t="s">
        <v>2290</v>
      </c>
      <c r="AJ794" s="31" t="s">
        <v>124</v>
      </c>
      <c r="AK794" s="16" t="s">
        <v>65</v>
      </c>
      <c r="AL794" s="37">
        <v>204160</v>
      </c>
      <c r="AM794" s="43">
        <f t="shared" si="52"/>
        <v>0</v>
      </c>
      <c r="AN794" s="8" t="s">
        <v>1083</v>
      </c>
      <c r="AO794" s="8" t="s">
        <v>53</v>
      </c>
    </row>
    <row r="795" spans="1:41" ht="15" customHeight="1" x14ac:dyDescent="0.35">
      <c r="G795" s="7" t="s">
        <v>2307</v>
      </c>
      <c r="O795" s="7">
        <f t="shared" si="53"/>
        <v>0</v>
      </c>
      <c r="P795" s="22">
        <f t="shared" si="54"/>
        <v>32</v>
      </c>
      <c r="Q795" s="22">
        <f t="shared" si="55"/>
        <v>31</v>
      </c>
      <c r="R795" s="16">
        <v>0</v>
      </c>
      <c r="U795" s="22">
        <v>0</v>
      </c>
      <c r="V795" s="22">
        <v>0</v>
      </c>
      <c r="W795" s="25">
        <v>0</v>
      </c>
      <c r="X795" s="24">
        <v>0</v>
      </c>
      <c r="Y795" s="24">
        <v>0</v>
      </c>
      <c r="Z795" s="24">
        <v>0</v>
      </c>
      <c r="AA795" s="24">
        <v>0</v>
      </c>
      <c r="AB795" s="24">
        <v>0</v>
      </c>
      <c r="AC795" s="24">
        <v>0</v>
      </c>
      <c r="AD795" s="24">
        <v>0</v>
      </c>
      <c r="AE795" s="24">
        <v>0</v>
      </c>
      <c r="AF795" s="24">
        <v>0</v>
      </c>
      <c r="AG795" s="16">
        <v>0</v>
      </c>
      <c r="AH795" s="6" t="s">
        <v>64</v>
      </c>
      <c r="AI795" s="31" t="s">
        <v>2290</v>
      </c>
      <c r="AJ795" s="4" t="s">
        <v>124</v>
      </c>
      <c r="AK795" s="31" t="s">
        <v>65</v>
      </c>
      <c r="AM795" s="43" t="e">
        <f t="shared" si="52"/>
        <v>#DIV/0!</v>
      </c>
    </row>
    <row r="796" spans="1:41" ht="15" customHeight="1" x14ac:dyDescent="0.35">
      <c r="A796" s="6" t="s">
        <v>2308</v>
      </c>
      <c r="C796" s="6" t="s">
        <v>43</v>
      </c>
      <c r="D796" s="6" t="s">
        <v>44</v>
      </c>
      <c r="E796" s="6" t="s">
        <v>68</v>
      </c>
      <c r="F796" s="7">
        <v>5</v>
      </c>
      <c r="G796" s="7" t="s">
        <v>2309</v>
      </c>
      <c r="H796" s="6" t="s">
        <v>2310</v>
      </c>
      <c r="I796" s="6" t="s">
        <v>102</v>
      </c>
      <c r="J796" s="5">
        <v>90.63</v>
      </c>
      <c r="K796" s="7">
        <v>1024</v>
      </c>
      <c r="L796" s="7">
        <v>2685</v>
      </c>
      <c r="M796" s="7">
        <v>127</v>
      </c>
      <c r="N796" s="2">
        <v>46325</v>
      </c>
      <c r="O796" s="7">
        <f t="shared" si="53"/>
        <v>30</v>
      </c>
      <c r="P796" s="22">
        <f t="shared" si="54"/>
        <v>2</v>
      </c>
      <c r="Q796" s="22">
        <f t="shared" si="55"/>
        <v>31</v>
      </c>
      <c r="R796" s="16">
        <v>0</v>
      </c>
      <c r="S796" s="44">
        <v>4.6690175983806101</v>
      </c>
      <c r="T796" s="44">
        <v>-74.055583739387998</v>
      </c>
      <c r="U796" s="22">
        <v>0</v>
      </c>
      <c r="V796" s="22">
        <v>0</v>
      </c>
      <c r="W796" s="25">
        <v>0</v>
      </c>
      <c r="X796" s="24">
        <v>0</v>
      </c>
      <c r="Y796" s="24">
        <v>0</v>
      </c>
      <c r="Z796" s="24">
        <v>0</v>
      </c>
      <c r="AA796" s="24">
        <v>0</v>
      </c>
      <c r="AB796" s="24">
        <v>0</v>
      </c>
      <c r="AC796" s="24">
        <v>0</v>
      </c>
      <c r="AD796" s="24">
        <v>0</v>
      </c>
      <c r="AE796" s="24">
        <v>0</v>
      </c>
      <c r="AF796" s="24">
        <v>0</v>
      </c>
      <c r="AG796" s="16">
        <v>0</v>
      </c>
      <c r="AH796" s="6" t="s">
        <v>82</v>
      </c>
      <c r="AI796" s="31" t="s">
        <v>2311</v>
      </c>
      <c r="AJ796" s="4" t="s">
        <v>124</v>
      </c>
      <c r="AK796" s="31" t="s">
        <v>65</v>
      </c>
      <c r="AM796" s="43">
        <f t="shared" si="52"/>
        <v>0</v>
      </c>
      <c r="AN796" s="1" t="s">
        <v>1083</v>
      </c>
      <c r="AO796" s="1" t="s">
        <v>60</v>
      </c>
    </row>
    <row r="797" spans="1:41" ht="15" customHeight="1" x14ac:dyDescent="0.35">
      <c r="A797" s="6" t="s">
        <v>2312</v>
      </c>
      <c r="B797" s="6" t="s">
        <v>105</v>
      </c>
      <c r="C797" s="6" t="s">
        <v>157</v>
      </c>
      <c r="D797" s="6" t="s">
        <v>158</v>
      </c>
      <c r="F797" s="7">
        <v>6</v>
      </c>
      <c r="G797" s="7" t="s">
        <v>2313</v>
      </c>
      <c r="H797" s="32" t="s">
        <v>2314</v>
      </c>
      <c r="I797" s="6" t="s">
        <v>102</v>
      </c>
      <c r="J797" s="5">
        <v>100.05</v>
      </c>
      <c r="K797" s="7">
        <v>2257</v>
      </c>
      <c r="L797" s="7">
        <v>1329</v>
      </c>
      <c r="M797" s="7">
        <v>102</v>
      </c>
      <c r="N797" s="2">
        <v>46321</v>
      </c>
      <c r="O797" s="7">
        <f t="shared" si="53"/>
        <v>26</v>
      </c>
      <c r="P797" s="22">
        <f t="shared" si="54"/>
        <v>6</v>
      </c>
      <c r="Q797" s="22">
        <f t="shared" si="55"/>
        <v>31</v>
      </c>
      <c r="R797" s="16">
        <v>0</v>
      </c>
      <c r="S797" s="44">
        <v>6.2389917037362403</v>
      </c>
      <c r="T797" s="44">
        <v>-75.594621377987593</v>
      </c>
      <c r="U797" s="22">
        <v>0</v>
      </c>
      <c r="V797" s="22">
        <v>0</v>
      </c>
      <c r="W797" s="25">
        <v>0</v>
      </c>
      <c r="X797" s="24">
        <v>0</v>
      </c>
      <c r="Y797" s="24">
        <v>0</v>
      </c>
      <c r="Z797" s="24">
        <v>0</v>
      </c>
      <c r="AA797" s="24">
        <v>0</v>
      </c>
      <c r="AB797" s="24">
        <v>0</v>
      </c>
      <c r="AC797" s="24">
        <v>0</v>
      </c>
      <c r="AD797" s="24">
        <v>0</v>
      </c>
      <c r="AE797" s="24">
        <v>0</v>
      </c>
      <c r="AF797" s="24">
        <v>0</v>
      </c>
      <c r="AG797" s="16">
        <v>0</v>
      </c>
      <c r="AH797" s="16" t="s">
        <v>82</v>
      </c>
      <c r="AI797" s="31" t="s">
        <v>2311</v>
      </c>
      <c r="AJ797" s="4" t="s">
        <v>124</v>
      </c>
      <c r="AK797" s="31" t="s">
        <v>65</v>
      </c>
      <c r="AL797" s="37">
        <v>204160</v>
      </c>
      <c r="AM797" s="43">
        <f t="shared" si="52"/>
        <v>0</v>
      </c>
      <c r="AN797" s="1" t="s">
        <v>2315</v>
      </c>
      <c r="AO797" s="1" t="s">
        <v>60</v>
      </c>
    </row>
    <row r="798" spans="1:41" ht="15" customHeight="1" x14ac:dyDescent="0.35">
      <c r="A798" s="6" t="s">
        <v>2316</v>
      </c>
      <c r="B798" s="6" t="s">
        <v>119</v>
      </c>
      <c r="C798" s="6" t="s">
        <v>120</v>
      </c>
      <c r="D798" s="6" t="s">
        <v>121</v>
      </c>
      <c r="F798" s="7">
        <v>6</v>
      </c>
      <c r="G798" s="7" t="s">
        <v>2317</v>
      </c>
      <c r="H798" s="6" t="s">
        <v>64</v>
      </c>
      <c r="I798" s="6" t="s">
        <v>102</v>
      </c>
      <c r="J798" s="5">
        <v>120.35</v>
      </c>
      <c r="K798" s="7">
        <v>391</v>
      </c>
      <c r="L798" s="7">
        <v>1844</v>
      </c>
      <c r="M798" s="7">
        <v>127</v>
      </c>
      <c r="N798" s="2">
        <v>46316</v>
      </c>
      <c r="O798" s="7">
        <f t="shared" si="53"/>
        <v>21</v>
      </c>
      <c r="P798" s="22">
        <f t="shared" si="54"/>
        <v>11</v>
      </c>
      <c r="Q798" s="22">
        <f t="shared" si="55"/>
        <v>31</v>
      </c>
      <c r="R798" s="7">
        <v>0</v>
      </c>
      <c r="S798" s="44">
        <v>7.1146474946218996</v>
      </c>
      <c r="T798" s="44">
        <v>-73.110175522234897</v>
      </c>
      <c r="U798" s="22">
        <v>0</v>
      </c>
      <c r="V798" s="22">
        <v>0</v>
      </c>
      <c r="W798" s="25">
        <v>0</v>
      </c>
      <c r="X798" s="24">
        <v>0</v>
      </c>
      <c r="Y798" s="24">
        <v>0</v>
      </c>
      <c r="Z798" s="24">
        <v>0</v>
      </c>
      <c r="AA798" s="24">
        <v>0</v>
      </c>
      <c r="AB798" s="24">
        <v>0</v>
      </c>
      <c r="AC798" s="24">
        <v>0</v>
      </c>
      <c r="AD798" s="24">
        <v>0</v>
      </c>
      <c r="AE798" s="24">
        <v>0</v>
      </c>
      <c r="AF798" s="24">
        <v>0</v>
      </c>
      <c r="AG798" s="16">
        <v>0</v>
      </c>
      <c r="AH798" s="6" t="s">
        <v>58</v>
      </c>
      <c r="AI798" s="31" t="s">
        <v>2311</v>
      </c>
      <c r="AJ798" s="4" t="s">
        <v>124</v>
      </c>
      <c r="AK798" s="31" t="s">
        <v>65</v>
      </c>
      <c r="AL798" s="37">
        <v>204160</v>
      </c>
      <c r="AM798" s="43">
        <f t="shared" si="52"/>
        <v>0</v>
      </c>
      <c r="AN798" s="1" t="s">
        <v>2318</v>
      </c>
      <c r="AO798" s="1" t="s">
        <v>53</v>
      </c>
    </row>
    <row r="799" spans="1:41" ht="15" customHeight="1" x14ac:dyDescent="0.35">
      <c r="A799" s="6" t="s">
        <v>2319</v>
      </c>
      <c r="B799" s="6" t="s">
        <v>42</v>
      </c>
      <c r="C799" s="6" t="s">
        <v>126</v>
      </c>
      <c r="D799" s="6" t="s">
        <v>2320</v>
      </c>
      <c r="E799" s="6" t="s">
        <v>2321</v>
      </c>
      <c r="F799" s="7">
        <v>3</v>
      </c>
      <c r="G799" s="7" t="s">
        <v>2322</v>
      </c>
      <c r="H799" s="32" t="s">
        <v>64</v>
      </c>
      <c r="I799" s="6" t="s">
        <v>429</v>
      </c>
      <c r="J799" s="5">
        <v>111.6</v>
      </c>
      <c r="K799" s="7">
        <v>0</v>
      </c>
      <c r="L799" s="7">
        <v>3326</v>
      </c>
      <c r="M799" s="7">
        <v>25</v>
      </c>
      <c r="N799" s="2">
        <v>46325</v>
      </c>
      <c r="O799" s="7">
        <f t="shared" si="53"/>
        <v>30</v>
      </c>
      <c r="P799" s="22">
        <f t="shared" si="54"/>
        <v>2</v>
      </c>
      <c r="Q799" s="22">
        <f t="shared" si="55"/>
        <v>31</v>
      </c>
      <c r="R799" s="16">
        <v>2</v>
      </c>
      <c r="S799" s="44">
        <v>5.7894897466428796</v>
      </c>
      <c r="T799" s="44">
        <v>-73.064300290156396</v>
      </c>
      <c r="U799" s="22">
        <v>0</v>
      </c>
      <c r="V799" s="22">
        <v>0</v>
      </c>
      <c r="W799" s="25">
        <v>0</v>
      </c>
      <c r="X799" s="24">
        <v>0</v>
      </c>
      <c r="Y799" s="24">
        <v>0</v>
      </c>
      <c r="Z799" s="24">
        <v>0</v>
      </c>
      <c r="AA799" s="24">
        <v>0</v>
      </c>
      <c r="AB799" s="24">
        <v>0</v>
      </c>
      <c r="AC799" s="24">
        <v>0</v>
      </c>
      <c r="AD799" s="24">
        <v>0</v>
      </c>
      <c r="AE799" s="24">
        <v>0</v>
      </c>
      <c r="AF799" s="24">
        <v>0</v>
      </c>
      <c r="AG799" s="16">
        <v>0</v>
      </c>
      <c r="AH799" s="6" t="s">
        <v>64</v>
      </c>
      <c r="AI799" s="31" t="s">
        <v>2311</v>
      </c>
      <c r="AJ799" s="4" t="s">
        <v>124</v>
      </c>
      <c r="AK799" s="31" t="s">
        <v>65</v>
      </c>
      <c r="AL799" s="37">
        <v>204160</v>
      </c>
      <c r="AM799" s="43">
        <f t="shared" si="52"/>
        <v>0</v>
      </c>
      <c r="AN799" s="1" t="s">
        <v>891</v>
      </c>
      <c r="AO799" s="1" t="s">
        <v>60</v>
      </c>
    </row>
    <row r="800" spans="1:41" ht="15" customHeight="1" x14ac:dyDescent="0.35">
      <c r="A800" s="6" t="s">
        <v>2323</v>
      </c>
      <c r="B800" s="6" t="s">
        <v>55</v>
      </c>
      <c r="C800" s="6" t="s">
        <v>43</v>
      </c>
      <c r="D800" s="6" t="s">
        <v>44</v>
      </c>
      <c r="F800" s="7">
        <v>3</v>
      </c>
      <c r="G800" s="7" t="s">
        <v>2324</v>
      </c>
      <c r="H800" s="6" t="s">
        <v>64</v>
      </c>
      <c r="I800" s="6" t="s">
        <v>47</v>
      </c>
      <c r="J800" s="5">
        <v>109.19</v>
      </c>
      <c r="K800" s="7">
        <v>1647</v>
      </c>
      <c r="L800" s="7">
        <v>280</v>
      </c>
      <c r="M800" s="7">
        <v>80</v>
      </c>
      <c r="N800" s="2">
        <v>46315</v>
      </c>
      <c r="O800" s="7">
        <f t="shared" si="53"/>
        <v>20</v>
      </c>
      <c r="P800" s="22">
        <f t="shared" si="54"/>
        <v>12</v>
      </c>
      <c r="Q800" s="22">
        <f t="shared" si="55"/>
        <v>31</v>
      </c>
      <c r="R800" s="7">
        <v>0</v>
      </c>
      <c r="S800" s="44">
        <v>4.6058849000000004</v>
      </c>
      <c r="T800" s="44">
        <v>-74.182735899999997</v>
      </c>
      <c r="U800" s="22">
        <v>0</v>
      </c>
      <c r="V800" s="22">
        <v>0</v>
      </c>
      <c r="W800" s="25">
        <v>0</v>
      </c>
      <c r="X800" s="24">
        <v>0</v>
      </c>
      <c r="Y800" s="24">
        <v>0</v>
      </c>
      <c r="Z800" s="24">
        <v>0</v>
      </c>
      <c r="AA800" s="24">
        <v>0</v>
      </c>
      <c r="AB800" s="24">
        <v>0</v>
      </c>
      <c r="AC800" s="24">
        <v>0</v>
      </c>
      <c r="AD800" s="24">
        <v>0</v>
      </c>
      <c r="AE800" s="24">
        <v>0</v>
      </c>
      <c r="AF800" s="24">
        <v>0</v>
      </c>
      <c r="AG800" s="16">
        <v>0</v>
      </c>
      <c r="AH800" s="6" t="s">
        <v>64</v>
      </c>
      <c r="AI800" s="31" t="s">
        <v>2311</v>
      </c>
      <c r="AJ800" s="4" t="s">
        <v>76</v>
      </c>
      <c r="AK800" s="31" t="s">
        <v>65</v>
      </c>
      <c r="AL800" s="37">
        <v>241000</v>
      </c>
      <c r="AM800" s="43">
        <f t="shared" si="52"/>
        <v>0</v>
      </c>
      <c r="AN800" s="1" t="s">
        <v>2325</v>
      </c>
      <c r="AO800" s="1" t="s">
        <v>60</v>
      </c>
    </row>
    <row r="801" spans="1:41" ht="15" customHeight="1" x14ac:dyDescent="0.35">
      <c r="A801" s="6" t="s">
        <v>2326</v>
      </c>
      <c r="B801" s="6" t="s">
        <v>55</v>
      </c>
      <c r="C801" s="6" t="s">
        <v>93</v>
      </c>
      <c r="D801" s="6" t="s">
        <v>939</v>
      </c>
      <c r="E801" s="6" t="s">
        <v>940</v>
      </c>
      <c r="F801" s="7">
        <v>3</v>
      </c>
      <c r="G801" s="7" t="s">
        <v>2327</v>
      </c>
      <c r="H801" s="6" t="s">
        <v>2328</v>
      </c>
      <c r="I801" s="6" t="s">
        <v>102</v>
      </c>
      <c r="J801" s="5">
        <v>137.06</v>
      </c>
      <c r="K801" s="7">
        <v>1629</v>
      </c>
      <c r="L801" s="7">
        <v>1515</v>
      </c>
      <c r="M801" s="7">
        <v>136</v>
      </c>
      <c r="N801" s="2">
        <v>46316</v>
      </c>
      <c r="O801" s="7">
        <f t="shared" si="53"/>
        <v>21</v>
      </c>
      <c r="P801" s="22">
        <f t="shared" si="54"/>
        <v>11</v>
      </c>
      <c r="Q801" s="22">
        <f t="shared" si="55"/>
        <v>31</v>
      </c>
      <c r="R801" s="7">
        <v>0</v>
      </c>
      <c r="S801" s="44">
        <v>4.6330898999999999</v>
      </c>
      <c r="T801" s="44">
        <v>-74.461247099999994</v>
      </c>
      <c r="U801" s="22">
        <v>0</v>
      </c>
      <c r="V801" s="22">
        <v>0</v>
      </c>
      <c r="W801" s="25">
        <v>0</v>
      </c>
      <c r="X801" s="24">
        <v>0</v>
      </c>
      <c r="Y801" s="24">
        <v>0</v>
      </c>
      <c r="Z801" s="24">
        <v>0</v>
      </c>
      <c r="AA801" s="24">
        <v>0</v>
      </c>
      <c r="AB801" s="24">
        <v>0</v>
      </c>
      <c r="AC801" s="24">
        <v>0</v>
      </c>
      <c r="AD801" s="24">
        <v>0</v>
      </c>
      <c r="AE801" s="24">
        <v>0</v>
      </c>
      <c r="AF801" s="24">
        <v>0</v>
      </c>
      <c r="AG801" s="16">
        <v>0</v>
      </c>
      <c r="AH801" s="6" t="s">
        <v>64</v>
      </c>
      <c r="AI801" s="31" t="s">
        <v>2311</v>
      </c>
      <c r="AJ801" s="4" t="s">
        <v>124</v>
      </c>
      <c r="AK801" s="31" t="s">
        <v>65</v>
      </c>
      <c r="AL801" s="37">
        <v>204160</v>
      </c>
      <c r="AM801" s="43">
        <f t="shared" si="52"/>
        <v>0</v>
      </c>
      <c r="AN801" s="1" t="s">
        <v>2329</v>
      </c>
      <c r="AO801" s="1" t="s">
        <v>64</v>
      </c>
    </row>
    <row r="802" spans="1:41" ht="15" customHeight="1" x14ac:dyDescent="0.35">
      <c r="A802" s="6" t="s">
        <v>2330</v>
      </c>
      <c r="B802" s="6" t="s">
        <v>105</v>
      </c>
      <c r="C802" s="6" t="s">
        <v>157</v>
      </c>
      <c r="D802" s="6" t="s">
        <v>158</v>
      </c>
      <c r="F802" s="7">
        <v>6</v>
      </c>
      <c r="G802" s="7" t="s">
        <v>2331</v>
      </c>
      <c r="H802" s="32" t="s">
        <v>2332</v>
      </c>
      <c r="I802" s="6" t="s">
        <v>102</v>
      </c>
      <c r="J802" s="5">
        <v>110.99</v>
      </c>
      <c r="K802" s="7">
        <v>1942</v>
      </c>
      <c r="L802" s="7">
        <v>2160</v>
      </c>
      <c r="M802" s="7">
        <v>90</v>
      </c>
      <c r="N802" s="2">
        <v>46310</v>
      </c>
      <c r="O802" s="7">
        <f t="shared" si="53"/>
        <v>15</v>
      </c>
      <c r="P802" s="22">
        <f t="shared" si="54"/>
        <v>17</v>
      </c>
      <c r="Q802" s="22">
        <f t="shared" si="55"/>
        <v>31</v>
      </c>
      <c r="R802" s="16">
        <v>0</v>
      </c>
      <c r="S802" s="44">
        <v>6.2413543049115496</v>
      </c>
      <c r="T802" s="44">
        <v>-75.591997657672707</v>
      </c>
      <c r="U802" s="22">
        <v>0</v>
      </c>
      <c r="V802" s="22">
        <v>0</v>
      </c>
      <c r="W802" s="25">
        <v>0</v>
      </c>
      <c r="X802" s="24">
        <v>0</v>
      </c>
      <c r="Y802" s="24">
        <v>0</v>
      </c>
      <c r="Z802" s="24">
        <v>0</v>
      </c>
      <c r="AA802" s="24">
        <v>0</v>
      </c>
      <c r="AB802" s="24">
        <v>0</v>
      </c>
      <c r="AC802" s="24">
        <v>0</v>
      </c>
      <c r="AD802" s="24">
        <v>0</v>
      </c>
      <c r="AE802" s="24">
        <v>0</v>
      </c>
      <c r="AF802" s="24">
        <v>0</v>
      </c>
      <c r="AG802" s="16">
        <v>0</v>
      </c>
      <c r="AH802" s="16" t="s">
        <v>58</v>
      </c>
      <c r="AI802" s="31" t="s">
        <v>2311</v>
      </c>
      <c r="AJ802" s="4" t="s">
        <v>50</v>
      </c>
      <c r="AK802" s="31" t="s">
        <v>65</v>
      </c>
      <c r="AL802" s="37">
        <v>232000</v>
      </c>
      <c r="AM802" s="43">
        <f t="shared" si="52"/>
        <v>0</v>
      </c>
      <c r="AN802" s="1" t="s">
        <v>2333</v>
      </c>
      <c r="AO802" s="1" t="s">
        <v>53</v>
      </c>
    </row>
    <row r="803" spans="1:41" ht="15" customHeight="1" x14ac:dyDescent="0.35">
      <c r="A803" s="6" t="s">
        <v>2334</v>
      </c>
      <c r="B803" s="6" t="s">
        <v>55</v>
      </c>
      <c r="C803" s="6" t="s">
        <v>43</v>
      </c>
      <c r="D803" s="6" t="s">
        <v>44</v>
      </c>
      <c r="F803" s="7">
        <v>3</v>
      </c>
      <c r="G803" s="7" t="s">
        <v>2335</v>
      </c>
      <c r="H803" s="32" t="s">
        <v>64</v>
      </c>
      <c r="I803" s="6" t="s">
        <v>47</v>
      </c>
      <c r="J803" s="5">
        <v>104.83</v>
      </c>
      <c r="K803" s="7">
        <v>1806</v>
      </c>
      <c r="L803" s="7">
        <v>150</v>
      </c>
      <c r="M803" s="7">
        <v>85</v>
      </c>
      <c r="N803" s="2">
        <v>46325</v>
      </c>
      <c r="O803" s="7">
        <f t="shared" si="53"/>
        <v>30</v>
      </c>
      <c r="P803" s="22">
        <f t="shared" si="54"/>
        <v>2</v>
      </c>
      <c r="Q803" s="22">
        <f t="shared" si="55"/>
        <v>31</v>
      </c>
      <c r="R803" s="16">
        <v>1</v>
      </c>
      <c r="S803" s="44">
        <v>4.7080944000000002</v>
      </c>
      <c r="T803" s="44">
        <v>-74.114450399999996</v>
      </c>
      <c r="U803" s="22">
        <v>0</v>
      </c>
      <c r="V803" s="22">
        <v>0</v>
      </c>
      <c r="W803" s="25">
        <v>0</v>
      </c>
      <c r="X803" s="24">
        <v>0</v>
      </c>
      <c r="Y803" s="24">
        <v>0</v>
      </c>
      <c r="Z803" s="24">
        <v>0</v>
      </c>
      <c r="AA803" s="24">
        <v>0</v>
      </c>
      <c r="AB803" s="24">
        <v>0</v>
      </c>
      <c r="AC803" s="24">
        <v>0</v>
      </c>
      <c r="AD803" s="24">
        <v>0</v>
      </c>
      <c r="AE803" s="24">
        <v>0</v>
      </c>
      <c r="AF803" s="24">
        <v>0</v>
      </c>
      <c r="AG803" s="16">
        <v>0</v>
      </c>
      <c r="AH803" s="6" t="s">
        <v>64</v>
      </c>
      <c r="AI803" s="31" t="s">
        <v>2311</v>
      </c>
      <c r="AJ803" s="4" t="s">
        <v>76</v>
      </c>
      <c r="AK803" s="31" t="s">
        <v>65</v>
      </c>
      <c r="AL803" s="37">
        <v>241000</v>
      </c>
      <c r="AM803" s="43">
        <f t="shared" si="52"/>
        <v>0</v>
      </c>
      <c r="AN803" s="1" t="s">
        <v>2336</v>
      </c>
      <c r="AO803" s="1" t="s">
        <v>98</v>
      </c>
    </row>
    <row r="804" spans="1:41" ht="15" customHeight="1" x14ac:dyDescent="0.35">
      <c r="A804" s="6" t="s">
        <v>2337</v>
      </c>
      <c r="B804" s="6" t="s">
        <v>55</v>
      </c>
      <c r="C804" s="6" t="s">
        <v>93</v>
      </c>
      <c r="D804" s="6" t="s">
        <v>846</v>
      </c>
      <c r="F804" s="7">
        <v>3</v>
      </c>
      <c r="G804" s="7" t="s">
        <v>2338</v>
      </c>
      <c r="H804" s="32" t="s">
        <v>2339</v>
      </c>
      <c r="I804" s="6" t="s">
        <v>47</v>
      </c>
      <c r="J804" s="5">
        <v>96.35</v>
      </c>
      <c r="K804" s="7">
        <v>782</v>
      </c>
      <c r="L804" s="7">
        <v>1383</v>
      </c>
      <c r="M804" s="7">
        <v>112</v>
      </c>
      <c r="N804" s="2">
        <v>46310</v>
      </c>
      <c r="O804" s="7">
        <f t="shared" si="53"/>
        <v>15</v>
      </c>
      <c r="P804" s="22">
        <f t="shared" si="54"/>
        <v>17</v>
      </c>
      <c r="Q804" s="22">
        <f t="shared" si="55"/>
        <v>31</v>
      </c>
      <c r="R804" s="16">
        <v>0</v>
      </c>
      <c r="S804" s="44">
        <v>4.7039977999999998</v>
      </c>
      <c r="T804" s="44">
        <v>-74.228113500000006</v>
      </c>
      <c r="U804" s="22">
        <v>0</v>
      </c>
      <c r="V804" s="22">
        <v>0</v>
      </c>
      <c r="W804" s="25">
        <v>0</v>
      </c>
      <c r="X804" s="24">
        <v>0</v>
      </c>
      <c r="Y804" s="24">
        <v>0</v>
      </c>
      <c r="Z804" s="24">
        <v>0</v>
      </c>
      <c r="AA804" s="24">
        <v>0</v>
      </c>
      <c r="AB804" s="24">
        <v>0</v>
      </c>
      <c r="AC804" s="24">
        <v>0</v>
      </c>
      <c r="AD804" s="24">
        <v>0</v>
      </c>
      <c r="AE804" s="24">
        <v>0</v>
      </c>
      <c r="AF804" s="24">
        <v>0</v>
      </c>
      <c r="AG804" s="16">
        <v>0</v>
      </c>
      <c r="AH804" s="16" t="s">
        <v>58</v>
      </c>
      <c r="AI804" s="31" t="s">
        <v>2311</v>
      </c>
      <c r="AJ804" s="4" t="s">
        <v>50</v>
      </c>
      <c r="AK804" s="31" t="s">
        <v>65</v>
      </c>
      <c r="AL804" s="37">
        <v>232000</v>
      </c>
      <c r="AM804" s="43">
        <f t="shared" si="52"/>
        <v>0</v>
      </c>
      <c r="AN804" s="1" t="s">
        <v>2340</v>
      </c>
      <c r="AO804" s="1" t="s">
        <v>60</v>
      </c>
    </row>
    <row r="805" spans="1:41" ht="15" customHeight="1" x14ac:dyDescent="0.35">
      <c r="A805" s="6" t="s">
        <v>2341</v>
      </c>
      <c r="B805" s="6" t="s">
        <v>55</v>
      </c>
      <c r="C805" s="6" t="s">
        <v>43</v>
      </c>
      <c r="D805" s="6" t="s">
        <v>44</v>
      </c>
      <c r="F805" s="7">
        <v>3</v>
      </c>
      <c r="G805" s="7" t="s">
        <v>2342</v>
      </c>
      <c r="H805" s="6" t="s">
        <v>64</v>
      </c>
      <c r="I805" s="6" t="s">
        <v>47</v>
      </c>
      <c r="J805" s="5">
        <v>160.1</v>
      </c>
      <c r="K805" s="7">
        <v>700</v>
      </c>
      <c r="L805" s="7">
        <v>3320</v>
      </c>
      <c r="M805" s="7">
        <v>110</v>
      </c>
      <c r="N805" s="2">
        <v>46315</v>
      </c>
      <c r="O805" s="7">
        <f t="shared" si="53"/>
        <v>20</v>
      </c>
      <c r="P805" s="22">
        <f t="shared" si="54"/>
        <v>12</v>
      </c>
      <c r="Q805" s="22">
        <f t="shared" si="55"/>
        <v>31</v>
      </c>
      <c r="R805" s="7">
        <v>0</v>
      </c>
      <c r="S805" s="44">
        <v>4.6009167</v>
      </c>
      <c r="T805" s="44">
        <v>-74.070222200000003</v>
      </c>
      <c r="U805" s="22">
        <v>0</v>
      </c>
      <c r="V805" s="22">
        <v>0</v>
      </c>
      <c r="W805" s="25">
        <v>0</v>
      </c>
      <c r="X805" s="24">
        <v>0</v>
      </c>
      <c r="Y805" s="24">
        <v>0</v>
      </c>
      <c r="Z805" s="24">
        <v>0</v>
      </c>
      <c r="AA805" s="24">
        <v>0</v>
      </c>
      <c r="AB805" s="24">
        <v>0</v>
      </c>
      <c r="AC805" s="24">
        <v>0</v>
      </c>
      <c r="AD805" s="24">
        <v>0</v>
      </c>
      <c r="AE805" s="24">
        <v>0</v>
      </c>
      <c r="AF805" s="24">
        <v>0</v>
      </c>
      <c r="AG805" s="16">
        <v>0</v>
      </c>
      <c r="AH805" s="6" t="s">
        <v>82</v>
      </c>
      <c r="AI805" s="31" t="s">
        <v>2311</v>
      </c>
      <c r="AJ805" s="4" t="s">
        <v>124</v>
      </c>
      <c r="AK805" s="31" t="s">
        <v>65</v>
      </c>
      <c r="AL805" s="37">
        <v>204160</v>
      </c>
      <c r="AM805" s="43">
        <f t="shared" si="52"/>
        <v>0</v>
      </c>
      <c r="AN805" s="1" t="s">
        <v>731</v>
      </c>
      <c r="AO805" s="1" t="s">
        <v>53</v>
      </c>
    </row>
    <row r="806" spans="1:41" ht="15" customHeight="1" x14ac:dyDescent="0.35">
      <c r="A806" s="6" t="s">
        <v>2343</v>
      </c>
      <c r="C806" s="6" t="s">
        <v>43</v>
      </c>
      <c r="D806" s="6" t="s">
        <v>44</v>
      </c>
      <c r="F806" s="7">
        <v>6</v>
      </c>
      <c r="G806" s="7" t="s">
        <v>2344</v>
      </c>
      <c r="H806" s="6" t="s">
        <v>64</v>
      </c>
      <c r="I806" s="6" t="s">
        <v>102</v>
      </c>
      <c r="J806" s="5">
        <v>120.24</v>
      </c>
      <c r="K806" s="7">
        <v>750</v>
      </c>
      <c r="L806" s="7">
        <v>5980</v>
      </c>
      <c r="M806" s="7">
        <v>165</v>
      </c>
      <c r="N806" s="2">
        <v>46325</v>
      </c>
      <c r="O806" s="7">
        <f t="shared" si="53"/>
        <v>30</v>
      </c>
      <c r="P806" s="22">
        <f t="shared" si="54"/>
        <v>2</v>
      </c>
      <c r="Q806" s="22">
        <f t="shared" si="55"/>
        <v>31</v>
      </c>
      <c r="R806" s="7">
        <v>0</v>
      </c>
      <c r="S806" s="44">
        <v>4.6863864406133997</v>
      </c>
      <c r="T806" s="44">
        <v>-74.051660804982404</v>
      </c>
      <c r="U806" s="22">
        <v>0</v>
      </c>
      <c r="V806" s="22">
        <v>0</v>
      </c>
      <c r="W806" s="25">
        <v>0</v>
      </c>
      <c r="X806" s="24">
        <v>0</v>
      </c>
      <c r="Y806" s="24">
        <v>0</v>
      </c>
      <c r="Z806" s="24">
        <v>0</v>
      </c>
      <c r="AA806" s="24">
        <v>0</v>
      </c>
      <c r="AB806" s="24">
        <v>0</v>
      </c>
      <c r="AC806" s="24">
        <v>0</v>
      </c>
      <c r="AD806" s="24">
        <v>0</v>
      </c>
      <c r="AE806" s="24">
        <v>0</v>
      </c>
      <c r="AF806" s="24">
        <v>0</v>
      </c>
      <c r="AG806" s="16">
        <v>0</v>
      </c>
      <c r="AH806" s="6" t="s">
        <v>82</v>
      </c>
      <c r="AI806" s="31" t="s">
        <v>2311</v>
      </c>
      <c r="AJ806" s="4" t="s">
        <v>124</v>
      </c>
      <c r="AK806" s="16" t="s">
        <v>65</v>
      </c>
      <c r="AM806" s="43">
        <f t="shared" si="52"/>
        <v>0</v>
      </c>
      <c r="AN806" s="1" t="s">
        <v>2345</v>
      </c>
      <c r="AO806" s="1" t="s">
        <v>53</v>
      </c>
    </row>
    <row r="807" spans="1:41" ht="15" customHeight="1" x14ac:dyDescent="0.35">
      <c r="A807" s="6" t="s">
        <v>2346</v>
      </c>
      <c r="B807" s="6" t="s">
        <v>183</v>
      </c>
      <c r="C807" s="6" t="s">
        <v>490</v>
      </c>
      <c r="D807" s="6" t="s">
        <v>491</v>
      </c>
      <c r="F807" s="7">
        <v>5</v>
      </c>
      <c r="G807" s="7" t="s">
        <v>2347</v>
      </c>
      <c r="H807" s="32" t="s">
        <v>64</v>
      </c>
      <c r="I807" s="6" t="s">
        <v>47</v>
      </c>
      <c r="J807" s="5">
        <v>167.21</v>
      </c>
      <c r="K807" s="7">
        <v>946</v>
      </c>
      <c r="L807" s="7">
        <v>1100</v>
      </c>
      <c r="M807" s="7">
        <v>82</v>
      </c>
      <c r="N807" s="2">
        <v>46316</v>
      </c>
      <c r="O807" s="7">
        <f t="shared" si="53"/>
        <v>21</v>
      </c>
      <c r="P807" s="22">
        <f t="shared" si="54"/>
        <v>11</v>
      </c>
      <c r="Q807" s="22">
        <f t="shared" si="55"/>
        <v>31</v>
      </c>
      <c r="R807" s="16">
        <v>0</v>
      </c>
      <c r="S807" s="44">
        <v>10.406155994388</v>
      </c>
      <c r="T807" s="44">
        <v>-75.552516792765502</v>
      </c>
      <c r="U807" s="22">
        <v>0</v>
      </c>
      <c r="V807" s="22">
        <v>0</v>
      </c>
      <c r="W807" s="25">
        <v>0</v>
      </c>
      <c r="X807" s="24">
        <v>0</v>
      </c>
      <c r="Y807" s="24">
        <v>0</v>
      </c>
      <c r="Z807" s="24">
        <v>0</v>
      </c>
      <c r="AA807" s="24">
        <v>0</v>
      </c>
      <c r="AB807" s="24">
        <v>0</v>
      </c>
      <c r="AC807" s="24">
        <v>0</v>
      </c>
      <c r="AD807" s="24">
        <v>0</v>
      </c>
      <c r="AE807" s="24">
        <v>0</v>
      </c>
      <c r="AF807" s="24">
        <v>0</v>
      </c>
      <c r="AG807" s="16">
        <v>0</v>
      </c>
      <c r="AH807" s="16" t="s">
        <v>58</v>
      </c>
      <c r="AI807" s="31" t="s">
        <v>2311</v>
      </c>
      <c r="AJ807" s="4" t="s">
        <v>124</v>
      </c>
      <c r="AK807" s="31" t="s">
        <v>65</v>
      </c>
      <c r="AL807" s="37">
        <v>204160</v>
      </c>
      <c r="AM807" s="43">
        <f t="shared" si="52"/>
        <v>0</v>
      </c>
      <c r="AN807" s="1" t="s">
        <v>979</v>
      </c>
      <c r="AO807" s="1" t="s">
        <v>53</v>
      </c>
    </row>
    <row r="808" spans="1:41" ht="15" customHeight="1" x14ac:dyDescent="0.35">
      <c r="A808" s="6" t="s">
        <v>2348</v>
      </c>
      <c r="B808" s="6" t="s">
        <v>183</v>
      </c>
      <c r="C808" s="6" t="s">
        <v>184</v>
      </c>
      <c r="D808" s="6" t="s">
        <v>185</v>
      </c>
      <c r="F808" s="7">
        <v>0</v>
      </c>
      <c r="G808" s="7" t="s">
        <v>2349</v>
      </c>
      <c r="H808" s="6" t="s">
        <v>64</v>
      </c>
      <c r="I808" s="6" t="s">
        <v>1322</v>
      </c>
      <c r="J808" s="5">
        <v>36.75</v>
      </c>
      <c r="K808" s="7">
        <v>0</v>
      </c>
      <c r="L808" s="7">
        <v>0</v>
      </c>
      <c r="M808" s="7">
        <v>0</v>
      </c>
      <c r="N808" s="2">
        <v>46326</v>
      </c>
      <c r="O808" s="7">
        <f t="shared" si="53"/>
        <v>31</v>
      </c>
      <c r="P808" s="22">
        <f t="shared" si="54"/>
        <v>1</v>
      </c>
      <c r="Q808" s="22">
        <f t="shared" si="55"/>
        <v>31</v>
      </c>
      <c r="R808" s="7">
        <v>0</v>
      </c>
      <c r="S808" s="44">
        <v>10.9946483580395</v>
      </c>
      <c r="T808" s="44">
        <v>-74.792237587079896</v>
      </c>
      <c r="U808" s="22">
        <v>0</v>
      </c>
      <c r="V808" s="22">
        <v>0</v>
      </c>
      <c r="W808" s="25">
        <v>0</v>
      </c>
      <c r="X808" s="24">
        <v>0</v>
      </c>
      <c r="Y808" s="24">
        <v>0</v>
      </c>
      <c r="Z808" s="24">
        <v>0</v>
      </c>
      <c r="AA808" s="24">
        <v>0</v>
      </c>
      <c r="AB808" s="24">
        <v>0</v>
      </c>
      <c r="AC808" s="24">
        <v>0</v>
      </c>
      <c r="AD808" s="24">
        <v>0</v>
      </c>
      <c r="AE808" s="24">
        <v>0</v>
      </c>
      <c r="AF808" s="24">
        <v>0</v>
      </c>
      <c r="AG808" s="16">
        <v>0</v>
      </c>
      <c r="AH808" s="6" t="s">
        <v>130</v>
      </c>
      <c r="AI808" s="31" t="s">
        <v>2311</v>
      </c>
      <c r="AJ808" s="4" t="s">
        <v>124</v>
      </c>
      <c r="AK808" s="31" t="s">
        <v>65</v>
      </c>
      <c r="AM808" s="43">
        <f t="shared" si="52"/>
        <v>0</v>
      </c>
      <c r="AN808" s="1" t="s">
        <v>64</v>
      </c>
      <c r="AO808" s="1" t="s">
        <v>53</v>
      </c>
    </row>
    <row r="809" spans="1:41" ht="15" customHeight="1" x14ac:dyDescent="0.35">
      <c r="A809" s="6" t="s">
        <v>2350</v>
      </c>
      <c r="C809" s="6" t="s">
        <v>43</v>
      </c>
      <c r="D809" s="6" t="s">
        <v>44</v>
      </c>
      <c r="F809" s="7">
        <v>3</v>
      </c>
      <c r="G809" s="7" t="s">
        <v>2351</v>
      </c>
      <c r="H809" s="6" t="s">
        <v>64</v>
      </c>
      <c r="I809" s="6" t="s">
        <v>47</v>
      </c>
      <c r="J809" s="5">
        <v>104.38</v>
      </c>
      <c r="K809" s="7">
        <v>1811</v>
      </c>
      <c r="L809" s="7">
        <v>650</v>
      </c>
      <c r="M809" s="7">
        <v>86</v>
      </c>
      <c r="N809" s="2">
        <v>46321</v>
      </c>
      <c r="O809" s="7">
        <f t="shared" si="53"/>
        <v>26</v>
      </c>
      <c r="P809" s="22">
        <f t="shared" si="54"/>
        <v>6</v>
      </c>
      <c r="Q809" s="22">
        <f t="shared" si="55"/>
        <v>31</v>
      </c>
      <c r="R809" s="7">
        <v>0</v>
      </c>
      <c r="S809" s="44">
        <v>4.6427035999999999</v>
      </c>
      <c r="T809" s="44">
        <v>-74.139196699999999</v>
      </c>
      <c r="U809" s="22">
        <v>0</v>
      </c>
      <c r="V809" s="22">
        <v>0</v>
      </c>
      <c r="W809" s="25">
        <v>0</v>
      </c>
      <c r="X809" s="24">
        <v>0</v>
      </c>
      <c r="Y809" s="24">
        <v>0</v>
      </c>
      <c r="Z809" s="24">
        <v>0</v>
      </c>
      <c r="AA809" s="24">
        <v>0</v>
      </c>
      <c r="AB809" s="24">
        <v>0</v>
      </c>
      <c r="AC809" s="24">
        <v>0</v>
      </c>
      <c r="AD809" s="24">
        <v>0</v>
      </c>
      <c r="AE809" s="24">
        <v>0</v>
      </c>
      <c r="AF809" s="24">
        <v>0</v>
      </c>
      <c r="AG809" s="16">
        <v>0</v>
      </c>
      <c r="AH809" s="6" t="s">
        <v>48</v>
      </c>
      <c r="AI809" s="31" t="s">
        <v>2311</v>
      </c>
      <c r="AJ809" s="4" t="s">
        <v>76</v>
      </c>
      <c r="AK809" s="31" t="s">
        <v>65</v>
      </c>
      <c r="AL809" s="37">
        <v>241000</v>
      </c>
      <c r="AM809" s="43">
        <f t="shared" si="52"/>
        <v>0</v>
      </c>
      <c r="AN809" s="1" t="s">
        <v>510</v>
      </c>
      <c r="AO809" s="1" t="s">
        <v>60</v>
      </c>
    </row>
    <row r="810" spans="1:41" ht="15" customHeight="1" x14ac:dyDescent="0.35">
      <c r="A810" s="6" t="s">
        <v>2352</v>
      </c>
      <c r="B810" s="6" t="s">
        <v>183</v>
      </c>
      <c r="C810" s="6" t="s">
        <v>184</v>
      </c>
      <c r="D810" s="6" t="s">
        <v>185</v>
      </c>
      <c r="F810" s="7">
        <v>3</v>
      </c>
      <c r="G810" s="7" t="s">
        <v>2353</v>
      </c>
      <c r="H810" s="6" t="s">
        <v>64</v>
      </c>
      <c r="I810" s="6" t="s">
        <v>102</v>
      </c>
      <c r="J810" s="5">
        <v>159.04</v>
      </c>
      <c r="K810" s="7">
        <v>1377</v>
      </c>
      <c r="L810" s="7">
        <v>100</v>
      </c>
      <c r="M810" s="7">
        <v>45</v>
      </c>
      <c r="N810" s="2">
        <v>46326</v>
      </c>
      <c r="O810" s="7">
        <f t="shared" si="53"/>
        <v>31</v>
      </c>
      <c r="P810" s="22">
        <f t="shared" si="54"/>
        <v>1</v>
      </c>
      <c r="Q810" s="22">
        <f t="shared" si="55"/>
        <v>31</v>
      </c>
      <c r="R810" s="7">
        <v>0</v>
      </c>
      <c r="S810" s="44">
        <v>11.0179319787708</v>
      </c>
      <c r="T810" s="44">
        <v>-74.813261661297304</v>
      </c>
      <c r="U810" s="22">
        <v>0</v>
      </c>
      <c r="V810" s="22">
        <v>0</v>
      </c>
      <c r="W810" s="25">
        <v>0</v>
      </c>
      <c r="X810" s="24">
        <v>0</v>
      </c>
      <c r="Y810" s="24">
        <v>0</v>
      </c>
      <c r="Z810" s="24">
        <v>0</v>
      </c>
      <c r="AA810" s="24">
        <v>0</v>
      </c>
      <c r="AB810" s="24">
        <v>0</v>
      </c>
      <c r="AC810" s="24">
        <v>0</v>
      </c>
      <c r="AD810" s="24">
        <v>0</v>
      </c>
      <c r="AE810" s="24">
        <v>0</v>
      </c>
      <c r="AF810" s="24">
        <v>0</v>
      </c>
      <c r="AG810" s="16">
        <v>0</v>
      </c>
      <c r="AH810" s="6" t="s">
        <v>48</v>
      </c>
      <c r="AI810" s="31" t="s">
        <v>2311</v>
      </c>
      <c r="AJ810" s="4" t="s">
        <v>76</v>
      </c>
      <c r="AK810" s="31" t="s">
        <v>65</v>
      </c>
      <c r="AM810" s="43">
        <f t="shared" si="52"/>
        <v>0</v>
      </c>
      <c r="AN810" s="1" t="s">
        <v>2354</v>
      </c>
      <c r="AO810" s="1" t="s">
        <v>98</v>
      </c>
    </row>
  </sheetData>
  <autoFilter ref="A1:AO810" xr:uid="{00000000-0001-0000-0000-000000000000}">
    <sortState xmlns:xlrd2="http://schemas.microsoft.com/office/spreadsheetml/2017/richdata2" ref="A2:AO810">
      <sortCondition ref="AI1:AI799"/>
    </sortState>
  </autoFilter>
  <conditionalFormatting sqref="A1:A1048576">
    <cfRule type="duplicateValues" dxfId="7" priority="22"/>
  </conditionalFormatting>
  <conditionalFormatting sqref="G1:G1048576">
    <cfRule type="expression" dxfId="6" priority="2">
      <formula xml:space="preserve"> $AI1 = "ABIERTA-R"</formula>
    </cfRule>
    <cfRule type="expression" dxfId="5" priority="3">
      <formula xml:space="preserve"> $AI1 = "ABIERTA"</formula>
    </cfRule>
    <cfRule type="expression" dxfId="4" priority="4">
      <formula xml:space="preserve"> $AI1 = "CERRADA"</formula>
    </cfRule>
    <cfRule type="expression" dxfId="3" priority="5">
      <formula xml:space="preserve"> $AI1 = "FIRMADA"</formula>
    </cfRule>
    <cfRule type="expression" dxfId="2" priority="6">
      <formula xml:space="preserve"> $AI1 = "OBRA"</formula>
    </cfRule>
    <cfRule type="duplicateValues" dxfId="1" priority="39"/>
  </conditionalFormatting>
  <conditionalFormatting sqref="Y1:AD1048576">
    <cfRule type="cellIs" dxfId="0" priority="20" operator="lessThan">
      <formula>0</formula>
    </cfRule>
  </conditionalFormatting>
  <dataValidations count="2">
    <dataValidation allowBlank="1" showInputMessage="1" showErrorMessage="1" sqref="AI1:AJ1 I2:I1048576 AI776:AJ1048576" xr:uid="{036A7908-7C32-40D5-BAFB-F295BC473477}"/>
    <dataValidation type="list" allowBlank="1" showInputMessage="1" showErrorMessage="1" sqref="I1" xr:uid="{40E321F9-E3BC-4D07-B4D7-C8E13AABA52E}">
      <formula1>#REF!</formula1>
    </dataValidation>
  </dataValidations>
  <pageMargins left="0.7" right="0.7" top="0.75" bottom="0.75" header="0.3" footer="0.3"/>
  <headerFooter>
    <oddFooter>&amp;C_x000D_&amp;1#&amp;"Aptos"&amp;10&amp;K000000 OXXO | Uso Interno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AS92"/>
  <sheetViews>
    <sheetView topLeftCell="A14" workbookViewId="0">
      <selection activeCell="AP1" sqref="AP1"/>
    </sheetView>
  </sheetViews>
  <sheetFormatPr baseColWidth="10" defaultColWidth="8.7265625" defaultRowHeight="14.5" x14ac:dyDescent="0.35"/>
  <cols>
    <col min="1" max="1" width="15.54296875" style="1" bestFit="1" customWidth="1"/>
    <col min="2" max="2" width="21.7265625" style="1" bestFit="1" customWidth="1"/>
    <col min="3" max="3" width="12.54296875" style="11" bestFit="1" customWidth="1"/>
    <col min="4" max="4" width="12.54296875" style="11" customWidth="1"/>
    <col min="5" max="5" width="13" style="11" bestFit="1" customWidth="1"/>
    <col min="6" max="6" width="13" style="11" customWidth="1"/>
    <col min="7" max="7" width="9.1796875" bestFit="1" customWidth="1"/>
    <col min="8" max="8" width="9.1796875" style="1" bestFit="1" customWidth="1"/>
    <col min="9" max="9" width="9.1796875" style="7" bestFit="1" customWidth="1"/>
    <col min="10" max="10" width="9.1796875" style="1"/>
    <col min="12" max="12" width="15" style="1" bestFit="1" customWidth="1"/>
    <col min="13" max="13" width="15" style="1" customWidth="1"/>
    <col min="14" max="14" width="5.54296875" style="1" bestFit="1" customWidth="1"/>
    <col min="17" max="17" width="29.81640625" bestFit="1" customWidth="1"/>
    <col min="18" max="18" width="16.7265625" bestFit="1" customWidth="1"/>
    <col min="19" max="19" width="18" bestFit="1" customWidth="1"/>
    <col min="20" max="20" width="18.453125" bestFit="1" customWidth="1"/>
    <col min="22" max="22" width="18.453125" bestFit="1" customWidth="1"/>
    <col min="23" max="23" width="11.26953125" bestFit="1" customWidth="1"/>
    <col min="24" max="24" width="9.7265625" bestFit="1" customWidth="1"/>
    <col min="25" max="25" width="6" bestFit="1" customWidth="1"/>
    <col min="26" max="26" width="13.26953125" bestFit="1" customWidth="1"/>
    <col min="27" max="27" width="6.1796875" bestFit="1" customWidth="1"/>
    <col min="28" max="28" width="18.453125" bestFit="1" customWidth="1"/>
    <col min="29" max="29" width="6.26953125" bestFit="1" customWidth="1"/>
    <col min="36" max="36" width="19.1796875" bestFit="1" customWidth="1"/>
    <col min="37" max="37" width="31.81640625" bestFit="1" customWidth="1"/>
    <col min="38" max="38" width="5.453125" bestFit="1" customWidth="1"/>
    <col min="39" max="39" width="15" bestFit="1" customWidth="1"/>
    <col min="42" max="42" width="11.54296875" style="3" bestFit="1" customWidth="1"/>
    <col min="43" max="43" width="31.81640625" style="1" bestFit="1" customWidth="1"/>
    <col min="44" max="44" width="6.81640625" style="1" bestFit="1" customWidth="1"/>
    <col min="45" max="45" width="11" style="1" bestFit="1" customWidth="1"/>
  </cols>
  <sheetData>
    <row r="1" spans="1:45" x14ac:dyDescent="0.35">
      <c r="B1" s="1" t="s">
        <v>34</v>
      </c>
      <c r="C1" s="11" t="s">
        <v>18</v>
      </c>
      <c r="D1" s="11" t="s">
        <v>19</v>
      </c>
      <c r="E1" s="11" t="s">
        <v>2355</v>
      </c>
      <c r="H1" s="46"/>
      <c r="I1" s="46"/>
      <c r="J1" s="46"/>
      <c r="K1" s="11"/>
      <c r="Q1" s="47" t="s">
        <v>2356</v>
      </c>
      <c r="R1" s="14" t="s">
        <v>2357</v>
      </c>
      <c r="S1" t="s">
        <v>2358</v>
      </c>
      <c r="T1" t="s">
        <v>2359</v>
      </c>
      <c r="AP1" s="20" t="s">
        <v>2360</v>
      </c>
      <c r="AQ1" s="10" t="s">
        <v>2361</v>
      </c>
      <c r="AR1" s="10" t="s">
        <v>2362</v>
      </c>
      <c r="AS1" s="10" t="s">
        <v>2363</v>
      </c>
    </row>
    <row r="2" spans="1:45" x14ac:dyDescent="0.35">
      <c r="A2" s="1" t="s">
        <v>2364</v>
      </c>
      <c r="B2" s="1" t="s">
        <v>2365</v>
      </c>
      <c r="C2" s="11">
        <v>4.6673352544717597</v>
      </c>
      <c r="D2" s="11">
        <v>-74.064537371985196</v>
      </c>
      <c r="E2" s="11" t="s">
        <v>2366</v>
      </c>
      <c r="H2" s="1" t="s">
        <v>2367</v>
      </c>
      <c r="I2" s="7" t="s">
        <v>2368</v>
      </c>
      <c r="J2" s="1" t="s">
        <v>2369</v>
      </c>
      <c r="K2" s="11"/>
      <c r="L2" s="11"/>
      <c r="M2" s="11"/>
      <c r="Q2" s="47"/>
      <c r="R2" s="1" t="s">
        <v>2370</v>
      </c>
      <c r="S2" s="1" t="s">
        <v>2371</v>
      </c>
      <c r="T2" s="1" t="s">
        <v>2372</v>
      </c>
      <c r="AP2" s="49" t="s">
        <v>2373</v>
      </c>
      <c r="AQ2" s="10" t="s">
        <v>1103</v>
      </c>
      <c r="AR2" s="10">
        <v>1</v>
      </c>
      <c r="AS2" s="10">
        <v>19</v>
      </c>
    </row>
    <row r="3" spans="1:45" x14ac:dyDescent="0.35">
      <c r="A3" s="1" t="s">
        <v>2374</v>
      </c>
      <c r="B3" s="1" t="s">
        <v>2365</v>
      </c>
      <c r="C3" s="11">
        <v>4.7210140016790998</v>
      </c>
      <c r="D3" s="11">
        <v>-74.0687910085949</v>
      </c>
      <c r="E3" s="11" t="s">
        <v>2375</v>
      </c>
      <c r="G3" s="1" t="s">
        <v>2376</v>
      </c>
      <c r="H3" s="1">
        <f>COUNTIF(A:A,"*")</f>
        <v>58</v>
      </c>
      <c r="I3" s="7">
        <f>COUNTIF(E2:E22,"SI")</f>
        <v>10</v>
      </c>
      <c r="J3" s="12">
        <f>I3/H3</f>
        <v>0.17241379310344829</v>
      </c>
      <c r="K3" s="11"/>
      <c r="Q3" s="47"/>
      <c r="R3" s="1">
        <v>8</v>
      </c>
      <c r="S3" s="1">
        <v>4</v>
      </c>
      <c r="T3" s="1">
        <v>12</v>
      </c>
      <c r="AP3" s="50"/>
      <c r="AQ3" s="10" t="s">
        <v>2377</v>
      </c>
      <c r="AR3" s="10">
        <v>2</v>
      </c>
      <c r="AS3" s="10">
        <v>10</v>
      </c>
    </row>
    <row r="4" spans="1:45" x14ac:dyDescent="0.35">
      <c r="A4" s="1" t="s">
        <v>2378</v>
      </c>
      <c r="B4" s="1" t="s">
        <v>2365</v>
      </c>
      <c r="C4" s="11">
        <v>4.6423536326053298</v>
      </c>
      <c r="D4" s="11">
        <v>-74.076128167576996</v>
      </c>
      <c r="E4" s="11" t="s">
        <v>2375</v>
      </c>
      <c r="G4" s="1" t="s">
        <v>49</v>
      </c>
      <c r="H4" s="13">
        <f>COUNTIF(B:B,"ABIERTA")</f>
        <v>9</v>
      </c>
      <c r="I4" s="7">
        <f>COUNTIFS(B:B,"ABIERTA",E:E,"SI")</f>
        <v>6</v>
      </c>
      <c r="J4" s="12">
        <f>I4/H4</f>
        <v>0.66666666666666663</v>
      </c>
      <c r="K4" s="11"/>
      <c r="O4" s="1"/>
      <c r="P4" s="1"/>
      <c r="Q4" s="47" t="s">
        <v>2379</v>
      </c>
      <c r="R4" s="1" t="s">
        <v>2357</v>
      </c>
      <c r="S4" s="1" t="s">
        <v>2380</v>
      </c>
      <c r="T4" s="1"/>
      <c r="AP4" s="50"/>
      <c r="AQ4" s="10" t="s">
        <v>647</v>
      </c>
      <c r="AR4" s="10">
        <v>3</v>
      </c>
      <c r="AS4" s="10">
        <v>10</v>
      </c>
    </row>
    <row r="5" spans="1:45" x14ac:dyDescent="0.35">
      <c r="A5" s="1" t="s">
        <v>2381</v>
      </c>
      <c r="B5" s="1" t="s">
        <v>2365</v>
      </c>
      <c r="C5" s="11">
        <v>4.64244481312143</v>
      </c>
      <c r="D5" s="11">
        <v>-74.076634729234797</v>
      </c>
      <c r="E5" s="11" t="s">
        <v>2375</v>
      </c>
      <c r="G5" s="1" t="s">
        <v>2365</v>
      </c>
      <c r="H5" s="1">
        <f>COUNTIF(B:B,"PRESENTADO")</f>
        <v>11</v>
      </c>
      <c r="I5" s="7">
        <f>COUNTIFS(B:B,"PRESENTADO",E:E,"SI")</f>
        <v>3</v>
      </c>
      <c r="J5" s="12">
        <f>I5/H5</f>
        <v>0.27272727272727271</v>
      </c>
      <c r="K5" s="11"/>
      <c r="O5" s="1"/>
      <c r="Q5" s="47"/>
      <c r="R5" s="1" t="s">
        <v>2370</v>
      </c>
      <c r="S5" s="1" t="s">
        <v>2372</v>
      </c>
      <c r="AP5" s="50"/>
      <c r="AQ5" s="10" t="s">
        <v>311</v>
      </c>
      <c r="AR5" s="10">
        <v>4</v>
      </c>
      <c r="AS5" s="10">
        <v>20</v>
      </c>
    </row>
    <row r="6" spans="1:45" x14ac:dyDescent="0.35">
      <c r="A6" s="1" t="s">
        <v>2382</v>
      </c>
      <c r="B6" s="1" t="s">
        <v>49</v>
      </c>
      <c r="C6" s="11">
        <v>4.7014306000000001</v>
      </c>
      <c r="D6" s="11">
        <v>-74.049527800000007</v>
      </c>
      <c r="E6" s="11" t="s">
        <v>2366</v>
      </c>
      <c r="J6" s="11"/>
      <c r="K6" s="11"/>
      <c r="Q6" s="47"/>
      <c r="R6" s="1">
        <v>8</v>
      </c>
      <c r="S6" s="1">
        <v>8</v>
      </c>
      <c r="AP6" s="50"/>
      <c r="AQ6" s="10" t="s">
        <v>1207</v>
      </c>
      <c r="AR6" s="10">
        <v>5</v>
      </c>
      <c r="AS6" s="10">
        <v>6</v>
      </c>
    </row>
    <row r="7" spans="1:45" x14ac:dyDescent="0.35">
      <c r="A7" s="1" t="s">
        <v>2383</v>
      </c>
      <c r="B7" s="1" t="s">
        <v>49</v>
      </c>
      <c r="C7" s="11">
        <v>4.6439482804174803</v>
      </c>
      <c r="D7" s="11">
        <v>-74.111977276601095</v>
      </c>
      <c r="E7" s="11" t="s">
        <v>2375</v>
      </c>
      <c r="J7" s="11"/>
      <c r="K7" s="11"/>
      <c r="AP7" s="51"/>
      <c r="AQ7" s="10" t="s">
        <v>1608</v>
      </c>
      <c r="AR7" s="10">
        <v>6</v>
      </c>
      <c r="AS7" s="10">
        <v>25</v>
      </c>
    </row>
    <row r="8" spans="1:45" x14ac:dyDescent="0.35">
      <c r="A8" s="1" t="s">
        <v>2384</v>
      </c>
      <c r="B8" s="1" t="s">
        <v>2365</v>
      </c>
      <c r="C8" s="11">
        <v>4.6506798398654903</v>
      </c>
      <c r="D8" s="11">
        <v>-74.063469444552297</v>
      </c>
      <c r="E8" s="11" t="s">
        <v>2375</v>
      </c>
      <c r="J8" s="11"/>
      <c r="K8" s="11"/>
      <c r="O8" s="1"/>
      <c r="P8" s="1"/>
      <c r="Q8" s="1"/>
      <c r="R8" s="1"/>
      <c r="S8" s="1"/>
      <c r="T8" s="1"/>
      <c r="U8" s="1"/>
      <c r="V8" s="1"/>
      <c r="W8" s="1"/>
      <c r="AP8" s="49" t="s">
        <v>2385</v>
      </c>
      <c r="AQ8" s="10" t="s">
        <v>463</v>
      </c>
      <c r="AR8" s="10">
        <v>1</v>
      </c>
      <c r="AS8" s="10">
        <v>4</v>
      </c>
    </row>
    <row r="9" spans="1:45" x14ac:dyDescent="0.35">
      <c r="A9" s="1" t="s">
        <v>2386</v>
      </c>
      <c r="B9" s="1" t="s">
        <v>2365</v>
      </c>
      <c r="C9" s="11">
        <v>4.7210140016790998</v>
      </c>
      <c r="D9" s="11">
        <v>-74.0687910085949</v>
      </c>
      <c r="E9" s="11" t="s">
        <v>2375</v>
      </c>
      <c r="G9" t="s">
        <v>1453</v>
      </c>
      <c r="I9" s="7" t="str">
        <f>PROPER(G9)</f>
        <v>Parque Conquistadores</v>
      </c>
      <c r="J9" s="7" t="str">
        <f>PROPER(H9)</f>
        <v/>
      </c>
      <c r="K9" s="11"/>
      <c r="O9" s="1"/>
      <c r="P9" s="1"/>
      <c r="AP9" s="50"/>
      <c r="AQ9" s="10" t="s">
        <v>2387</v>
      </c>
      <c r="AR9" s="10">
        <v>2</v>
      </c>
      <c r="AS9" s="10">
        <v>19</v>
      </c>
    </row>
    <row r="10" spans="1:45" x14ac:dyDescent="0.35">
      <c r="A10" s="1" t="s">
        <v>2388</v>
      </c>
      <c r="B10" s="1" t="s">
        <v>2365</v>
      </c>
      <c r="C10" s="11">
        <v>4.5580049487289998</v>
      </c>
      <c r="D10" s="11">
        <v>-74.121943450000003</v>
      </c>
      <c r="E10" s="11" t="s">
        <v>2375</v>
      </c>
      <c r="G10" t="s">
        <v>564</v>
      </c>
      <c r="I10" s="7" t="str">
        <f t="shared" ref="I10:I11" si="0">PROPER(G10)</f>
        <v>Cc Caracas</v>
      </c>
      <c r="J10" s="11"/>
      <c r="K10" s="11"/>
      <c r="O10" s="1"/>
      <c r="P10" s="1"/>
      <c r="R10" s="18"/>
      <c r="S10" s="18"/>
      <c r="T10" s="18"/>
      <c r="U10" s="18"/>
      <c r="V10" s="18"/>
      <c r="W10" s="18"/>
      <c r="X10" s="18"/>
      <c r="Y10" s="18"/>
      <c r="Z10" s="18"/>
      <c r="AP10" s="50"/>
      <c r="AQ10" s="10" t="s">
        <v>240</v>
      </c>
      <c r="AR10" s="10">
        <v>3</v>
      </c>
      <c r="AS10" s="10">
        <v>8</v>
      </c>
    </row>
    <row r="11" spans="1:45" x14ac:dyDescent="0.35">
      <c r="A11" s="1" t="s">
        <v>2389</v>
      </c>
      <c r="B11" s="1" t="s">
        <v>49</v>
      </c>
      <c r="C11" s="11">
        <v>4.73201161443383</v>
      </c>
      <c r="D11" s="11">
        <v>-74.050173720240494</v>
      </c>
      <c r="E11" s="11" t="s">
        <v>2366</v>
      </c>
      <c r="G11" t="s">
        <v>1263</v>
      </c>
      <c r="I11" s="7" t="str">
        <f t="shared" si="0"/>
        <v>Low</v>
      </c>
      <c r="J11" s="11"/>
      <c r="K11" s="11"/>
      <c r="O11" s="1"/>
      <c r="P11" s="1"/>
      <c r="AP11" s="50"/>
      <c r="AQ11" s="10" t="s">
        <v>447</v>
      </c>
      <c r="AR11" s="10">
        <v>4</v>
      </c>
      <c r="AS11" s="10">
        <v>16</v>
      </c>
    </row>
    <row r="12" spans="1:45" x14ac:dyDescent="0.35">
      <c r="A12" s="1" t="s">
        <v>2390</v>
      </c>
      <c r="B12" s="1" t="s">
        <v>2365</v>
      </c>
      <c r="C12" s="11">
        <v>4.6816473293150001</v>
      </c>
      <c r="D12" s="11">
        <v>-74.044741677910906</v>
      </c>
      <c r="E12" s="11" t="s">
        <v>2366</v>
      </c>
      <c r="J12" s="11"/>
      <c r="K12" s="11"/>
      <c r="O12" s="1"/>
      <c r="P12" s="1"/>
      <c r="Q12" s="1"/>
      <c r="R12" s="1"/>
      <c r="S12" s="1"/>
      <c r="T12" s="1"/>
      <c r="U12" s="1"/>
      <c r="V12" s="1"/>
      <c r="W12" s="1"/>
      <c r="AP12" s="50"/>
      <c r="AQ12" s="10" t="s">
        <v>85</v>
      </c>
      <c r="AR12" s="10">
        <v>5</v>
      </c>
      <c r="AS12" s="10">
        <v>39</v>
      </c>
    </row>
    <row r="13" spans="1:45" x14ac:dyDescent="0.35">
      <c r="A13" s="1" t="s">
        <v>2391</v>
      </c>
      <c r="B13" s="1" t="s">
        <v>49</v>
      </c>
      <c r="C13" s="11">
        <v>4.6624724999999998</v>
      </c>
      <c r="D13" s="11">
        <v>-74.059403399999994</v>
      </c>
      <c r="E13" s="11" t="s">
        <v>2366</v>
      </c>
      <c r="J13" s="11"/>
      <c r="K13" s="11"/>
      <c r="O13" s="1"/>
      <c r="P13" s="1"/>
      <c r="Q13" s="1"/>
      <c r="R13" s="1"/>
      <c r="S13" s="1"/>
      <c r="T13" s="1"/>
      <c r="U13" s="1"/>
      <c r="V13" s="1"/>
      <c r="W13" s="1"/>
      <c r="AP13" s="50"/>
      <c r="AQ13" s="10" t="s">
        <v>236</v>
      </c>
      <c r="AR13" s="10">
        <v>6</v>
      </c>
      <c r="AS13" s="10">
        <v>39</v>
      </c>
    </row>
    <row r="14" spans="1:45" x14ac:dyDescent="0.35">
      <c r="A14" s="1" t="s">
        <v>2392</v>
      </c>
      <c r="B14" s="1" t="s">
        <v>2365</v>
      </c>
      <c r="C14" s="11">
        <v>4.6506798398654903</v>
      </c>
      <c r="D14" s="11">
        <v>-74.063469444552297</v>
      </c>
      <c r="E14" s="11" t="s">
        <v>2375</v>
      </c>
      <c r="O14" s="1"/>
      <c r="P14" s="1"/>
      <c r="W14" s="1"/>
      <c r="X14" s="1" t="s">
        <v>2393</v>
      </c>
      <c r="Y14" s="1" t="s">
        <v>2394</v>
      </c>
      <c r="Z14" s="1" t="s">
        <v>2395</v>
      </c>
      <c r="AA14" s="1" t="s">
        <v>2396</v>
      </c>
      <c r="AB14" s="1" t="s">
        <v>2397</v>
      </c>
      <c r="AC14" s="1" t="s">
        <v>2398</v>
      </c>
      <c r="AP14" s="50"/>
      <c r="AQ14" s="10" t="s">
        <v>1270</v>
      </c>
      <c r="AR14" s="10">
        <v>7</v>
      </c>
      <c r="AS14" s="10">
        <v>16</v>
      </c>
    </row>
    <row r="15" spans="1:45" x14ac:dyDescent="0.35">
      <c r="A15" s="1" t="s">
        <v>2399</v>
      </c>
      <c r="B15" s="1" t="s">
        <v>2365</v>
      </c>
      <c r="C15" s="11">
        <v>4.6869306044296701</v>
      </c>
      <c r="D15" s="11">
        <v>-74.129895877251201</v>
      </c>
      <c r="E15" s="11" t="s">
        <v>2366</v>
      </c>
      <c r="O15" s="1"/>
      <c r="P15" s="1"/>
      <c r="W15" s="1" t="s">
        <v>2385</v>
      </c>
      <c r="X15" s="1">
        <v>242</v>
      </c>
      <c r="Y15" s="12">
        <f>X15/$X$20</f>
        <v>0.18876755070202808</v>
      </c>
      <c r="Z15" s="1">
        <v>206</v>
      </c>
      <c r="AA15" s="12">
        <f>Z15/$Z$20</f>
        <v>0.18778486782133091</v>
      </c>
      <c r="AB15" s="1">
        <v>171</v>
      </c>
      <c r="AC15" s="12">
        <f>AB15/$AB$20</f>
        <v>0.21189591078066913</v>
      </c>
      <c r="AD15" s="18"/>
      <c r="AJ15" t="s">
        <v>2400</v>
      </c>
      <c r="AK15" t="s">
        <v>2401</v>
      </c>
      <c r="AL15" t="s">
        <v>2401</v>
      </c>
      <c r="AM15" t="s">
        <v>2401</v>
      </c>
      <c r="AP15" s="50"/>
      <c r="AQ15" s="10" t="s">
        <v>56</v>
      </c>
      <c r="AR15" s="10">
        <v>8</v>
      </c>
      <c r="AS15" s="10">
        <v>15</v>
      </c>
    </row>
    <row r="16" spans="1:45" x14ac:dyDescent="0.35">
      <c r="A16" s="1" t="s">
        <v>2402</v>
      </c>
      <c r="B16" s="1" t="s">
        <v>49</v>
      </c>
      <c r="C16" s="11">
        <v>4.6293951535842996</v>
      </c>
      <c r="D16" s="11">
        <v>-74.066923790093398</v>
      </c>
      <c r="E16" s="11" t="s">
        <v>2375</v>
      </c>
      <c r="O16" s="1"/>
      <c r="P16" s="1"/>
      <c r="W16" s="1" t="s">
        <v>2403</v>
      </c>
      <c r="X16" s="1">
        <v>240</v>
      </c>
      <c r="Y16" s="12">
        <f>X16/$X$20</f>
        <v>0.18720748829953199</v>
      </c>
      <c r="Z16" s="1">
        <v>211</v>
      </c>
      <c r="AA16" s="12">
        <f>Z16/$Z$20</f>
        <v>0.19234275296262535</v>
      </c>
      <c r="AB16" s="1">
        <v>149</v>
      </c>
      <c r="AC16" s="12">
        <f>AB16/$AB$20</f>
        <v>0.18463444857496902</v>
      </c>
      <c r="AD16" s="18"/>
      <c r="AJ16" t="s">
        <v>2404</v>
      </c>
      <c r="AK16" t="s">
        <v>2405</v>
      </c>
      <c r="AL16" t="s">
        <v>2406</v>
      </c>
      <c r="AM16" t="s">
        <v>2407</v>
      </c>
      <c r="AP16" s="51"/>
      <c r="AQ16" s="10" t="s">
        <v>2289</v>
      </c>
      <c r="AR16" s="10">
        <v>9</v>
      </c>
      <c r="AS16" s="10">
        <v>15</v>
      </c>
    </row>
    <row r="17" spans="1:45" x14ac:dyDescent="0.35">
      <c r="A17" s="1" t="s">
        <v>2408</v>
      </c>
      <c r="B17" s="1" t="s">
        <v>49</v>
      </c>
      <c r="C17" s="11">
        <v>4.6277341664376701</v>
      </c>
      <c r="D17" s="11">
        <v>-74.067368720780607</v>
      </c>
      <c r="E17" s="11" t="s">
        <v>2366</v>
      </c>
      <c r="O17" s="1"/>
      <c r="P17" s="1"/>
      <c r="W17" s="1" t="s">
        <v>2409</v>
      </c>
      <c r="X17" s="1">
        <v>201</v>
      </c>
      <c r="Y17" s="12">
        <f>X17/$X$20</f>
        <v>0.15678627145085802</v>
      </c>
      <c r="Z17" s="1">
        <v>139</v>
      </c>
      <c r="AA17" s="12">
        <f>Z17/$Z$20</f>
        <v>0.1267092069279854</v>
      </c>
      <c r="AB17" s="1">
        <v>88</v>
      </c>
      <c r="AC17" s="12">
        <f>AB17/$AB$20</f>
        <v>0.1090458488228005</v>
      </c>
      <c r="AD17" s="18"/>
      <c r="AJ17" t="s">
        <v>2373</v>
      </c>
      <c r="AK17" t="s">
        <v>1103</v>
      </c>
      <c r="AL17">
        <v>19</v>
      </c>
      <c r="AM17">
        <v>1</v>
      </c>
      <c r="AP17" s="49" t="s">
        <v>2410</v>
      </c>
      <c r="AQ17" s="10" t="s">
        <v>2411</v>
      </c>
      <c r="AR17" s="10">
        <v>1</v>
      </c>
      <c r="AS17" s="10">
        <v>13</v>
      </c>
    </row>
    <row r="18" spans="1:45" x14ac:dyDescent="0.35">
      <c r="A18" s="1" t="s">
        <v>2412</v>
      </c>
      <c r="B18" s="1" t="s">
        <v>2290</v>
      </c>
      <c r="C18" s="11">
        <v>4.59464398947165</v>
      </c>
      <c r="D18" s="11">
        <v>-74.075474658847497</v>
      </c>
      <c r="E18" s="11" t="s">
        <v>2366</v>
      </c>
      <c r="O18" s="1"/>
      <c r="P18" s="1"/>
      <c r="W18" s="1" t="s">
        <v>2413</v>
      </c>
      <c r="X18" s="1">
        <v>250</v>
      </c>
      <c r="Y18" s="12">
        <f>X18/$X$20</f>
        <v>0.19500780031201248</v>
      </c>
      <c r="Z18" s="1">
        <v>209</v>
      </c>
      <c r="AA18" s="12">
        <f>Z18/$Z$20</f>
        <v>0.19051959890610756</v>
      </c>
      <c r="AB18" s="1">
        <v>147</v>
      </c>
      <c r="AC18" s="12">
        <f>AB18/$AB$20</f>
        <v>0.18215613382899629</v>
      </c>
      <c r="AD18" s="18"/>
      <c r="AJ18" t="s">
        <v>2401</v>
      </c>
      <c r="AK18" t="s">
        <v>2377</v>
      </c>
      <c r="AL18">
        <v>10</v>
      </c>
      <c r="AM18">
        <v>2</v>
      </c>
      <c r="AP18" s="50"/>
      <c r="AQ18" s="10" t="s">
        <v>634</v>
      </c>
      <c r="AR18" s="10">
        <v>2</v>
      </c>
      <c r="AS18" s="10">
        <v>10</v>
      </c>
    </row>
    <row r="19" spans="1:45" x14ac:dyDescent="0.35">
      <c r="A19" s="1" t="s">
        <v>2414</v>
      </c>
      <c r="B19" s="1" t="s">
        <v>2365</v>
      </c>
      <c r="C19" s="11">
        <v>4.6440760382328703</v>
      </c>
      <c r="D19" s="11">
        <v>-74.064006342328099</v>
      </c>
      <c r="E19" s="11" t="s">
        <v>2375</v>
      </c>
      <c r="O19" s="1"/>
      <c r="P19" s="1"/>
      <c r="W19" s="1" t="s">
        <v>2415</v>
      </c>
      <c r="X19" s="1">
        <v>349</v>
      </c>
      <c r="Y19" s="12">
        <f>X19/$X$20</f>
        <v>0.27223088923556943</v>
      </c>
      <c r="Z19" s="1">
        <v>332</v>
      </c>
      <c r="AA19" s="12">
        <f>Z19/$Z$20</f>
        <v>0.30264357338195075</v>
      </c>
      <c r="AB19" s="1">
        <v>252</v>
      </c>
      <c r="AC19" s="12">
        <f>AB19/$AB$20</f>
        <v>0.31226765799256506</v>
      </c>
      <c r="AD19" s="18"/>
      <c r="AJ19" t="s">
        <v>2401</v>
      </c>
      <c r="AK19" t="s">
        <v>647</v>
      </c>
      <c r="AL19">
        <v>10</v>
      </c>
      <c r="AM19">
        <v>3</v>
      </c>
      <c r="AP19" s="50"/>
      <c r="AQ19" s="10" t="s">
        <v>407</v>
      </c>
      <c r="AR19" s="10">
        <v>3</v>
      </c>
      <c r="AS19" s="10">
        <v>11</v>
      </c>
    </row>
    <row r="20" spans="1:45" x14ac:dyDescent="0.35">
      <c r="A20" s="1" t="s">
        <v>2416</v>
      </c>
      <c r="B20" s="1" t="s">
        <v>49</v>
      </c>
      <c r="C20" s="11">
        <v>4.6477949652249002</v>
      </c>
      <c r="D20" s="11">
        <v>-74.063674042724699</v>
      </c>
      <c r="E20" s="11" t="s">
        <v>2366</v>
      </c>
      <c r="O20" s="1"/>
      <c r="P20" s="1"/>
      <c r="W20" s="1" t="s">
        <v>2376</v>
      </c>
      <c r="X20" s="1">
        <f>SUM(X15:X19)</f>
        <v>1282</v>
      </c>
      <c r="Y20" s="12">
        <f>SUM(Y15:Y19)</f>
        <v>1</v>
      </c>
      <c r="Z20" s="1">
        <f t="shared" ref="Z20:AA20" si="1">SUM(Z15:Z19)</f>
        <v>1097</v>
      </c>
      <c r="AA20" s="12">
        <f t="shared" si="1"/>
        <v>1</v>
      </c>
      <c r="AB20" s="1">
        <f>SUM(AB15:AB19)</f>
        <v>807</v>
      </c>
      <c r="AC20" s="12">
        <f>SUM(AC15:AC19)</f>
        <v>1</v>
      </c>
      <c r="AJ20" t="s">
        <v>2401</v>
      </c>
      <c r="AK20" t="s">
        <v>311</v>
      </c>
      <c r="AL20">
        <v>20</v>
      </c>
      <c r="AM20">
        <v>4</v>
      </c>
      <c r="AP20" s="50"/>
      <c r="AQ20" s="10" t="s">
        <v>811</v>
      </c>
      <c r="AR20" s="10">
        <v>4</v>
      </c>
      <c r="AS20" s="10">
        <v>4</v>
      </c>
    </row>
    <row r="21" spans="1:45" x14ac:dyDescent="0.35">
      <c r="A21" s="1" t="s">
        <v>2417</v>
      </c>
      <c r="B21" s="1" t="s">
        <v>49</v>
      </c>
      <c r="C21" s="11">
        <v>4.6036738740638796</v>
      </c>
      <c r="D21" s="11">
        <v>-74.072206275191903</v>
      </c>
      <c r="E21" s="11" t="s">
        <v>2366</v>
      </c>
      <c r="O21" s="1"/>
      <c r="P21" s="1"/>
      <c r="Q21" s="1"/>
      <c r="R21" s="1"/>
      <c r="S21" s="1"/>
      <c r="T21" s="1"/>
      <c r="U21" s="1"/>
      <c r="V21" s="1"/>
      <c r="W21" s="1"/>
      <c r="AJ21" t="s">
        <v>2401</v>
      </c>
      <c r="AK21" t="s">
        <v>1207</v>
      </c>
      <c r="AL21">
        <v>6</v>
      </c>
      <c r="AM21">
        <v>5</v>
      </c>
      <c r="AP21" s="50"/>
      <c r="AQ21" s="10" t="s">
        <v>308</v>
      </c>
      <c r="AR21" s="10">
        <v>5</v>
      </c>
      <c r="AS21" s="10">
        <v>13</v>
      </c>
    </row>
    <row r="22" spans="1:45" x14ac:dyDescent="0.35">
      <c r="A22" s="1" t="s">
        <v>2418</v>
      </c>
      <c r="B22" s="1" t="s">
        <v>49</v>
      </c>
      <c r="C22" s="11">
        <v>4.7085949999999999</v>
      </c>
      <c r="D22" s="11">
        <v>-74.135713999999993</v>
      </c>
      <c r="E22" s="11" t="s">
        <v>2375</v>
      </c>
      <c r="O22" s="1"/>
      <c r="P22" s="1"/>
      <c r="Q22" s="1"/>
      <c r="R22" s="1"/>
      <c r="S22" s="1"/>
      <c r="T22" s="1"/>
      <c r="U22" s="1"/>
      <c r="V22" s="1"/>
      <c r="W22" s="1"/>
      <c r="X22" s="1" t="s">
        <v>2393</v>
      </c>
      <c r="Y22" s="1" t="s">
        <v>2394</v>
      </c>
      <c r="Z22" s="1" t="s">
        <v>2395</v>
      </c>
      <c r="AA22" s="1" t="s">
        <v>2396</v>
      </c>
      <c r="AB22" s="1" t="s">
        <v>2397</v>
      </c>
      <c r="AC22" s="1" t="s">
        <v>2398</v>
      </c>
      <c r="AJ22" t="s">
        <v>2401</v>
      </c>
      <c r="AK22" t="s">
        <v>1608</v>
      </c>
      <c r="AL22">
        <v>25</v>
      </c>
      <c r="AM22">
        <v>6</v>
      </c>
      <c r="AP22" s="50"/>
      <c r="AQ22" s="10" t="s">
        <v>1215</v>
      </c>
      <c r="AR22" s="10">
        <v>6</v>
      </c>
      <c r="AS22" s="10">
        <v>3</v>
      </c>
    </row>
    <row r="23" spans="1:45" x14ac:dyDescent="0.35">
      <c r="O23" s="1"/>
      <c r="P23" s="1"/>
      <c r="Q23" s="1"/>
      <c r="R23" s="1"/>
      <c r="S23" s="1"/>
      <c r="T23" s="1"/>
      <c r="U23" s="1"/>
      <c r="V23" s="1"/>
      <c r="W23" s="1" t="s">
        <v>2419</v>
      </c>
      <c r="X23" s="1">
        <v>367</v>
      </c>
      <c r="Y23" s="12">
        <f>X23/$X$28</f>
        <v>0.3288530465949821</v>
      </c>
      <c r="Z23" s="1">
        <v>285</v>
      </c>
      <c r="AA23" s="12">
        <f>Z23/$Z$28</f>
        <v>0.3392857142857143</v>
      </c>
      <c r="AB23" s="1">
        <v>239</v>
      </c>
      <c r="AC23" s="12">
        <f>AB23/$AB$28</f>
        <v>0.33757062146892658</v>
      </c>
      <c r="AJ23" t="s">
        <v>2420</v>
      </c>
      <c r="AK23" t="s">
        <v>2401</v>
      </c>
      <c r="AL23">
        <v>90</v>
      </c>
      <c r="AM23" t="s">
        <v>2401</v>
      </c>
      <c r="AP23" s="50"/>
      <c r="AQ23" s="10" t="s">
        <v>2421</v>
      </c>
      <c r="AR23" s="10">
        <v>7</v>
      </c>
      <c r="AS23" s="10">
        <v>15</v>
      </c>
    </row>
    <row r="24" spans="1:45" x14ac:dyDescent="0.35">
      <c r="O24" s="1"/>
      <c r="P24" s="1"/>
      <c r="Q24" s="1"/>
      <c r="R24" s="1"/>
      <c r="S24" s="1"/>
      <c r="T24" s="1"/>
      <c r="U24" s="1"/>
      <c r="V24" s="1"/>
      <c r="W24" s="1" t="s">
        <v>2410</v>
      </c>
      <c r="X24" s="1">
        <v>332</v>
      </c>
      <c r="Y24" s="12">
        <f t="shared" ref="Y24:Y27" si="2">X24/$X$28</f>
        <v>0.29749103942652327</v>
      </c>
      <c r="Z24" s="1">
        <v>193</v>
      </c>
      <c r="AA24" s="12">
        <f t="shared" ref="AA24:AA27" si="3">Z24/$Z$28</f>
        <v>0.22976190476190475</v>
      </c>
      <c r="AB24" s="1">
        <v>153</v>
      </c>
      <c r="AC24" s="12">
        <f t="shared" ref="AC24:AC27" si="4">AB24/$AB$28</f>
        <v>0.21610169491525424</v>
      </c>
      <c r="AJ24" s="19" t="s">
        <v>2385</v>
      </c>
      <c r="AK24" t="s">
        <v>463</v>
      </c>
      <c r="AL24">
        <v>4</v>
      </c>
      <c r="AM24">
        <v>1</v>
      </c>
      <c r="AP24" s="50"/>
      <c r="AQ24" s="10" t="s">
        <v>286</v>
      </c>
      <c r="AR24" s="10">
        <v>8</v>
      </c>
      <c r="AS24" s="10">
        <v>26</v>
      </c>
    </row>
    <row r="25" spans="1:45" x14ac:dyDescent="0.35">
      <c r="A25" s="1" t="s">
        <v>2422</v>
      </c>
      <c r="B25" s="1" t="s">
        <v>2423</v>
      </c>
      <c r="C25" s="11" t="s">
        <v>2401</v>
      </c>
      <c r="D25" s="2">
        <v>45932</v>
      </c>
      <c r="E25" s="11" t="s">
        <v>2424</v>
      </c>
      <c r="F25" s="11" t="s">
        <v>2425</v>
      </c>
      <c r="G25" s="11"/>
      <c r="O25" s="1"/>
      <c r="P25" s="1"/>
      <c r="Q25" s="1"/>
      <c r="R25" s="1"/>
      <c r="S25" s="1"/>
      <c r="T25" s="1"/>
      <c r="U25" s="1"/>
      <c r="V25" s="1"/>
      <c r="W25" s="1" t="s">
        <v>2426</v>
      </c>
      <c r="X25" s="1">
        <v>179</v>
      </c>
      <c r="Y25" s="12">
        <f t="shared" si="2"/>
        <v>0.1603942652329749</v>
      </c>
      <c r="Z25" s="1">
        <v>171</v>
      </c>
      <c r="AA25" s="12">
        <f t="shared" si="3"/>
        <v>0.20357142857142857</v>
      </c>
      <c r="AB25" s="1">
        <v>156</v>
      </c>
      <c r="AC25" s="12">
        <f t="shared" si="4"/>
        <v>0.22033898305084745</v>
      </c>
      <c r="AJ25" t="s">
        <v>2401</v>
      </c>
      <c r="AK25" t="s">
        <v>2387</v>
      </c>
      <c r="AL25">
        <v>19</v>
      </c>
      <c r="AM25">
        <v>2</v>
      </c>
      <c r="AP25" s="50"/>
      <c r="AQ25" s="10" t="s">
        <v>705</v>
      </c>
      <c r="AR25" s="10">
        <v>9</v>
      </c>
      <c r="AS25" s="10">
        <v>31</v>
      </c>
    </row>
    <row r="26" spans="1:45" x14ac:dyDescent="0.35">
      <c r="A26" s="1" t="s">
        <v>2422</v>
      </c>
      <c r="B26" s="1" t="s">
        <v>2427</v>
      </c>
      <c r="C26" s="11" t="s">
        <v>2401</v>
      </c>
      <c r="D26" s="2">
        <v>45946</v>
      </c>
      <c r="E26" s="11" t="s">
        <v>2428</v>
      </c>
      <c r="F26" s="11" t="s">
        <v>2425</v>
      </c>
      <c r="O26" s="1"/>
      <c r="P26" s="1"/>
      <c r="Q26" s="1"/>
      <c r="R26" s="1"/>
      <c r="S26" s="1"/>
      <c r="T26" s="1"/>
      <c r="U26" s="1"/>
      <c r="V26" s="1"/>
      <c r="W26" s="1" t="s">
        <v>2373</v>
      </c>
      <c r="X26" s="1">
        <v>138</v>
      </c>
      <c r="Y26" s="12">
        <f t="shared" si="2"/>
        <v>0.12365591397849462</v>
      </c>
      <c r="Z26" s="1">
        <v>108</v>
      </c>
      <c r="AA26" s="12">
        <f t="shared" si="3"/>
        <v>0.12857142857142856</v>
      </c>
      <c r="AB26" s="1">
        <v>90</v>
      </c>
      <c r="AC26" s="12">
        <f t="shared" si="4"/>
        <v>0.1271186440677966</v>
      </c>
      <c r="AJ26" t="s">
        <v>2401</v>
      </c>
      <c r="AK26" t="s">
        <v>240</v>
      </c>
      <c r="AL26">
        <v>8</v>
      </c>
      <c r="AM26">
        <v>3</v>
      </c>
      <c r="AP26" s="50"/>
      <c r="AQ26" s="10" t="s">
        <v>2429</v>
      </c>
      <c r="AR26" s="10">
        <v>10</v>
      </c>
      <c r="AS26" s="10">
        <v>4</v>
      </c>
    </row>
    <row r="27" spans="1:45" x14ac:dyDescent="0.35">
      <c r="A27" s="1" t="s">
        <v>2422</v>
      </c>
      <c r="B27" s="1" t="s">
        <v>2430</v>
      </c>
      <c r="C27" s="11" t="s">
        <v>2401</v>
      </c>
      <c r="D27" s="2">
        <v>45947</v>
      </c>
      <c r="E27" s="11" t="s">
        <v>2424</v>
      </c>
      <c r="F27" s="11" t="s">
        <v>2425</v>
      </c>
      <c r="O27" s="1"/>
      <c r="P27" s="1"/>
      <c r="Q27" s="1"/>
      <c r="R27" s="1"/>
      <c r="S27" s="1"/>
      <c r="T27" s="1"/>
      <c r="U27" s="1"/>
      <c r="V27" s="1"/>
      <c r="W27" s="1" t="s">
        <v>2431</v>
      </c>
      <c r="X27" s="1">
        <v>100</v>
      </c>
      <c r="Y27" s="12">
        <f t="shared" si="2"/>
        <v>8.9605734767025089E-2</v>
      </c>
      <c r="Z27" s="1">
        <v>83</v>
      </c>
      <c r="AA27" s="12">
        <f t="shared" si="3"/>
        <v>9.8809523809523805E-2</v>
      </c>
      <c r="AB27" s="1">
        <v>70</v>
      </c>
      <c r="AC27" s="12">
        <f t="shared" si="4"/>
        <v>9.8870056497175146E-2</v>
      </c>
      <c r="AJ27" t="s">
        <v>2401</v>
      </c>
      <c r="AK27" t="s">
        <v>447</v>
      </c>
      <c r="AL27">
        <v>16</v>
      </c>
      <c r="AM27">
        <v>4</v>
      </c>
      <c r="AP27" s="50"/>
      <c r="AQ27" s="10" t="s">
        <v>358</v>
      </c>
      <c r="AR27" s="10">
        <v>11</v>
      </c>
      <c r="AS27" s="10">
        <v>2</v>
      </c>
    </row>
    <row r="28" spans="1:45" x14ac:dyDescent="0.35">
      <c r="A28" s="1" t="s">
        <v>2422</v>
      </c>
      <c r="B28" s="1" t="s">
        <v>2432</v>
      </c>
      <c r="C28" s="11" t="s">
        <v>2401</v>
      </c>
      <c r="D28" s="2">
        <v>45975</v>
      </c>
      <c r="E28" s="11" t="s">
        <v>2424</v>
      </c>
      <c r="F28" s="11" t="s">
        <v>2433</v>
      </c>
      <c r="G28" t="s">
        <v>2434</v>
      </c>
      <c r="O28" s="1"/>
      <c r="P28" s="1"/>
      <c r="Q28" s="1"/>
      <c r="R28" s="1"/>
      <c r="S28" s="1"/>
      <c r="T28" s="1"/>
      <c r="U28" s="1"/>
      <c r="V28" s="1"/>
      <c r="W28" s="1" t="s">
        <v>2376</v>
      </c>
      <c r="X28" s="1">
        <f>SUM(X23:X27)</f>
        <v>1116</v>
      </c>
      <c r="Y28" s="12">
        <f>SUM(Y23:Y27)</f>
        <v>1</v>
      </c>
      <c r="Z28" s="1">
        <f t="shared" ref="Z28" si="5">SUM(Z23:Z27)</f>
        <v>840</v>
      </c>
      <c r="AA28" s="12">
        <f t="shared" ref="AA28" si="6">SUM(AA23:AA27)</f>
        <v>0.99999999999999989</v>
      </c>
      <c r="AB28" s="1">
        <f>SUM(AB23:AB27)</f>
        <v>708</v>
      </c>
      <c r="AC28" s="12">
        <f>SUM(AC23:AC27)</f>
        <v>1</v>
      </c>
      <c r="AJ28" t="s">
        <v>2401</v>
      </c>
      <c r="AK28" t="s">
        <v>85</v>
      </c>
      <c r="AL28">
        <v>39</v>
      </c>
      <c r="AM28">
        <v>5</v>
      </c>
      <c r="AP28" s="50"/>
      <c r="AQ28" s="10" t="s">
        <v>2435</v>
      </c>
      <c r="AR28" s="10">
        <v>12</v>
      </c>
      <c r="AS28" s="10">
        <v>8</v>
      </c>
    </row>
    <row r="29" spans="1:45" x14ac:dyDescent="0.35">
      <c r="A29" s="1" t="s">
        <v>2422</v>
      </c>
      <c r="B29" s="1" t="s">
        <v>2436</v>
      </c>
      <c r="C29" s="11" t="s">
        <v>2437</v>
      </c>
      <c r="D29" s="2">
        <v>46006</v>
      </c>
      <c r="E29" s="11" t="s">
        <v>2424</v>
      </c>
      <c r="F29" s="11" t="s">
        <v>2433</v>
      </c>
      <c r="G29" t="s">
        <v>2434</v>
      </c>
      <c r="O29" s="1"/>
      <c r="P29" s="1"/>
      <c r="Q29" s="1"/>
      <c r="R29" s="1"/>
      <c r="S29" s="1"/>
      <c r="T29" s="1"/>
      <c r="U29" s="1"/>
      <c r="V29" s="1"/>
      <c r="W29" s="1"/>
      <c r="AJ29" t="s">
        <v>2401</v>
      </c>
      <c r="AK29" t="s">
        <v>236</v>
      </c>
      <c r="AL29">
        <v>39</v>
      </c>
      <c r="AM29">
        <v>6</v>
      </c>
      <c r="AP29" s="51"/>
      <c r="AQ29" s="10" t="s">
        <v>2438</v>
      </c>
      <c r="AR29" s="10">
        <v>13</v>
      </c>
      <c r="AS29" s="10">
        <v>13</v>
      </c>
    </row>
    <row r="30" spans="1:45" x14ac:dyDescent="0.35">
      <c r="A30" s="1" t="s">
        <v>2422</v>
      </c>
      <c r="B30" s="1" t="s">
        <v>2439</v>
      </c>
      <c r="C30" s="11" t="s">
        <v>2440</v>
      </c>
      <c r="D30" s="2">
        <v>46008</v>
      </c>
      <c r="E30" s="11" t="s">
        <v>2424</v>
      </c>
      <c r="F30" s="11" t="s">
        <v>2425</v>
      </c>
      <c r="O30" s="1"/>
      <c r="P30" s="1"/>
      <c r="Q30" s="1"/>
      <c r="R30" s="1"/>
      <c r="S30" s="1"/>
      <c r="T30" s="1"/>
      <c r="U30" s="1"/>
      <c r="V30" s="1"/>
      <c r="W30" s="1"/>
      <c r="AJ30" t="s">
        <v>2401</v>
      </c>
      <c r="AK30" t="s">
        <v>1270</v>
      </c>
      <c r="AL30">
        <v>16</v>
      </c>
      <c r="AM30">
        <v>7</v>
      </c>
      <c r="AP30" s="49" t="s">
        <v>2419</v>
      </c>
      <c r="AQ30" s="10" t="s">
        <v>531</v>
      </c>
      <c r="AR30" s="10">
        <v>1</v>
      </c>
      <c r="AS30" s="10">
        <v>11</v>
      </c>
    </row>
    <row r="31" spans="1:45" x14ac:dyDescent="0.35">
      <c r="A31" s="1" t="s">
        <v>2422</v>
      </c>
      <c r="B31" s="1" t="s">
        <v>2441</v>
      </c>
      <c r="C31" s="11" t="s">
        <v>2442</v>
      </c>
      <c r="D31" s="2">
        <v>46021</v>
      </c>
      <c r="E31" s="11" t="s">
        <v>2424</v>
      </c>
      <c r="F31" s="11" t="s">
        <v>2425</v>
      </c>
      <c r="O31" s="1"/>
      <c r="P31" s="1"/>
      <c r="Q31" s="1"/>
      <c r="R31" s="1"/>
      <c r="S31" s="1"/>
      <c r="T31" s="1"/>
      <c r="U31" s="1"/>
      <c r="V31" s="1"/>
      <c r="W31" s="1"/>
      <c r="AJ31" t="s">
        <v>2401</v>
      </c>
      <c r="AK31" t="s">
        <v>56</v>
      </c>
      <c r="AL31">
        <v>15</v>
      </c>
      <c r="AM31">
        <v>8</v>
      </c>
      <c r="AP31" s="50"/>
      <c r="AQ31" s="10" t="s">
        <v>394</v>
      </c>
      <c r="AR31" s="10">
        <v>2</v>
      </c>
      <c r="AS31" s="10">
        <v>14</v>
      </c>
    </row>
    <row r="32" spans="1:45" x14ac:dyDescent="0.35">
      <c r="A32" s="1" t="s">
        <v>2422</v>
      </c>
      <c r="B32" s="1" t="s">
        <v>2443</v>
      </c>
      <c r="C32" s="11" t="s">
        <v>2444</v>
      </c>
      <c r="D32" s="2">
        <v>46020</v>
      </c>
      <c r="E32" s="11" t="s">
        <v>2424</v>
      </c>
      <c r="F32" s="11" t="s">
        <v>2425</v>
      </c>
      <c r="O32" s="1"/>
      <c r="P32" s="1"/>
      <c r="Q32" s="1"/>
      <c r="R32" s="1"/>
      <c r="S32" s="1"/>
      <c r="T32" s="1"/>
      <c r="U32" s="1"/>
      <c r="V32" s="1"/>
      <c r="W32" s="1"/>
      <c r="AJ32" t="s">
        <v>2401</v>
      </c>
      <c r="AK32" t="s">
        <v>2289</v>
      </c>
      <c r="AL32">
        <v>15</v>
      </c>
      <c r="AM32">
        <v>9</v>
      </c>
      <c r="AP32" s="50"/>
      <c r="AQ32" s="10" t="s">
        <v>272</v>
      </c>
      <c r="AR32" s="10">
        <v>3</v>
      </c>
      <c r="AS32" s="10">
        <v>15</v>
      </c>
    </row>
    <row r="33" spans="1:45" x14ac:dyDescent="0.35">
      <c r="A33" s="1" t="s">
        <v>2422</v>
      </c>
      <c r="B33" s="1" t="s">
        <v>2445</v>
      </c>
      <c r="C33" s="11" t="s">
        <v>2446</v>
      </c>
      <c r="D33" s="2">
        <v>46031</v>
      </c>
      <c r="E33" s="11" t="s">
        <v>2424</v>
      </c>
      <c r="F33" s="11" t="s">
        <v>2425</v>
      </c>
      <c r="O33" s="1"/>
      <c r="P33" s="1"/>
      <c r="Q33" s="1"/>
      <c r="R33" s="1"/>
      <c r="S33" s="1"/>
      <c r="T33" s="1"/>
      <c r="U33" s="1"/>
      <c r="V33" s="1"/>
      <c r="W33" s="1"/>
      <c r="AJ33" t="s">
        <v>2447</v>
      </c>
      <c r="AK33" t="s">
        <v>2401</v>
      </c>
      <c r="AL33">
        <v>171</v>
      </c>
      <c r="AM33" t="s">
        <v>2401</v>
      </c>
      <c r="AP33" s="50"/>
      <c r="AQ33" s="10" t="s">
        <v>133</v>
      </c>
      <c r="AR33" s="10">
        <v>4</v>
      </c>
      <c r="AS33" s="10">
        <v>36</v>
      </c>
    </row>
    <row r="34" spans="1:45" x14ac:dyDescent="0.35">
      <c r="A34" s="1" t="s">
        <v>2422</v>
      </c>
      <c r="B34" s="1" t="s">
        <v>2448</v>
      </c>
      <c r="C34" s="11" t="s">
        <v>2444</v>
      </c>
      <c r="D34" s="2">
        <v>46044</v>
      </c>
      <c r="E34" s="11" t="s">
        <v>2424</v>
      </c>
      <c r="F34" s="11" t="s">
        <v>2425</v>
      </c>
      <c r="O34" s="1"/>
      <c r="P34" s="1"/>
      <c r="Q34" s="1"/>
      <c r="R34" s="1"/>
      <c r="S34" s="1"/>
      <c r="T34" s="1"/>
      <c r="U34" s="1"/>
      <c r="V34" s="1"/>
      <c r="W34" s="1"/>
      <c r="AJ34" t="s">
        <v>2410</v>
      </c>
      <c r="AK34" t="s">
        <v>2411</v>
      </c>
      <c r="AL34">
        <v>13</v>
      </c>
      <c r="AM34">
        <v>1</v>
      </c>
      <c r="AP34" s="50"/>
      <c r="AQ34" s="10" t="s">
        <v>630</v>
      </c>
      <c r="AR34" s="10">
        <v>5</v>
      </c>
      <c r="AS34" s="10">
        <v>33</v>
      </c>
    </row>
    <row r="35" spans="1:45" x14ac:dyDescent="0.35">
      <c r="A35" s="1" t="s">
        <v>2422</v>
      </c>
      <c r="B35" s="1" t="s">
        <v>2449</v>
      </c>
      <c r="C35" s="11" t="s">
        <v>2450</v>
      </c>
      <c r="D35" s="2">
        <v>46062</v>
      </c>
      <c r="E35" s="11" t="s">
        <v>2424</v>
      </c>
      <c r="F35" s="11" t="s">
        <v>2425</v>
      </c>
      <c r="O35" s="1"/>
      <c r="P35" s="1"/>
      <c r="Q35" s="1"/>
      <c r="R35" s="1"/>
      <c r="S35" s="1"/>
      <c r="T35" s="1"/>
      <c r="U35" s="1"/>
      <c r="V35" s="1"/>
      <c r="W35" s="1"/>
      <c r="AJ35" t="s">
        <v>2401</v>
      </c>
      <c r="AK35" t="s">
        <v>634</v>
      </c>
      <c r="AL35">
        <v>10</v>
      </c>
      <c r="AM35">
        <v>2</v>
      </c>
      <c r="AP35" s="50"/>
      <c r="AQ35" s="10" t="s">
        <v>1671</v>
      </c>
      <c r="AR35" s="10">
        <v>6</v>
      </c>
      <c r="AS35" s="10">
        <v>19</v>
      </c>
    </row>
    <row r="36" spans="1:45" x14ac:dyDescent="0.35">
      <c r="A36" s="1" t="s">
        <v>2422</v>
      </c>
      <c r="B36" s="1" t="s">
        <v>2389</v>
      </c>
      <c r="C36" s="11" t="s">
        <v>2437</v>
      </c>
      <c r="D36" s="2">
        <v>46062</v>
      </c>
      <c r="E36" s="11" t="s">
        <v>2424</v>
      </c>
      <c r="F36" s="11" t="s">
        <v>2433</v>
      </c>
      <c r="G36" t="s">
        <v>2434</v>
      </c>
      <c r="AJ36" t="s">
        <v>2401</v>
      </c>
      <c r="AK36" t="s">
        <v>407</v>
      </c>
      <c r="AL36">
        <v>11</v>
      </c>
      <c r="AM36">
        <v>3</v>
      </c>
      <c r="AP36" s="50"/>
      <c r="AQ36" s="10" t="s">
        <v>201</v>
      </c>
      <c r="AR36" s="10">
        <v>7</v>
      </c>
      <c r="AS36" s="10">
        <v>24</v>
      </c>
    </row>
    <row r="37" spans="1:45" x14ac:dyDescent="0.35">
      <c r="A37" s="1" t="s">
        <v>2422</v>
      </c>
      <c r="B37" s="1" t="s">
        <v>2412</v>
      </c>
      <c r="C37" s="11" t="s">
        <v>2451</v>
      </c>
      <c r="D37" s="2">
        <v>46069</v>
      </c>
      <c r="E37" s="11" t="s">
        <v>2424</v>
      </c>
      <c r="F37" s="11" t="s">
        <v>2425</v>
      </c>
      <c r="AJ37" t="s">
        <v>2401</v>
      </c>
      <c r="AK37" t="s">
        <v>811</v>
      </c>
      <c r="AL37">
        <v>4</v>
      </c>
      <c r="AM37">
        <v>4</v>
      </c>
      <c r="AP37" s="50"/>
      <c r="AQ37" s="10" t="s">
        <v>2452</v>
      </c>
      <c r="AR37" s="10">
        <v>8</v>
      </c>
      <c r="AS37" s="10">
        <v>8</v>
      </c>
    </row>
    <row r="38" spans="1:45" x14ac:dyDescent="0.35">
      <c r="A38" s="1" t="s">
        <v>2453</v>
      </c>
      <c r="B38" s="1" t="s">
        <v>2454</v>
      </c>
      <c r="C38" s="11" t="s">
        <v>2455</v>
      </c>
      <c r="D38" s="2">
        <v>46079</v>
      </c>
      <c r="E38" s="11" t="s">
        <v>2456</v>
      </c>
      <c r="F38" s="11" t="s">
        <v>2433</v>
      </c>
      <c r="G38" t="s">
        <v>2434</v>
      </c>
      <c r="AJ38" t="s">
        <v>2401</v>
      </c>
      <c r="AK38" t="s">
        <v>308</v>
      </c>
      <c r="AL38">
        <v>13</v>
      </c>
      <c r="AM38">
        <v>5</v>
      </c>
      <c r="AP38" s="50"/>
      <c r="AQ38" s="10" t="s">
        <v>500</v>
      </c>
      <c r="AR38" s="10">
        <v>9</v>
      </c>
      <c r="AS38" s="10">
        <v>15</v>
      </c>
    </row>
    <row r="39" spans="1:45" x14ac:dyDescent="0.35">
      <c r="A39" s="1" t="s">
        <v>2422</v>
      </c>
      <c r="B39" s="1" t="s">
        <v>2457</v>
      </c>
      <c r="C39" s="11" t="s">
        <v>2458</v>
      </c>
      <c r="D39" s="2">
        <v>46079</v>
      </c>
      <c r="E39" s="11" t="s">
        <v>2424</v>
      </c>
      <c r="F39" s="11" t="s">
        <v>2425</v>
      </c>
      <c r="AJ39" t="s">
        <v>2401</v>
      </c>
      <c r="AK39" t="s">
        <v>1215</v>
      </c>
      <c r="AL39">
        <v>3</v>
      </c>
      <c r="AM39">
        <v>6</v>
      </c>
      <c r="AP39" s="50"/>
      <c r="AQ39" s="10" t="s">
        <v>1756</v>
      </c>
      <c r="AR39" s="10">
        <v>10</v>
      </c>
      <c r="AS39" s="10">
        <v>19</v>
      </c>
    </row>
    <row r="40" spans="1:45" x14ac:dyDescent="0.35">
      <c r="A40" s="1" t="s">
        <v>884</v>
      </c>
      <c r="B40" s="1" t="s">
        <v>2459</v>
      </c>
      <c r="C40" s="11" t="s">
        <v>2460</v>
      </c>
      <c r="D40" s="2">
        <v>46087</v>
      </c>
      <c r="E40" s="11" t="s">
        <v>2424</v>
      </c>
      <c r="F40" s="11" t="s">
        <v>2425</v>
      </c>
      <c r="AJ40" t="s">
        <v>2401</v>
      </c>
      <c r="AK40" t="s">
        <v>2421</v>
      </c>
      <c r="AL40">
        <v>15</v>
      </c>
      <c r="AM40">
        <v>7</v>
      </c>
      <c r="AP40" s="50"/>
      <c r="AQ40" s="10" t="s">
        <v>1968</v>
      </c>
      <c r="AR40" s="10">
        <v>11</v>
      </c>
      <c r="AS40" s="10">
        <v>6</v>
      </c>
    </row>
    <row r="41" spans="1:45" x14ac:dyDescent="0.35">
      <c r="A41" s="1" t="s">
        <v>2422</v>
      </c>
      <c r="B41" s="1" t="s">
        <v>2391</v>
      </c>
      <c r="C41" s="11" t="s">
        <v>2461</v>
      </c>
      <c r="D41" s="2">
        <v>46091</v>
      </c>
      <c r="E41" s="11" t="s">
        <v>2424</v>
      </c>
      <c r="F41" s="11" t="s">
        <v>2425</v>
      </c>
      <c r="AJ41" t="s">
        <v>2401</v>
      </c>
      <c r="AK41" t="s">
        <v>286</v>
      </c>
      <c r="AL41">
        <v>26</v>
      </c>
      <c r="AM41">
        <v>8</v>
      </c>
      <c r="AP41" s="50"/>
      <c r="AQ41" s="10" t="s">
        <v>1666</v>
      </c>
      <c r="AR41" s="10">
        <v>12</v>
      </c>
      <c r="AS41" s="10">
        <v>26</v>
      </c>
    </row>
    <row r="42" spans="1:45" x14ac:dyDescent="0.35">
      <c r="A42" s="1" t="s">
        <v>2422</v>
      </c>
      <c r="B42" s="1" t="s">
        <v>2416</v>
      </c>
      <c r="C42" s="11" t="s">
        <v>2458</v>
      </c>
      <c r="D42" s="2">
        <v>46091</v>
      </c>
      <c r="E42" s="11" t="s">
        <v>2424</v>
      </c>
      <c r="F42" s="11" t="s">
        <v>2425</v>
      </c>
      <c r="AJ42" t="s">
        <v>2401</v>
      </c>
      <c r="AK42" t="s">
        <v>705</v>
      </c>
      <c r="AL42">
        <v>31</v>
      </c>
      <c r="AM42">
        <v>9</v>
      </c>
      <c r="AP42" s="51"/>
      <c r="AQ42" s="10" t="s">
        <v>1470</v>
      </c>
      <c r="AR42" s="10">
        <v>13</v>
      </c>
      <c r="AS42" s="10">
        <v>13</v>
      </c>
    </row>
    <row r="43" spans="1:45" x14ac:dyDescent="0.35">
      <c r="A43" s="1" t="s">
        <v>2422</v>
      </c>
      <c r="B43" s="1" t="s">
        <v>2402</v>
      </c>
      <c r="C43" s="11" t="s">
        <v>2458</v>
      </c>
      <c r="D43" s="2">
        <v>46093</v>
      </c>
      <c r="E43" s="11" t="s">
        <v>2424</v>
      </c>
      <c r="F43" s="11" t="s">
        <v>2425</v>
      </c>
      <c r="AJ43" t="s">
        <v>2401</v>
      </c>
      <c r="AK43" t="s">
        <v>2429</v>
      </c>
      <c r="AL43">
        <v>4</v>
      </c>
      <c r="AM43">
        <v>10</v>
      </c>
      <c r="AP43" s="49" t="s">
        <v>2403</v>
      </c>
      <c r="AQ43" s="10" t="s">
        <v>2462</v>
      </c>
      <c r="AR43" s="10">
        <v>1</v>
      </c>
      <c r="AS43" s="10">
        <v>8</v>
      </c>
    </row>
    <row r="44" spans="1:45" x14ac:dyDescent="0.35">
      <c r="A44" s="1" t="s">
        <v>2422</v>
      </c>
      <c r="B44" s="1" t="s">
        <v>2463</v>
      </c>
      <c r="C44" s="11" t="s">
        <v>2464</v>
      </c>
      <c r="D44" s="2">
        <v>46094</v>
      </c>
      <c r="E44" s="11" t="s">
        <v>2424</v>
      </c>
      <c r="F44" s="11" t="s">
        <v>2425</v>
      </c>
      <c r="AJ44" t="s">
        <v>2401</v>
      </c>
      <c r="AK44" t="s">
        <v>358</v>
      </c>
      <c r="AL44">
        <v>2</v>
      </c>
      <c r="AM44">
        <v>11</v>
      </c>
      <c r="AP44" s="50"/>
      <c r="AQ44" s="10" t="s">
        <v>2465</v>
      </c>
      <c r="AR44" s="10">
        <v>2</v>
      </c>
      <c r="AS44" s="10">
        <v>7</v>
      </c>
    </row>
    <row r="45" spans="1:45" x14ac:dyDescent="0.35">
      <c r="A45" s="1" t="s">
        <v>2422</v>
      </c>
      <c r="B45" s="1" t="s">
        <v>2383</v>
      </c>
      <c r="C45" s="11" t="s">
        <v>2466</v>
      </c>
      <c r="D45" s="2">
        <v>46112</v>
      </c>
      <c r="E45" s="11" t="s">
        <v>2424</v>
      </c>
      <c r="F45" s="11" t="s">
        <v>2425</v>
      </c>
      <c r="AJ45" t="s">
        <v>2401</v>
      </c>
      <c r="AK45" t="s">
        <v>2435</v>
      </c>
      <c r="AL45">
        <v>8</v>
      </c>
      <c r="AM45">
        <v>12</v>
      </c>
      <c r="AP45" s="50"/>
      <c r="AQ45" s="10" t="s">
        <v>2467</v>
      </c>
      <c r="AR45" s="10">
        <v>3</v>
      </c>
      <c r="AS45" s="10">
        <v>16</v>
      </c>
    </row>
    <row r="46" spans="1:45" x14ac:dyDescent="0.35">
      <c r="A46" s="1" t="s">
        <v>1443</v>
      </c>
      <c r="B46" s="1" t="s">
        <v>2468</v>
      </c>
      <c r="C46" s="11" t="s">
        <v>2461</v>
      </c>
      <c r="D46" s="2">
        <v>46113</v>
      </c>
      <c r="E46" s="11" t="s">
        <v>2424</v>
      </c>
      <c r="F46" s="11" t="s">
        <v>2425</v>
      </c>
      <c r="AJ46" t="s">
        <v>2401</v>
      </c>
      <c r="AK46" t="s">
        <v>2438</v>
      </c>
      <c r="AL46">
        <v>13</v>
      </c>
      <c r="AM46">
        <v>13</v>
      </c>
      <c r="AP46" s="50"/>
      <c r="AQ46" s="10" t="s">
        <v>159</v>
      </c>
      <c r="AR46" s="10">
        <v>4</v>
      </c>
      <c r="AS46" s="10">
        <v>7</v>
      </c>
    </row>
    <row r="47" spans="1:45" x14ac:dyDescent="0.35">
      <c r="A47" s="1" t="s">
        <v>2469</v>
      </c>
      <c r="B47" s="1" t="s">
        <v>2470</v>
      </c>
      <c r="C47" s="11" t="s">
        <v>2460</v>
      </c>
      <c r="D47" s="2">
        <v>46118</v>
      </c>
      <c r="E47" s="11" t="s">
        <v>2424</v>
      </c>
      <c r="F47" s="11" t="s">
        <v>2425</v>
      </c>
      <c r="AJ47" t="s">
        <v>2471</v>
      </c>
      <c r="AK47" t="s">
        <v>2401</v>
      </c>
      <c r="AL47">
        <v>153</v>
      </c>
      <c r="AM47" t="s">
        <v>2401</v>
      </c>
      <c r="AP47" s="50"/>
      <c r="AQ47" s="10" t="s">
        <v>865</v>
      </c>
      <c r="AR47" s="10">
        <v>5</v>
      </c>
      <c r="AS47" s="10">
        <v>57</v>
      </c>
    </row>
    <row r="48" spans="1:45" x14ac:dyDescent="0.35">
      <c r="A48" s="1" t="s">
        <v>884</v>
      </c>
      <c r="B48" s="1" t="s">
        <v>2472</v>
      </c>
      <c r="C48" s="11" t="s">
        <v>2460</v>
      </c>
      <c r="D48" s="2">
        <v>46126</v>
      </c>
      <c r="E48" s="11" t="s">
        <v>2424</v>
      </c>
      <c r="F48" s="11" t="s">
        <v>2425</v>
      </c>
      <c r="AJ48" t="s">
        <v>2419</v>
      </c>
      <c r="AK48" t="s">
        <v>531</v>
      </c>
      <c r="AL48">
        <v>11</v>
      </c>
      <c r="AM48">
        <v>1</v>
      </c>
      <c r="AP48" s="50"/>
      <c r="AQ48" s="10" t="s">
        <v>152</v>
      </c>
      <c r="AR48" s="10">
        <v>6</v>
      </c>
      <c r="AS48" s="10">
        <v>9</v>
      </c>
    </row>
    <row r="49" spans="1:45" x14ac:dyDescent="0.35">
      <c r="A49" s="1" t="s">
        <v>44</v>
      </c>
      <c r="B49" s="1" t="s">
        <v>2399</v>
      </c>
      <c r="C49" s="11" t="s">
        <v>2458</v>
      </c>
      <c r="D49" s="2">
        <v>46132</v>
      </c>
      <c r="E49" s="11" t="s">
        <v>2424</v>
      </c>
      <c r="F49" s="11" t="s">
        <v>2433</v>
      </c>
      <c r="G49" t="s">
        <v>2434</v>
      </c>
      <c r="AJ49" t="s">
        <v>2401</v>
      </c>
      <c r="AK49" t="s">
        <v>394</v>
      </c>
      <c r="AL49">
        <v>14</v>
      </c>
      <c r="AM49">
        <v>2</v>
      </c>
      <c r="AP49" s="51"/>
      <c r="AQ49" s="10" t="s">
        <v>524</v>
      </c>
      <c r="AR49" s="10">
        <v>7</v>
      </c>
      <c r="AS49" s="10">
        <v>45</v>
      </c>
    </row>
    <row r="50" spans="1:45" x14ac:dyDescent="0.35">
      <c r="A50" s="1" t="s">
        <v>44</v>
      </c>
      <c r="B50" s="1" t="s">
        <v>2473</v>
      </c>
      <c r="C50" s="11" t="s">
        <v>2458</v>
      </c>
      <c r="D50" s="2">
        <v>46141</v>
      </c>
      <c r="E50" s="11" t="s">
        <v>2424</v>
      </c>
      <c r="F50" s="11" t="s">
        <v>2425</v>
      </c>
      <c r="AJ50" t="s">
        <v>2401</v>
      </c>
      <c r="AK50" t="s">
        <v>272</v>
      </c>
      <c r="AL50">
        <v>15</v>
      </c>
      <c r="AM50">
        <v>3</v>
      </c>
      <c r="AP50" s="49" t="s">
        <v>2409</v>
      </c>
      <c r="AQ50" s="10" t="s">
        <v>139</v>
      </c>
      <c r="AR50" s="10">
        <v>3</v>
      </c>
      <c r="AS50" s="10">
        <v>9</v>
      </c>
    </row>
    <row r="51" spans="1:45" x14ac:dyDescent="0.35">
      <c r="A51" s="1" t="s">
        <v>2453</v>
      </c>
      <c r="B51" s="1" t="s">
        <v>2474</v>
      </c>
      <c r="C51" s="11" t="s">
        <v>2455</v>
      </c>
      <c r="D51" s="2">
        <v>46149</v>
      </c>
      <c r="E51" s="11" t="s">
        <v>2475</v>
      </c>
      <c r="F51" s="11" t="s">
        <v>2425</v>
      </c>
      <c r="AJ51" t="s">
        <v>2401</v>
      </c>
      <c r="AK51" t="s">
        <v>133</v>
      </c>
      <c r="AL51">
        <v>36</v>
      </c>
      <c r="AM51">
        <v>4</v>
      </c>
      <c r="AP51" s="50"/>
      <c r="AQ51" s="10" t="s">
        <v>2476</v>
      </c>
      <c r="AR51" s="10">
        <v>1</v>
      </c>
      <c r="AS51" s="10">
        <v>17</v>
      </c>
    </row>
    <row r="52" spans="1:45" x14ac:dyDescent="0.35">
      <c r="A52" s="1" t="s">
        <v>44</v>
      </c>
      <c r="B52" s="1" t="s">
        <v>2477</v>
      </c>
      <c r="C52" s="11" t="s">
        <v>2458</v>
      </c>
      <c r="D52" s="2">
        <v>46150</v>
      </c>
      <c r="E52" s="11" t="s">
        <v>2424</v>
      </c>
      <c r="F52" s="11" t="s">
        <v>2425</v>
      </c>
      <c r="AJ52" t="s">
        <v>2401</v>
      </c>
      <c r="AK52" t="s">
        <v>630</v>
      </c>
      <c r="AL52">
        <v>33</v>
      </c>
      <c r="AM52">
        <v>5</v>
      </c>
      <c r="AP52" s="50"/>
      <c r="AQ52" s="10" t="s">
        <v>2478</v>
      </c>
      <c r="AR52" s="10">
        <v>2</v>
      </c>
      <c r="AS52" s="10">
        <v>20</v>
      </c>
    </row>
    <row r="53" spans="1:45" x14ac:dyDescent="0.35">
      <c r="A53" s="1" t="s">
        <v>2453</v>
      </c>
      <c r="B53" s="1" t="s">
        <v>2479</v>
      </c>
      <c r="C53" s="11" t="s">
        <v>2455</v>
      </c>
      <c r="D53" s="2">
        <v>46150</v>
      </c>
      <c r="E53" s="11" t="s">
        <v>2475</v>
      </c>
      <c r="F53" s="11" t="s">
        <v>2425</v>
      </c>
      <c r="AJ53" t="s">
        <v>2401</v>
      </c>
      <c r="AK53" t="s">
        <v>1671</v>
      </c>
      <c r="AL53">
        <v>19</v>
      </c>
      <c r="AM53">
        <v>6</v>
      </c>
      <c r="AP53" s="50"/>
      <c r="AQ53" s="10" t="s">
        <v>143</v>
      </c>
      <c r="AR53" s="10">
        <v>4</v>
      </c>
      <c r="AS53" s="10">
        <v>23</v>
      </c>
    </row>
    <row r="54" spans="1:45" x14ac:dyDescent="0.35">
      <c r="A54" s="1" t="s">
        <v>44</v>
      </c>
      <c r="B54" s="1" t="s">
        <v>2480</v>
      </c>
      <c r="C54" s="11" t="s">
        <v>2461</v>
      </c>
      <c r="D54" s="2">
        <v>46150</v>
      </c>
      <c r="E54" s="11" t="s">
        <v>2424</v>
      </c>
      <c r="F54" s="11" t="s">
        <v>2425</v>
      </c>
      <c r="AJ54" t="s">
        <v>2401</v>
      </c>
      <c r="AK54" t="s">
        <v>201</v>
      </c>
      <c r="AL54">
        <v>24</v>
      </c>
      <c r="AM54">
        <v>7</v>
      </c>
      <c r="AP54" s="50"/>
      <c r="AQ54" s="10" t="s">
        <v>206</v>
      </c>
      <c r="AR54" s="10">
        <v>5</v>
      </c>
      <c r="AS54" s="10">
        <v>4</v>
      </c>
    </row>
    <row r="55" spans="1:45" x14ac:dyDescent="0.35">
      <c r="A55" s="1" t="s">
        <v>44</v>
      </c>
      <c r="B55" s="1" t="s">
        <v>2481</v>
      </c>
      <c r="C55" s="11" t="s">
        <v>2461</v>
      </c>
      <c r="D55" s="2">
        <v>46154</v>
      </c>
      <c r="E55" s="11" t="s">
        <v>2424</v>
      </c>
      <c r="F55" s="11" t="s">
        <v>2425</v>
      </c>
      <c r="AJ55" t="s">
        <v>2401</v>
      </c>
      <c r="AK55" t="s">
        <v>2452</v>
      </c>
      <c r="AL55">
        <v>8</v>
      </c>
      <c r="AM55">
        <v>8</v>
      </c>
      <c r="AP55" s="50"/>
      <c r="AQ55" s="10" t="s">
        <v>2482</v>
      </c>
      <c r="AR55" s="10">
        <v>6</v>
      </c>
      <c r="AS55" s="10">
        <v>2</v>
      </c>
    </row>
    <row r="56" spans="1:45" x14ac:dyDescent="0.35">
      <c r="A56" s="1" t="s">
        <v>2453</v>
      </c>
      <c r="B56" s="1" t="s">
        <v>2483</v>
      </c>
      <c r="C56" s="11" t="s">
        <v>2455</v>
      </c>
      <c r="D56" s="2">
        <v>46154</v>
      </c>
      <c r="E56" s="11" t="s">
        <v>2475</v>
      </c>
      <c r="F56" s="11" t="s">
        <v>2425</v>
      </c>
      <c r="AJ56" t="s">
        <v>2401</v>
      </c>
      <c r="AK56" t="s">
        <v>500</v>
      </c>
      <c r="AL56">
        <v>15</v>
      </c>
      <c r="AM56">
        <v>9</v>
      </c>
      <c r="AP56" s="51"/>
      <c r="AQ56" s="10" t="s">
        <v>2484</v>
      </c>
      <c r="AR56" s="10">
        <v>7</v>
      </c>
      <c r="AS56" s="10">
        <v>13</v>
      </c>
    </row>
    <row r="57" spans="1:45" x14ac:dyDescent="0.35">
      <c r="A57" s="1" t="s">
        <v>44</v>
      </c>
      <c r="B57" s="1" t="s">
        <v>2485</v>
      </c>
      <c r="C57" s="11" t="s">
        <v>2486</v>
      </c>
      <c r="D57" s="2">
        <v>46156</v>
      </c>
      <c r="E57" s="11" t="s">
        <v>2424</v>
      </c>
      <c r="F57" s="11" t="s">
        <v>2487</v>
      </c>
      <c r="AJ57" t="s">
        <v>2401</v>
      </c>
      <c r="AK57" t="s">
        <v>1756</v>
      </c>
      <c r="AL57">
        <v>19</v>
      </c>
      <c r="AM57">
        <v>10</v>
      </c>
      <c r="AP57" s="49" t="s">
        <v>2413</v>
      </c>
      <c r="AQ57" s="10" t="s">
        <v>79</v>
      </c>
      <c r="AR57" s="10">
        <v>1</v>
      </c>
      <c r="AS57" s="10">
        <v>10</v>
      </c>
    </row>
    <row r="58" spans="1:45" x14ac:dyDescent="0.35">
      <c r="A58" s="1" t="s">
        <v>44</v>
      </c>
      <c r="B58" s="1" t="s">
        <v>2488</v>
      </c>
      <c r="C58" s="11" t="s">
        <v>2437</v>
      </c>
      <c r="D58" s="2">
        <v>46162</v>
      </c>
      <c r="E58" s="11" t="s">
        <v>2475</v>
      </c>
      <c r="F58" s="11" t="s">
        <v>2425</v>
      </c>
      <c r="AJ58" t="s">
        <v>2401</v>
      </c>
      <c r="AK58" t="s">
        <v>1968</v>
      </c>
      <c r="AL58">
        <v>6</v>
      </c>
      <c r="AM58">
        <v>11</v>
      </c>
      <c r="AP58" s="50"/>
      <c r="AQ58" s="10" t="s">
        <v>2489</v>
      </c>
      <c r="AR58" s="10">
        <v>2</v>
      </c>
      <c r="AS58" s="10">
        <v>28</v>
      </c>
    </row>
    <row r="59" spans="1:45" x14ac:dyDescent="0.35">
      <c r="A59" s="1" t="s">
        <v>44</v>
      </c>
      <c r="B59" s="1" t="s">
        <v>2490</v>
      </c>
      <c r="C59" s="11" t="s">
        <v>2451</v>
      </c>
      <c r="D59" s="2">
        <v>46162</v>
      </c>
      <c r="E59" s="11" t="s">
        <v>2424</v>
      </c>
      <c r="F59" s="11" t="s">
        <v>2425</v>
      </c>
      <c r="AJ59" t="s">
        <v>2401</v>
      </c>
      <c r="AK59" t="s">
        <v>1666</v>
      </c>
      <c r="AL59">
        <v>26</v>
      </c>
      <c r="AM59">
        <v>12</v>
      </c>
      <c r="AP59" s="50"/>
      <c r="AQ59" s="10" t="s">
        <v>585</v>
      </c>
      <c r="AR59" s="10">
        <v>3</v>
      </c>
      <c r="AS59" s="10">
        <v>19</v>
      </c>
    </row>
    <row r="60" spans="1:45" x14ac:dyDescent="0.35">
      <c r="A60" s="1" t="s">
        <v>44</v>
      </c>
      <c r="B60" s="1" t="s">
        <v>2491</v>
      </c>
      <c r="C60" s="11" t="s">
        <v>2440</v>
      </c>
      <c r="D60" s="2">
        <v>46167</v>
      </c>
      <c r="E60" s="11" t="s">
        <v>2424</v>
      </c>
      <c r="F60" s="11" t="s">
        <v>2425</v>
      </c>
      <c r="AJ60" t="s">
        <v>2401</v>
      </c>
      <c r="AK60" t="s">
        <v>1470</v>
      </c>
      <c r="AL60">
        <v>13</v>
      </c>
      <c r="AM60">
        <v>13</v>
      </c>
      <c r="AP60" s="50"/>
      <c r="AQ60" s="10" t="s">
        <v>74</v>
      </c>
      <c r="AR60" s="10">
        <v>4</v>
      </c>
      <c r="AS60" s="10">
        <v>39</v>
      </c>
    </row>
    <row r="61" spans="1:45" x14ac:dyDescent="0.35">
      <c r="A61" s="1" t="s">
        <v>2453</v>
      </c>
      <c r="B61" s="1" t="s">
        <v>2492</v>
      </c>
      <c r="C61" s="11" t="s">
        <v>2455</v>
      </c>
      <c r="D61" s="2">
        <v>46176</v>
      </c>
      <c r="E61" s="11" t="s">
        <v>2475</v>
      </c>
      <c r="F61" s="11" t="s">
        <v>2487</v>
      </c>
      <c r="AJ61" t="s">
        <v>2493</v>
      </c>
      <c r="AK61" t="s">
        <v>2401</v>
      </c>
      <c r="AL61">
        <v>239</v>
      </c>
      <c r="AM61" t="s">
        <v>2401</v>
      </c>
      <c r="AP61" s="50"/>
      <c r="AQ61" s="10" t="s">
        <v>337</v>
      </c>
      <c r="AR61" s="10">
        <v>5</v>
      </c>
      <c r="AS61" s="10">
        <v>49</v>
      </c>
    </row>
    <row r="62" spans="1:45" x14ac:dyDescent="0.35">
      <c r="AJ62" t="s">
        <v>2403</v>
      </c>
      <c r="AK62" t="s">
        <v>2462</v>
      </c>
      <c r="AL62">
        <v>8</v>
      </c>
      <c r="AM62">
        <v>1</v>
      </c>
      <c r="AP62" s="51"/>
      <c r="AQ62" s="10" t="s">
        <v>1499</v>
      </c>
      <c r="AR62" s="10">
        <v>6</v>
      </c>
      <c r="AS62" s="10">
        <v>2</v>
      </c>
    </row>
    <row r="63" spans="1:45" x14ac:dyDescent="0.35">
      <c r="AJ63" t="s">
        <v>2401</v>
      </c>
      <c r="AK63" t="s">
        <v>2465</v>
      </c>
      <c r="AL63">
        <v>7</v>
      </c>
      <c r="AM63">
        <v>2</v>
      </c>
      <c r="AP63" s="49" t="s">
        <v>2426</v>
      </c>
      <c r="AQ63" s="10" t="s">
        <v>2494</v>
      </c>
      <c r="AR63" s="10">
        <v>1</v>
      </c>
      <c r="AS63" s="10">
        <v>26</v>
      </c>
    </row>
    <row r="64" spans="1:45" x14ac:dyDescent="0.35">
      <c r="AJ64" t="s">
        <v>2401</v>
      </c>
      <c r="AK64" t="s">
        <v>2467</v>
      </c>
      <c r="AL64">
        <v>16</v>
      </c>
      <c r="AM64">
        <v>3</v>
      </c>
      <c r="AP64" s="50"/>
      <c r="AQ64" s="10" t="s">
        <v>340</v>
      </c>
      <c r="AR64" s="10">
        <v>2</v>
      </c>
      <c r="AS64" s="10">
        <v>31</v>
      </c>
    </row>
    <row r="65" spans="36:45" x14ac:dyDescent="0.35">
      <c r="AJ65" t="s">
        <v>2401</v>
      </c>
      <c r="AK65" t="s">
        <v>159</v>
      </c>
      <c r="AL65">
        <v>7</v>
      </c>
      <c r="AM65">
        <v>4</v>
      </c>
      <c r="AP65" s="50"/>
      <c r="AQ65" s="10" t="s">
        <v>466</v>
      </c>
      <c r="AR65" s="10">
        <v>3</v>
      </c>
      <c r="AS65" s="10">
        <v>18</v>
      </c>
    </row>
    <row r="66" spans="36:45" x14ac:dyDescent="0.35">
      <c r="AJ66" t="s">
        <v>2401</v>
      </c>
      <c r="AK66" t="s">
        <v>865</v>
      </c>
      <c r="AL66">
        <v>57</v>
      </c>
      <c r="AM66">
        <v>5</v>
      </c>
      <c r="AP66" s="50"/>
      <c r="AQ66" s="10" t="s">
        <v>399</v>
      </c>
      <c r="AR66" s="10">
        <v>4</v>
      </c>
      <c r="AS66" s="10">
        <v>53</v>
      </c>
    </row>
    <row r="67" spans="36:45" x14ac:dyDescent="0.35">
      <c r="AJ67" t="s">
        <v>2401</v>
      </c>
      <c r="AK67" t="s">
        <v>152</v>
      </c>
      <c r="AL67">
        <v>9</v>
      </c>
      <c r="AM67">
        <v>6</v>
      </c>
      <c r="AP67" s="50"/>
      <c r="AQ67" s="10" t="s">
        <v>2495</v>
      </c>
      <c r="AR67" s="10">
        <v>5</v>
      </c>
      <c r="AS67" s="10">
        <v>26</v>
      </c>
    </row>
    <row r="68" spans="36:45" x14ac:dyDescent="0.35">
      <c r="AJ68" t="s">
        <v>2401</v>
      </c>
      <c r="AK68" t="s">
        <v>524</v>
      </c>
      <c r="AL68">
        <v>45</v>
      </c>
      <c r="AM68">
        <v>7</v>
      </c>
      <c r="AP68" s="51"/>
      <c r="AQ68" s="10" t="s">
        <v>2496</v>
      </c>
      <c r="AR68" s="10">
        <v>6</v>
      </c>
      <c r="AS68" s="10">
        <v>2</v>
      </c>
    </row>
    <row r="69" spans="36:45" x14ac:dyDescent="0.35">
      <c r="AJ69" t="s">
        <v>2497</v>
      </c>
      <c r="AK69" t="s">
        <v>2401</v>
      </c>
      <c r="AL69">
        <v>149</v>
      </c>
      <c r="AM69" t="s">
        <v>2401</v>
      </c>
      <c r="AP69" s="48" t="s">
        <v>2376</v>
      </c>
      <c r="AQ69" s="48"/>
      <c r="AR69" s="48"/>
      <c r="AS69" s="10">
        <f>SUM(AS2:AS68)</f>
        <v>1193</v>
      </c>
    </row>
    <row r="70" spans="36:45" x14ac:dyDescent="0.35">
      <c r="AJ70" t="s">
        <v>2409</v>
      </c>
      <c r="AK70" t="s">
        <v>139</v>
      </c>
      <c r="AL70">
        <v>9</v>
      </c>
      <c r="AM70">
        <v>3</v>
      </c>
    </row>
    <row r="71" spans="36:45" x14ac:dyDescent="0.35">
      <c r="AJ71" t="s">
        <v>2401</v>
      </c>
      <c r="AK71" t="s">
        <v>2476</v>
      </c>
      <c r="AL71">
        <v>17</v>
      </c>
      <c r="AM71">
        <v>1</v>
      </c>
    </row>
    <row r="72" spans="36:45" x14ac:dyDescent="0.35">
      <c r="AJ72" t="s">
        <v>2401</v>
      </c>
      <c r="AK72" t="s">
        <v>2478</v>
      </c>
      <c r="AL72">
        <v>20</v>
      </c>
      <c r="AM72">
        <v>2</v>
      </c>
    </row>
    <row r="73" spans="36:45" x14ac:dyDescent="0.35">
      <c r="AJ73" t="s">
        <v>2401</v>
      </c>
      <c r="AK73" t="s">
        <v>143</v>
      </c>
      <c r="AL73">
        <v>23</v>
      </c>
      <c r="AM73">
        <v>4</v>
      </c>
    </row>
    <row r="74" spans="36:45" x14ac:dyDescent="0.35">
      <c r="AJ74" t="s">
        <v>2401</v>
      </c>
      <c r="AK74" t="s">
        <v>206</v>
      </c>
      <c r="AL74">
        <v>4</v>
      </c>
      <c r="AM74">
        <v>5</v>
      </c>
    </row>
    <row r="75" spans="36:45" x14ac:dyDescent="0.35">
      <c r="AJ75" t="s">
        <v>2401</v>
      </c>
      <c r="AK75" t="s">
        <v>2482</v>
      </c>
      <c r="AL75">
        <v>2</v>
      </c>
      <c r="AM75">
        <v>6</v>
      </c>
    </row>
    <row r="76" spans="36:45" x14ac:dyDescent="0.35">
      <c r="AJ76" t="s">
        <v>2401</v>
      </c>
      <c r="AK76" t="s">
        <v>2484</v>
      </c>
      <c r="AL76">
        <v>13</v>
      </c>
      <c r="AM76">
        <v>7</v>
      </c>
    </row>
    <row r="77" spans="36:45" x14ac:dyDescent="0.35">
      <c r="AJ77" t="s">
        <v>2498</v>
      </c>
      <c r="AK77" t="s">
        <v>2401</v>
      </c>
      <c r="AL77">
        <v>88</v>
      </c>
      <c r="AM77" t="s">
        <v>2401</v>
      </c>
    </row>
    <row r="78" spans="36:45" x14ac:dyDescent="0.35">
      <c r="AJ78" t="s">
        <v>2413</v>
      </c>
      <c r="AK78" t="s">
        <v>79</v>
      </c>
      <c r="AL78">
        <v>10</v>
      </c>
      <c r="AM78">
        <v>1</v>
      </c>
    </row>
    <row r="79" spans="36:45" x14ac:dyDescent="0.35">
      <c r="AJ79" t="s">
        <v>2401</v>
      </c>
      <c r="AK79" t="s">
        <v>2489</v>
      </c>
      <c r="AL79">
        <v>28</v>
      </c>
      <c r="AM79">
        <v>2</v>
      </c>
    </row>
    <row r="80" spans="36:45" x14ac:dyDescent="0.35">
      <c r="AJ80" t="s">
        <v>2401</v>
      </c>
      <c r="AK80" t="s">
        <v>585</v>
      </c>
      <c r="AL80">
        <v>19</v>
      </c>
      <c r="AM80">
        <v>3</v>
      </c>
    </row>
    <row r="81" spans="36:39" x14ac:dyDescent="0.35">
      <c r="AJ81" t="s">
        <v>2401</v>
      </c>
      <c r="AK81" t="s">
        <v>74</v>
      </c>
      <c r="AL81">
        <v>39</v>
      </c>
      <c r="AM81">
        <v>5</v>
      </c>
    </row>
    <row r="82" spans="36:39" x14ac:dyDescent="0.35">
      <c r="AJ82" t="s">
        <v>2401</v>
      </c>
      <c r="AK82" t="s">
        <v>337</v>
      </c>
      <c r="AL82">
        <v>49</v>
      </c>
      <c r="AM82">
        <v>6</v>
      </c>
    </row>
    <row r="83" spans="36:39" x14ac:dyDescent="0.35">
      <c r="AJ83" t="s">
        <v>2401</v>
      </c>
      <c r="AK83" t="s">
        <v>1499</v>
      </c>
      <c r="AL83">
        <v>2</v>
      </c>
      <c r="AM83">
        <v>7</v>
      </c>
    </row>
    <row r="84" spans="36:39" x14ac:dyDescent="0.35">
      <c r="AJ84" t="s">
        <v>2499</v>
      </c>
      <c r="AK84" t="s">
        <v>2401</v>
      </c>
      <c r="AL84">
        <v>147</v>
      </c>
      <c r="AM84" t="s">
        <v>2401</v>
      </c>
    </row>
    <row r="85" spans="36:39" x14ac:dyDescent="0.35">
      <c r="AJ85" t="s">
        <v>2426</v>
      </c>
      <c r="AK85" t="s">
        <v>2494</v>
      </c>
      <c r="AL85">
        <v>26</v>
      </c>
      <c r="AM85">
        <v>1</v>
      </c>
    </row>
    <row r="86" spans="36:39" x14ac:dyDescent="0.35">
      <c r="AJ86" t="s">
        <v>2401</v>
      </c>
      <c r="AK86" t="s">
        <v>340</v>
      </c>
      <c r="AL86">
        <v>31</v>
      </c>
      <c r="AM86">
        <v>2</v>
      </c>
    </row>
    <row r="87" spans="36:39" x14ac:dyDescent="0.35">
      <c r="AJ87" t="s">
        <v>2401</v>
      </c>
      <c r="AK87" t="s">
        <v>466</v>
      </c>
      <c r="AL87">
        <v>18</v>
      </c>
      <c r="AM87">
        <v>3</v>
      </c>
    </row>
    <row r="88" spans="36:39" x14ac:dyDescent="0.35">
      <c r="AJ88" t="s">
        <v>2401</v>
      </c>
      <c r="AK88" t="s">
        <v>399</v>
      </c>
      <c r="AL88">
        <v>53</v>
      </c>
      <c r="AM88">
        <v>4</v>
      </c>
    </row>
    <row r="89" spans="36:39" x14ac:dyDescent="0.35">
      <c r="AJ89" t="s">
        <v>2401</v>
      </c>
      <c r="AK89" t="s">
        <v>2495</v>
      </c>
      <c r="AL89">
        <v>26</v>
      </c>
      <c r="AM89">
        <v>5</v>
      </c>
    </row>
    <row r="90" spans="36:39" x14ac:dyDescent="0.35">
      <c r="AJ90" t="s">
        <v>2401</v>
      </c>
      <c r="AK90" t="s">
        <v>2496</v>
      </c>
      <c r="AL90">
        <v>2</v>
      </c>
      <c r="AM90">
        <v>6</v>
      </c>
    </row>
    <row r="91" spans="36:39" x14ac:dyDescent="0.35">
      <c r="AJ91" t="s">
        <v>2500</v>
      </c>
      <c r="AK91" t="s">
        <v>2401</v>
      </c>
      <c r="AL91">
        <v>156</v>
      </c>
      <c r="AM91" t="s">
        <v>2401</v>
      </c>
    </row>
    <row r="92" spans="36:39" x14ac:dyDescent="0.35">
      <c r="AJ92" t="s">
        <v>2501</v>
      </c>
      <c r="AK92" t="s">
        <v>2401</v>
      </c>
      <c r="AL92">
        <v>1193</v>
      </c>
      <c r="AM92" t="s">
        <v>2401</v>
      </c>
    </row>
  </sheetData>
  <autoFilter ref="A1:E23" xr:uid="{F2CDD4D8-165E-401B-86AB-8931D6E5931B}"/>
  <sortState xmlns:xlrd2="http://schemas.microsoft.com/office/spreadsheetml/2017/richdata2" ref="AK85:AM90">
    <sortCondition ref="AM85:AM90"/>
  </sortState>
  <mergeCells count="12">
    <mergeCell ref="H1:J1"/>
    <mergeCell ref="Q1:Q3"/>
    <mergeCell ref="Q4:Q6"/>
    <mergeCell ref="AP69:AR69"/>
    <mergeCell ref="AP63:AP68"/>
    <mergeCell ref="AP57:AP62"/>
    <mergeCell ref="AP50:AP56"/>
    <mergeCell ref="AP43:AP49"/>
    <mergeCell ref="AP30:AP42"/>
    <mergeCell ref="AP17:AP29"/>
    <mergeCell ref="AP8:AP16"/>
    <mergeCell ref="AP2:AP7"/>
  </mergeCells>
  <pageMargins left="0.7" right="0.7" top="0.75" bottom="0.75" header="0.3" footer="0.3"/>
  <drawing r:id="rId1"/>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JUN</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RUBIANO USAQUEN</cp:lastModifiedBy>
  <cp:revision/>
  <dcterms:created xsi:type="dcterms:W3CDTF">2025-09-02T12:36:29Z</dcterms:created>
  <dcterms:modified xsi:type="dcterms:W3CDTF">2026-10-08T13:39:11Z</dcterms:modified>
  <cp:category/>
  <cp:contentStatus/>
</cp:coreProperties>
</file>